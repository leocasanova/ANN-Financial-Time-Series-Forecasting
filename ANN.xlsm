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\Documents\ESILV\A4 - MIF\S1\VBA\"/>
    </mc:Choice>
  </mc:AlternateContent>
  <xr:revisionPtr revIDLastSave="0" documentId="13_ncr:1_{6D3B12E6-CFF9-4157-820B-B71204A21477}" xr6:coauthVersionLast="45" xr6:coauthVersionMax="45" xr10:uidLastSave="{00000000-0000-0000-0000-000000000000}"/>
  <bookViews>
    <workbookView xWindow="-98" yWindow="-98" windowWidth="24196" windowHeight="13096" activeTab="5" xr2:uid="{00000000-000D-0000-FFFF-FFFF00000000}"/>
  </bookViews>
  <sheets>
    <sheet name="AR(2)-GARCH(1,1)" sheetId="42" r:id="rId1"/>
    <sheet name="Monkey" sheetId="43" r:id="rId2"/>
    <sheet name="SP" sheetId="41" r:id="rId3"/>
    <sheet name="MultiLayer" sheetId="44" r:id="rId4"/>
    <sheet name="MultiLayer bis" sheetId="45" r:id="rId5"/>
    <sheet name="Calculs" sheetId="46" r:id="rId6"/>
  </sheets>
  <functionGroups builtInGroupCount="19"/>
  <definedNames>
    <definedName name="_xlnm._FilterDatabase" localSheetId="0" hidden="1">'AR(2)-GARCH(1,1)'!$A$1:$P$735</definedName>
    <definedName name="_xlnm._FilterDatabase" localSheetId="4" hidden="1">'MultiLayer bis'!$A$1:$Q$735</definedName>
    <definedName name="Alpha0" localSheetId="0">'AR(2)-GARCH(1,1)'!$O$4</definedName>
    <definedName name="Alpha1" localSheetId="0">'AR(2)-GARCH(1,1)'!$O$6</definedName>
    <definedName name="Beta1" localSheetId="0">'AR(2)-GARCH(1,1)'!$O$5</definedName>
    <definedName name="EndCalculationDt">Calculs!$C$3</definedName>
    <definedName name="Eta_1" localSheetId="0">'AR(2)-GARCH(1,1)'!$O$9</definedName>
    <definedName name="Eta_2" localSheetId="0">'AR(2)-GARCH(1,1)'!$O$8</definedName>
    <definedName name="factor" localSheetId="4">'MultiLayer bis'!$P$6</definedName>
    <definedName name="Learning_Rate" localSheetId="2">SP!$J$2</definedName>
    <definedName name="LearningRate" localSheetId="3">MultiLayer!$K$5</definedName>
    <definedName name="method" localSheetId="3">MultiLayer!$K$6</definedName>
    <definedName name="method" localSheetId="4">'MultiLayer bis'!$P$5</definedName>
    <definedName name="N" localSheetId="4">'MultiLayer bis'!$P$2</definedName>
    <definedName name="N_Layer" localSheetId="3">MultiLayer!$K$3</definedName>
    <definedName name="P" localSheetId="4">'MultiLayer bis'!$P$3</definedName>
    <definedName name="P_Layer" localSheetId="3">MultiLayer!$K$4</definedName>
    <definedName name="Predict">SP!#REF!</definedName>
    <definedName name="rate" localSheetId="4">'MultiLayer bis'!$P$4</definedName>
    <definedName name="refParams" localSheetId="5">Calculs!$B$6</definedName>
    <definedName name="Sigma0" localSheetId="0">'AR(2)-GARCH(1,1)'!$O$2</definedName>
    <definedName name="solver_adj" localSheetId="0" hidden="1">'AR(2)-GARCH(1,1)'!$P$2,'AR(2)-GARCH(1,1)'!$O$4:$O$6,'AR(2)-GARCH(1,1)'!$O$8:$O$9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'AR(2)-GARCH(1,1)'!$O$12</definedName>
    <definedName name="solver_lhs2" localSheetId="0" hidden="1">'AR(2)-GARCH(1,1)'!$O$12</definedName>
    <definedName name="solver_lhs3" localSheetId="0" hidden="1">'AR(2)-GARCH(1,1)'!$P$2</definedName>
    <definedName name="solver_lhs4" localSheetId="0" hidden="1">'AR(2)-GARCH(1,1)'!$P$6</definedName>
    <definedName name="solver_lhs5" localSheetId="0" hidden="1">'AR(2)-GARCH(1,1)'!$P$6</definedName>
    <definedName name="solver_lhs6" localSheetId="0" hidden="1">'AR(2)-GARCH(1,1)'!$P$9</definedName>
    <definedName name="solver_lhs7" localSheetId="0" hidden="1">'AR(2)-GARCH(1,1)'!$P$9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'AR(2)-GARCH(1,1)'!$O$11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1</definedName>
    <definedName name="solver_rel5" localSheetId="0" hidden="1">3</definedName>
    <definedName name="solver_rel6" localSheetId="0" hidden="1">1</definedName>
    <definedName name="solver_rel7" localSheetId="0" hidden="1">1</definedName>
    <definedName name="solver_rhs1" localSheetId="0" hidden="1">1.5</definedName>
    <definedName name="solver_rhs2" localSheetId="0" hidden="1">0.9</definedName>
    <definedName name="solver_rhs3" localSheetId="0" hidden="1">0.2</definedName>
    <definedName name="solver_rhs4" localSheetId="0" hidden="1">0.99</definedName>
    <definedName name="solver_rhs5" localSheetId="0" hidden="1">0.001</definedName>
    <definedName name="solver_rhs6" localSheetId="0" hidden="1">10</definedName>
    <definedName name="solver_rhs7" localSheetId="0" hidden="1">10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tartCalculationDt" localSheetId="5">Calculs!$C$2</definedName>
    <definedName name="weight" localSheetId="4">'MultiLayer bis'!$P$9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35" i="44" l="1"/>
  <c r="F734" i="44"/>
  <c r="F733" i="44"/>
  <c r="F732" i="44"/>
  <c r="F731" i="44"/>
  <c r="F730" i="44"/>
  <c r="F729" i="44"/>
  <c r="F728" i="44"/>
  <c r="F727" i="44"/>
  <c r="F726" i="44"/>
  <c r="F725" i="44"/>
  <c r="F724" i="44"/>
  <c r="F723" i="44"/>
  <c r="F722" i="44"/>
  <c r="F721" i="44"/>
  <c r="F720" i="44"/>
  <c r="F719" i="44"/>
  <c r="F718" i="44"/>
  <c r="F717" i="44"/>
  <c r="F716" i="44"/>
  <c r="F715" i="44"/>
  <c r="F714" i="44"/>
  <c r="F713" i="44"/>
  <c r="F712" i="44"/>
  <c r="F711" i="44"/>
  <c r="F710" i="44"/>
  <c r="F709" i="44"/>
  <c r="F708" i="44"/>
  <c r="F707" i="44"/>
  <c r="F706" i="44"/>
  <c r="F705" i="44"/>
  <c r="F704" i="44"/>
  <c r="F703" i="44"/>
  <c r="F702" i="44"/>
  <c r="F701" i="44"/>
  <c r="F700" i="44"/>
  <c r="F699" i="44"/>
  <c r="F698" i="44"/>
  <c r="F697" i="44"/>
  <c r="F696" i="44"/>
  <c r="F695" i="44"/>
  <c r="F694" i="44"/>
  <c r="F693" i="44"/>
  <c r="F692" i="44"/>
  <c r="F691" i="44"/>
  <c r="F690" i="44"/>
  <c r="F689" i="44"/>
  <c r="F688" i="44"/>
  <c r="F687" i="44"/>
  <c r="F686" i="44"/>
  <c r="F685" i="44"/>
  <c r="F684" i="44"/>
  <c r="F683" i="44"/>
  <c r="F682" i="44"/>
  <c r="F681" i="44"/>
  <c r="F680" i="44"/>
  <c r="F679" i="44"/>
  <c r="F678" i="44"/>
  <c r="F677" i="44"/>
  <c r="F676" i="44"/>
  <c r="F675" i="44"/>
  <c r="F674" i="44"/>
  <c r="F673" i="44"/>
  <c r="F672" i="44"/>
  <c r="F671" i="44"/>
  <c r="F670" i="44"/>
  <c r="F669" i="44"/>
  <c r="F668" i="44"/>
  <c r="F667" i="44"/>
  <c r="F666" i="44"/>
  <c r="F665" i="44"/>
  <c r="F664" i="44"/>
  <c r="F663" i="44"/>
  <c r="F662" i="44"/>
  <c r="F661" i="44"/>
  <c r="F660" i="44"/>
  <c r="F659" i="44"/>
  <c r="F658" i="44"/>
  <c r="F657" i="44"/>
  <c r="F656" i="44"/>
  <c r="F655" i="44"/>
  <c r="F654" i="44"/>
  <c r="F653" i="44"/>
  <c r="F652" i="44"/>
  <c r="F651" i="44"/>
  <c r="F650" i="44"/>
  <c r="F649" i="44"/>
  <c r="F648" i="44"/>
  <c r="F647" i="44"/>
  <c r="F646" i="44"/>
  <c r="F645" i="44"/>
  <c r="F644" i="44"/>
  <c r="F643" i="44"/>
  <c r="F642" i="44"/>
  <c r="F641" i="44"/>
  <c r="F640" i="44"/>
  <c r="F639" i="44"/>
  <c r="F638" i="44"/>
  <c r="F637" i="44"/>
  <c r="F636" i="44"/>
  <c r="F635" i="44"/>
  <c r="F634" i="44"/>
  <c r="F633" i="44"/>
  <c r="F632" i="44"/>
  <c r="F631" i="44"/>
  <c r="F630" i="44"/>
  <c r="F629" i="44"/>
  <c r="F628" i="44"/>
  <c r="F627" i="44"/>
  <c r="F626" i="44"/>
  <c r="F625" i="44"/>
  <c r="F624" i="44"/>
  <c r="F623" i="44"/>
  <c r="F622" i="44"/>
  <c r="F621" i="44"/>
  <c r="F620" i="44"/>
  <c r="F619" i="44"/>
  <c r="F618" i="44"/>
  <c r="F617" i="44"/>
  <c r="F616" i="44"/>
  <c r="F615" i="44"/>
  <c r="F614" i="44"/>
  <c r="F613" i="44"/>
  <c r="F612" i="44"/>
  <c r="F611" i="44"/>
  <c r="F610" i="44"/>
  <c r="F609" i="44"/>
  <c r="F608" i="44"/>
  <c r="F607" i="44"/>
  <c r="F606" i="44"/>
  <c r="F605" i="44"/>
  <c r="F604" i="44"/>
  <c r="F603" i="44"/>
  <c r="F602" i="44"/>
  <c r="F601" i="44"/>
  <c r="F600" i="44"/>
  <c r="F599" i="44"/>
  <c r="F598" i="44"/>
  <c r="F597" i="44"/>
  <c r="F596" i="44"/>
  <c r="F595" i="44"/>
  <c r="F594" i="44"/>
  <c r="F593" i="44"/>
  <c r="F592" i="44"/>
  <c r="F591" i="44"/>
  <c r="F590" i="44"/>
  <c r="F589" i="44"/>
  <c r="F588" i="44"/>
  <c r="F587" i="44"/>
  <c r="F586" i="44"/>
  <c r="F585" i="44"/>
  <c r="F584" i="44"/>
  <c r="F583" i="44"/>
  <c r="F582" i="44"/>
  <c r="F581" i="44"/>
  <c r="F580" i="44"/>
  <c r="F579" i="44"/>
  <c r="F578" i="44"/>
  <c r="F577" i="44"/>
  <c r="F576" i="44"/>
  <c r="F575" i="44"/>
  <c r="F574" i="44"/>
  <c r="F573" i="44"/>
  <c r="F572" i="44"/>
  <c r="F571" i="44"/>
  <c r="F570" i="44"/>
  <c r="F569" i="44"/>
  <c r="F568" i="44"/>
  <c r="F567" i="44"/>
  <c r="F566" i="44"/>
  <c r="F565" i="44"/>
  <c r="F564" i="44"/>
  <c r="F563" i="44"/>
  <c r="F562" i="44"/>
  <c r="F561" i="44"/>
  <c r="F560" i="44"/>
  <c r="F559" i="44"/>
  <c r="F558" i="44"/>
  <c r="F557" i="44"/>
  <c r="F556" i="44"/>
  <c r="F555" i="44"/>
  <c r="F554" i="44"/>
  <c r="F553" i="44"/>
  <c r="F552" i="44"/>
  <c r="F551" i="44"/>
  <c r="F550" i="44"/>
  <c r="F549" i="44"/>
  <c r="F548" i="44"/>
  <c r="F547" i="44"/>
  <c r="F546" i="44"/>
  <c r="F545" i="44"/>
  <c r="F544" i="44"/>
  <c r="F543" i="44"/>
  <c r="F542" i="44"/>
  <c r="F541" i="44"/>
  <c r="F540" i="44"/>
  <c r="F539" i="44"/>
  <c r="F538" i="44"/>
  <c r="F537" i="44"/>
  <c r="F536" i="44"/>
  <c r="F535" i="44"/>
  <c r="F534" i="44"/>
  <c r="F533" i="44"/>
  <c r="F532" i="44"/>
  <c r="F531" i="44"/>
  <c r="F530" i="44"/>
  <c r="F529" i="44"/>
  <c r="F528" i="44"/>
  <c r="F527" i="44"/>
  <c r="F526" i="44"/>
  <c r="F525" i="44"/>
  <c r="F524" i="44"/>
  <c r="F523" i="44"/>
  <c r="F522" i="44"/>
  <c r="F521" i="44"/>
  <c r="F520" i="44"/>
  <c r="F519" i="44"/>
  <c r="F518" i="44"/>
  <c r="F517" i="44"/>
  <c r="F516" i="44"/>
  <c r="F515" i="44"/>
  <c r="F514" i="44"/>
  <c r="F513" i="44"/>
  <c r="F512" i="44"/>
  <c r="F511" i="44"/>
  <c r="F510" i="44"/>
  <c r="F509" i="44"/>
  <c r="F508" i="44"/>
  <c r="F507" i="44"/>
  <c r="F506" i="44"/>
  <c r="F505" i="44"/>
  <c r="F504" i="44"/>
  <c r="F503" i="44"/>
  <c r="F502" i="44"/>
  <c r="F501" i="44"/>
  <c r="F500" i="44"/>
  <c r="F499" i="44"/>
  <c r="F498" i="44"/>
  <c r="F497" i="44"/>
  <c r="F496" i="44"/>
  <c r="F495" i="44"/>
  <c r="F494" i="44"/>
  <c r="F493" i="44"/>
  <c r="F492" i="44"/>
  <c r="F491" i="44"/>
  <c r="F490" i="44"/>
  <c r="F489" i="44"/>
  <c r="F488" i="44"/>
  <c r="F487" i="44"/>
  <c r="F486" i="44"/>
  <c r="F485" i="44"/>
  <c r="F484" i="44"/>
  <c r="F483" i="44"/>
  <c r="F482" i="44"/>
  <c r="F481" i="44"/>
  <c r="F480" i="44"/>
  <c r="F479" i="44"/>
  <c r="F478" i="44"/>
  <c r="F477" i="44"/>
  <c r="F476" i="44"/>
  <c r="F475" i="44"/>
  <c r="F474" i="44"/>
  <c r="F473" i="44"/>
  <c r="F472" i="44"/>
  <c r="F471" i="44"/>
  <c r="F470" i="44"/>
  <c r="F469" i="44"/>
  <c r="F468" i="44"/>
  <c r="F467" i="44"/>
  <c r="F466" i="44"/>
  <c r="F465" i="44"/>
  <c r="F464" i="44"/>
  <c r="F463" i="44"/>
  <c r="F462" i="44"/>
  <c r="F461" i="44"/>
  <c r="F460" i="44"/>
  <c r="F459" i="44"/>
  <c r="F458" i="44"/>
  <c r="F457" i="44"/>
  <c r="F456" i="44"/>
  <c r="F455" i="44"/>
  <c r="F454" i="44"/>
  <c r="F453" i="44"/>
  <c r="F452" i="44"/>
  <c r="F451" i="44"/>
  <c r="F450" i="44"/>
  <c r="F449" i="44"/>
  <c r="F448" i="44"/>
  <c r="F447" i="44"/>
  <c r="F446" i="44"/>
  <c r="F445" i="44"/>
  <c r="F444" i="44"/>
  <c r="F443" i="44"/>
  <c r="F442" i="44"/>
  <c r="F441" i="44"/>
  <c r="F440" i="44"/>
  <c r="F439" i="44"/>
  <c r="F438" i="44"/>
  <c r="F437" i="44"/>
  <c r="F436" i="44"/>
  <c r="F435" i="44"/>
  <c r="F434" i="44"/>
  <c r="F433" i="44"/>
  <c r="F432" i="44"/>
  <c r="F431" i="44"/>
  <c r="F430" i="44"/>
  <c r="F429" i="44"/>
  <c r="F428" i="44"/>
  <c r="F427" i="44"/>
  <c r="F426" i="44"/>
  <c r="F425" i="44"/>
  <c r="F424" i="44"/>
  <c r="F423" i="44"/>
  <c r="F422" i="44"/>
  <c r="F421" i="44"/>
  <c r="F420" i="44"/>
  <c r="F419" i="44"/>
  <c r="F418" i="44"/>
  <c r="F417" i="44"/>
  <c r="F416" i="44"/>
  <c r="F415" i="44"/>
  <c r="F414" i="44"/>
  <c r="F413" i="44"/>
  <c r="F412" i="44"/>
  <c r="F411" i="44"/>
  <c r="F410" i="44"/>
  <c r="F409" i="44"/>
  <c r="F408" i="44"/>
  <c r="F407" i="44"/>
  <c r="F406" i="44"/>
  <c r="F405" i="44"/>
  <c r="F404" i="44"/>
  <c r="F403" i="44"/>
  <c r="F402" i="44"/>
  <c r="F401" i="44"/>
  <c r="F400" i="44"/>
  <c r="F399" i="44"/>
  <c r="F398" i="44"/>
  <c r="F397" i="44"/>
  <c r="F396" i="44"/>
  <c r="F395" i="44"/>
  <c r="F394" i="44"/>
  <c r="F393" i="44"/>
  <c r="F392" i="44"/>
  <c r="F391" i="44"/>
  <c r="F390" i="44"/>
  <c r="F389" i="44"/>
  <c r="F388" i="44"/>
  <c r="F387" i="44"/>
  <c r="F386" i="44"/>
  <c r="F385" i="44"/>
  <c r="F384" i="44"/>
  <c r="F383" i="44"/>
  <c r="F382" i="44"/>
  <c r="F381" i="44"/>
  <c r="F380" i="44"/>
  <c r="F379" i="44"/>
  <c r="F378" i="44"/>
  <c r="F377" i="44"/>
  <c r="F376" i="44"/>
  <c r="F375" i="44"/>
  <c r="F374" i="44"/>
  <c r="F373" i="44"/>
  <c r="F372" i="44"/>
  <c r="F371" i="44"/>
  <c r="F370" i="44"/>
  <c r="F369" i="44"/>
  <c r="F368" i="44"/>
  <c r="F367" i="44"/>
  <c r="F366" i="44"/>
  <c r="F365" i="44"/>
  <c r="F364" i="44"/>
  <c r="F363" i="44"/>
  <c r="F362" i="44"/>
  <c r="F361" i="44"/>
  <c r="F360" i="44"/>
  <c r="F359" i="44"/>
  <c r="F358" i="44"/>
  <c r="F357" i="44"/>
  <c r="F356" i="44"/>
  <c r="F355" i="44"/>
  <c r="F354" i="44"/>
  <c r="F353" i="44"/>
  <c r="F352" i="44"/>
  <c r="F351" i="44"/>
  <c r="F350" i="44"/>
  <c r="F349" i="44"/>
  <c r="F348" i="44"/>
  <c r="F347" i="44"/>
  <c r="F346" i="44"/>
  <c r="F345" i="44"/>
  <c r="F344" i="44"/>
  <c r="F343" i="44"/>
  <c r="F342" i="44"/>
  <c r="F341" i="44"/>
  <c r="F340" i="44"/>
  <c r="F339" i="44"/>
  <c r="F338" i="44"/>
  <c r="F337" i="44"/>
  <c r="F336" i="44"/>
  <c r="F335" i="44"/>
  <c r="F334" i="44"/>
  <c r="F333" i="44"/>
  <c r="F332" i="44"/>
  <c r="F331" i="44"/>
  <c r="F330" i="44"/>
  <c r="F329" i="44"/>
  <c r="F328" i="44"/>
  <c r="F327" i="44"/>
  <c r="F326" i="44"/>
  <c r="F325" i="44"/>
  <c r="F324" i="44"/>
  <c r="F323" i="44"/>
  <c r="F322" i="44"/>
  <c r="F321" i="44"/>
  <c r="F320" i="44"/>
  <c r="F319" i="44"/>
  <c r="F318" i="44"/>
  <c r="F317" i="44"/>
  <c r="F316" i="44"/>
  <c r="F315" i="44"/>
  <c r="F314" i="44"/>
  <c r="F313" i="44"/>
  <c r="F312" i="44"/>
  <c r="F311" i="44"/>
  <c r="F310" i="44"/>
  <c r="F309" i="44"/>
  <c r="F308" i="44"/>
  <c r="F307" i="44"/>
  <c r="F306" i="44"/>
  <c r="F305" i="44"/>
  <c r="F304" i="44"/>
  <c r="F303" i="44"/>
  <c r="F302" i="44"/>
  <c r="F301" i="44"/>
  <c r="F300" i="44"/>
  <c r="F299" i="44"/>
  <c r="F298" i="44"/>
  <c r="F297" i="44"/>
  <c r="F296" i="44"/>
  <c r="F295" i="44"/>
  <c r="F294" i="44"/>
  <c r="F293" i="44"/>
  <c r="F292" i="44"/>
  <c r="F291" i="44"/>
  <c r="F290" i="44"/>
  <c r="F289" i="44"/>
  <c r="F288" i="44"/>
  <c r="F287" i="44"/>
  <c r="F286" i="44"/>
  <c r="F285" i="44"/>
  <c r="F284" i="44"/>
  <c r="F283" i="44"/>
  <c r="F282" i="44"/>
  <c r="F281" i="44"/>
  <c r="F280" i="44"/>
  <c r="F279" i="44"/>
  <c r="F278" i="44"/>
  <c r="F277" i="44"/>
  <c r="F276" i="44"/>
  <c r="F275" i="44"/>
  <c r="F274" i="44"/>
  <c r="F273" i="44"/>
  <c r="F272" i="44"/>
  <c r="F271" i="44"/>
  <c r="F270" i="44"/>
  <c r="F269" i="44"/>
  <c r="F268" i="44"/>
  <c r="F267" i="44"/>
  <c r="F266" i="44"/>
  <c r="F265" i="44"/>
  <c r="F264" i="44"/>
  <c r="F263" i="44"/>
  <c r="F262" i="44"/>
  <c r="F261" i="44"/>
  <c r="F260" i="44"/>
  <c r="F259" i="44"/>
  <c r="F258" i="44"/>
  <c r="F257" i="44"/>
  <c r="F256" i="44"/>
  <c r="F255" i="44"/>
  <c r="F254" i="44"/>
  <c r="F253" i="44"/>
  <c r="F252" i="44"/>
  <c r="F251" i="44"/>
  <c r="F250" i="44"/>
  <c r="F249" i="44"/>
  <c r="F248" i="44"/>
  <c r="F247" i="44"/>
  <c r="F246" i="44"/>
  <c r="F245" i="44"/>
  <c r="F244" i="44"/>
  <c r="F243" i="44"/>
  <c r="F242" i="44"/>
  <c r="F241" i="44"/>
  <c r="F240" i="44"/>
  <c r="F239" i="44"/>
  <c r="F238" i="44"/>
  <c r="F237" i="44"/>
  <c r="F236" i="44"/>
  <c r="F235" i="44"/>
  <c r="F234" i="44"/>
  <c r="F233" i="44"/>
  <c r="F232" i="44"/>
  <c r="F231" i="44"/>
  <c r="F230" i="44"/>
  <c r="F229" i="44"/>
  <c r="F228" i="44"/>
  <c r="F227" i="44"/>
  <c r="F226" i="44"/>
  <c r="F225" i="44"/>
  <c r="F224" i="44"/>
  <c r="F223" i="44"/>
  <c r="F222" i="44"/>
  <c r="F221" i="44"/>
  <c r="F220" i="44"/>
  <c r="F219" i="44"/>
  <c r="F218" i="44"/>
  <c r="F217" i="44"/>
  <c r="F216" i="44"/>
  <c r="F215" i="44"/>
  <c r="F214" i="44"/>
  <c r="F213" i="44"/>
  <c r="F212" i="44"/>
  <c r="F211" i="44"/>
  <c r="F210" i="44"/>
  <c r="F209" i="44"/>
  <c r="F208" i="44"/>
  <c r="F207" i="44"/>
  <c r="F206" i="44"/>
  <c r="F205" i="44"/>
  <c r="F204" i="44"/>
  <c r="F203" i="44"/>
  <c r="F202" i="44"/>
  <c r="F201" i="44"/>
  <c r="F200" i="44"/>
  <c r="F199" i="44"/>
  <c r="F198" i="44"/>
  <c r="F197" i="44"/>
  <c r="F196" i="44"/>
  <c r="F195" i="44"/>
  <c r="F194" i="44"/>
  <c r="F193" i="44"/>
  <c r="F192" i="44"/>
  <c r="F191" i="44"/>
  <c r="F190" i="44"/>
  <c r="F189" i="44"/>
  <c r="F188" i="44"/>
  <c r="F187" i="44"/>
  <c r="F186" i="44"/>
  <c r="F185" i="44"/>
  <c r="F184" i="44"/>
  <c r="F183" i="44"/>
  <c r="F182" i="44"/>
  <c r="F181" i="44"/>
  <c r="F180" i="44"/>
  <c r="F179" i="44"/>
  <c r="F178" i="44"/>
  <c r="F177" i="44"/>
  <c r="F176" i="44"/>
  <c r="F175" i="44"/>
  <c r="F174" i="44"/>
  <c r="F173" i="44"/>
  <c r="F172" i="44"/>
  <c r="F171" i="44"/>
  <c r="F170" i="44"/>
  <c r="F169" i="44"/>
  <c r="F168" i="44"/>
  <c r="F167" i="44"/>
  <c r="F166" i="44"/>
  <c r="F165" i="44"/>
  <c r="F164" i="44"/>
  <c r="F163" i="44"/>
  <c r="F162" i="44"/>
  <c r="F161" i="44"/>
  <c r="F160" i="44"/>
  <c r="F159" i="44"/>
  <c r="F158" i="44"/>
  <c r="F157" i="44"/>
  <c r="F156" i="44"/>
  <c r="F155" i="44"/>
  <c r="F154" i="44"/>
  <c r="F153" i="44"/>
  <c r="F152" i="44"/>
  <c r="F151" i="44"/>
  <c r="F150" i="44"/>
  <c r="F149" i="44"/>
  <c r="F148" i="44"/>
  <c r="F147" i="44"/>
  <c r="F146" i="44"/>
  <c r="F145" i="44"/>
  <c r="F144" i="44"/>
  <c r="F143" i="44"/>
  <c r="F142" i="44"/>
  <c r="F141" i="44"/>
  <c r="F140" i="44"/>
  <c r="F139" i="44"/>
  <c r="F138" i="44"/>
  <c r="F137" i="44"/>
  <c r="F136" i="44"/>
  <c r="F135" i="44"/>
  <c r="F134" i="44"/>
  <c r="F133" i="44"/>
  <c r="F132" i="44"/>
  <c r="F131" i="44"/>
  <c r="F130" i="44"/>
  <c r="F129" i="44"/>
  <c r="F128" i="44"/>
  <c r="F127" i="44"/>
  <c r="F126" i="44"/>
  <c r="F125" i="44"/>
  <c r="F124" i="44"/>
  <c r="F123" i="44"/>
  <c r="F122" i="44"/>
  <c r="F121" i="44"/>
  <c r="F120" i="44"/>
  <c r="F119" i="44"/>
  <c r="F118" i="44"/>
  <c r="F117" i="44"/>
  <c r="F116" i="44"/>
  <c r="F115" i="44"/>
  <c r="F114" i="44"/>
  <c r="F113" i="44"/>
  <c r="F112" i="44"/>
  <c r="F111" i="44"/>
  <c r="F110" i="44"/>
  <c r="F109" i="44"/>
  <c r="F108" i="44"/>
  <c r="F107" i="44"/>
  <c r="F106" i="44"/>
  <c r="F105" i="44"/>
  <c r="F104" i="44"/>
  <c r="F103" i="44"/>
  <c r="F102" i="44"/>
  <c r="F101" i="44"/>
  <c r="F100" i="44"/>
  <c r="F99" i="44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F13" i="44"/>
  <c r="J9" i="41" l="1"/>
  <c r="J8" i="41"/>
  <c r="K8" i="41" s="1"/>
  <c r="L735" i="45" l="1"/>
  <c r="L734" i="45"/>
  <c r="L733" i="45"/>
  <c r="L732" i="45"/>
  <c r="L731" i="45"/>
  <c r="L730" i="45"/>
  <c r="L729" i="45"/>
  <c r="L728" i="45"/>
  <c r="L727" i="45"/>
  <c r="L726" i="45"/>
  <c r="L725" i="45"/>
  <c r="L724" i="45"/>
  <c r="L723" i="45"/>
  <c r="L722" i="45"/>
  <c r="L721" i="45"/>
  <c r="L720" i="45"/>
  <c r="L719" i="45"/>
  <c r="L718" i="45"/>
  <c r="L717" i="45"/>
  <c r="L716" i="45"/>
  <c r="L715" i="45"/>
  <c r="L714" i="45"/>
  <c r="L713" i="45"/>
  <c r="L712" i="45"/>
  <c r="L711" i="45"/>
  <c r="L710" i="45"/>
  <c r="L709" i="45"/>
  <c r="L708" i="45"/>
  <c r="L707" i="45"/>
  <c r="L706" i="45"/>
  <c r="L705" i="45"/>
  <c r="L704" i="45"/>
  <c r="L703" i="45"/>
  <c r="L702" i="45"/>
  <c r="L701" i="45"/>
  <c r="L700" i="45"/>
  <c r="L699" i="45"/>
  <c r="L698" i="45"/>
  <c r="L697" i="45"/>
  <c r="L696" i="45"/>
  <c r="L695" i="45"/>
  <c r="L694" i="45"/>
  <c r="L693" i="45"/>
  <c r="L692" i="45"/>
  <c r="L691" i="45"/>
  <c r="L690" i="45"/>
  <c r="L689" i="45"/>
  <c r="L688" i="45"/>
  <c r="L687" i="45"/>
  <c r="L686" i="45"/>
  <c r="L685" i="45"/>
  <c r="L684" i="45"/>
  <c r="L683" i="45"/>
  <c r="L682" i="45"/>
  <c r="L681" i="45"/>
  <c r="L680" i="45"/>
  <c r="L679" i="45"/>
  <c r="L678" i="45"/>
  <c r="L677" i="45"/>
  <c r="L676" i="45"/>
  <c r="L675" i="45"/>
  <c r="L674" i="45"/>
  <c r="L673" i="45"/>
  <c r="L672" i="45"/>
  <c r="L671" i="45"/>
  <c r="L670" i="45"/>
  <c r="L669" i="45"/>
  <c r="L668" i="45"/>
  <c r="L667" i="45"/>
  <c r="L666" i="45"/>
  <c r="L665" i="45"/>
  <c r="L664" i="45"/>
  <c r="L663" i="45"/>
  <c r="L662" i="45"/>
  <c r="L661" i="45"/>
  <c r="L660" i="45"/>
  <c r="L659" i="45"/>
  <c r="L658" i="45"/>
  <c r="L657" i="45"/>
  <c r="L656" i="45"/>
  <c r="L655" i="45"/>
  <c r="L654" i="45"/>
  <c r="L653" i="45"/>
  <c r="L652" i="45"/>
  <c r="L651" i="45"/>
  <c r="L650" i="45"/>
  <c r="L649" i="45"/>
  <c r="L648" i="45"/>
  <c r="L647" i="45"/>
  <c r="L646" i="45"/>
  <c r="L645" i="45"/>
  <c r="L644" i="45"/>
  <c r="L643" i="45"/>
  <c r="L642" i="45"/>
  <c r="L641" i="45"/>
  <c r="L640" i="45"/>
  <c r="L639" i="45"/>
  <c r="L638" i="45"/>
  <c r="L637" i="45"/>
  <c r="L636" i="45"/>
  <c r="L635" i="45"/>
  <c r="L634" i="45"/>
  <c r="L633" i="45"/>
  <c r="L632" i="45"/>
  <c r="L631" i="45"/>
  <c r="L630" i="45"/>
  <c r="L629" i="45"/>
  <c r="L628" i="45"/>
  <c r="L627" i="45"/>
  <c r="L626" i="45"/>
  <c r="L625" i="45"/>
  <c r="L624" i="45"/>
  <c r="L623" i="45"/>
  <c r="L622" i="45"/>
  <c r="L621" i="45"/>
  <c r="L620" i="45"/>
  <c r="L619" i="45"/>
  <c r="L618" i="45"/>
  <c r="L617" i="45"/>
  <c r="L616" i="45"/>
  <c r="L615" i="45"/>
  <c r="L614" i="45"/>
  <c r="L613" i="45"/>
  <c r="L612" i="45"/>
  <c r="L611" i="45"/>
  <c r="L610" i="45"/>
  <c r="L609" i="45"/>
  <c r="L608" i="45"/>
  <c r="L607" i="45"/>
  <c r="L606" i="45"/>
  <c r="L605" i="45"/>
  <c r="L604" i="45"/>
  <c r="L603" i="45"/>
  <c r="L602" i="45"/>
  <c r="L601" i="45"/>
  <c r="L600" i="45"/>
  <c r="L599" i="45"/>
  <c r="L598" i="45"/>
  <c r="L597" i="45"/>
  <c r="L596" i="45"/>
  <c r="L595" i="45"/>
  <c r="L594" i="45"/>
  <c r="L593" i="45"/>
  <c r="L592" i="45"/>
  <c r="L591" i="45"/>
  <c r="L590" i="45"/>
  <c r="L589" i="45"/>
  <c r="L588" i="45"/>
  <c r="L587" i="45"/>
  <c r="L586" i="45"/>
  <c r="L585" i="45"/>
  <c r="L584" i="45"/>
  <c r="L583" i="45"/>
  <c r="L582" i="45"/>
  <c r="L581" i="45"/>
  <c r="L580" i="45"/>
  <c r="L579" i="45"/>
  <c r="L578" i="45"/>
  <c r="L577" i="45"/>
  <c r="L576" i="45"/>
  <c r="L575" i="45"/>
  <c r="L574" i="45"/>
  <c r="L573" i="45"/>
  <c r="L572" i="45"/>
  <c r="L571" i="45"/>
  <c r="L570" i="45"/>
  <c r="L569" i="45"/>
  <c r="L568" i="45"/>
  <c r="L567" i="45"/>
  <c r="L566" i="45"/>
  <c r="L565" i="45"/>
  <c r="L564" i="45"/>
  <c r="L563" i="45"/>
  <c r="L562" i="45"/>
  <c r="L561" i="45"/>
  <c r="L560" i="45"/>
  <c r="L559" i="45"/>
  <c r="L558" i="45"/>
  <c r="L557" i="45"/>
  <c r="L556" i="45"/>
  <c r="L555" i="45"/>
  <c r="L554" i="45"/>
  <c r="L553" i="45"/>
  <c r="L552" i="45"/>
  <c r="L551" i="45"/>
  <c r="L550" i="45"/>
  <c r="L549" i="45"/>
  <c r="L548" i="45"/>
  <c r="L547" i="45"/>
  <c r="L546" i="45"/>
  <c r="L545" i="45"/>
  <c r="L544" i="45"/>
  <c r="L543" i="45"/>
  <c r="L542" i="45"/>
  <c r="L541" i="45"/>
  <c r="L540" i="45"/>
  <c r="L539" i="45"/>
  <c r="L538" i="45"/>
  <c r="L537" i="45"/>
  <c r="L536" i="45"/>
  <c r="L535" i="45"/>
  <c r="L534" i="45"/>
  <c r="L533" i="45"/>
  <c r="L532" i="45"/>
  <c r="L531" i="45"/>
  <c r="L530" i="45"/>
  <c r="L529" i="45"/>
  <c r="L528" i="45"/>
  <c r="L527" i="45"/>
  <c r="L526" i="45"/>
  <c r="L525" i="45"/>
  <c r="L524" i="45"/>
  <c r="L523" i="45"/>
  <c r="L522" i="45"/>
  <c r="L521" i="45"/>
  <c r="L520" i="45"/>
  <c r="L519" i="45"/>
  <c r="L518" i="45"/>
  <c r="L517" i="45"/>
  <c r="L516" i="45"/>
  <c r="L515" i="45"/>
  <c r="L514" i="45"/>
  <c r="L513" i="45"/>
  <c r="L512" i="45"/>
  <c r="L511" i="45"/>
  <c r="L510" i="45"/>
  <c r="L509" i="45"/>
  <c r="L508" i="45"/>
  <c r="L507" i="45"/>
  <c r="L506" i="45"/>
  <c r="L505" i="45"/>
  <c r="L504" i="45"/>
  <c r="L503" i="45"/>
  <c r="L502" i="45"/>
  <c r="L501" i="45"/>
  <c r="L500" i="45"/>
  <c r="L499" i="45"/>
  <c r="L498" i="45"/>
  <c r="L497" i="45"/>
  <c r="L496" i="45"/>
  <c r="L495" i="45"/>
  <c r="L494" i="45"/>
  <c r="L493" i="45"/>
  <c r="L492" i="45"/>
  <c r="L491" i="45"/>
  <c r="L490" i="45"/>
  <c r="L489" i="45"/>
  <c r="L488" i="45"/>
  <c r="L487" i="45"/>
  <c r="L486" i="45"/>
  <c r="L485" i="45"/>
  <c r="L484" i="45"/>
  <c r="L483" i="45"/>
  <c r="L482" i="45"/>
  <c r="L481" i="45"/>
  <c r="L480" i="45"/>
  <c r="L479" i="45"/>
  <c r="L478" i="45"/>
  <c r="L477" i="45"/>
  <c r="L476" i="45"/>
  <c r="L475" i="45"/>
  <c r="L474" i="45"/>
  <c r="L473" i="45"/>
  <c r="L472" i="45"/>
  <c r="L471" i="45"/>
  <c r="L470" i="45"/>
  <c r="L469" i="45"/>
  <c r="L468" i="45"/>
  <c r="L467" i="45"/>
  <c r="L466" i="45"/>
  <c r="L465" i="45"/>
  <c r="L464" i="45"/>
  <c r="L463" i="45"/>
  <c r="L462" i="45"/>
  <c r="L461" i="45"/>
  <c r="L460" i="45"/>
  <c r="L459" i="45"/>
  <c r="L458" i="45"/>
  <c r="L457" i="45"/>
  <c r="L456" i="45"/>
  <c r="L455" i="45"/>
  <c r="L454" i="45"/>
  <c r="L453" i="45"/>
  <c r="L452" i="45"/>
  <c r="L451" i="45"/>
  <c r="L450" i="45"/>
  <c r="L449" i="45"/>
  <c r="L448" i="45"/>
  <c r="L447" i="45"/>
  <c r="L446" i="45"/>
  <c r="L445" i="45"/>
  <c r="L444" i="45"/>
  <c r="L443" i="45"/>
  <c r="L442" i="45"/>
  <c r="L441" i="45"/>
  <c r="L440" i="45"/>
  <c r="L439" i="45"/>
  <c r="L438" i="45"/>
  <c r="L437" i="45"/>
  <c r="L436" i="45"/>
  <c r="L435" i="45"/>
  <c r="L434" i="45"/>
  <c r="L433" i="45"/>
  <c r="L432" i="45"/>
  <c r="L431" i="45"/>
  <c r="L430" i="45"/>
  <c r="L429" i="45"/>
  <c r="L428" i="45"/>
  <c r="L427" i="45"/>
  <c r="L426" i="45"/>
  <c r="L425" i="45"/>
  <c r="L424" i="45"/>
  <c r="L423" i="45"/>
  <c r="L422" i="45"/>
  <c r="L421" i="45"/>
  <c r="L420" i="45"/>
  <c r="L419" i="45"/>
  <c r="L418" i="45"/>
  <c r="L417" i="45"/>
  <c r="L416" i="45"/>
  <c r="L415" i="45"/>
  <c r="L414" i="45"/>
  <c r="L413" i="45"/>
  <c r="L412" i="45"/>
  <c r="L411" i="45"/>
  <c r="L410" i="45"/>
  <c r="L409" i="45"/>
  <c r="L408" i="45"/>
  <c r="L407" i="45"/>
  <c r="L406" i="45"/>
  <c r="L405" i="45"/>
  <c r="L404" i="45"/>
  <c r="L403" i="45"/>
  <c r="L402" i="45"/>
  <c r="L401" i="45"/>
  <c r="L400" i="45"/>
  <c r="L399" i="45"/>
  <c r="L398" i="45"/>
  <c r="L397" i="45"/>
  <c r="L396" i="45"/>
  <c r="L395" i="45"/>
  <c r="L394" i="45"/>
  <c r="L393" i="45"/>
  <c r="L392" i="45"/>
  <c r="L391" i="45"/>
  <c r="L390" i="45"/>
  <c r="L389" i="45"/>
  <c r="L388" i="45"/>
  <c r="L387" i="45"/>
  <c r="L386" i="45"/>
  <c r="L385" i="45"/>
  <c r="L384" i="45"/>
  <c r="L383" i="45"/>
  <c r="L382" i="45"/>
  <c r="L381" i="45"/>
  <c r="L380" i="45"/>
  <c r="L379" i="45"/>
  <c r="L378" i="45"/>
  <c r="L377" i="45"/>
  <c r="L376" i="45"/>
  <c r="L375" i="45"/>
  <c r="L374" i="45"/>
  <c r="L373" i="45"/>
  <c r="L372" i="45"/>
  <c r="L371" i="45"/>
  <c r="L370" i="45"/>
  <c r="L369" i="45"/>
  <c r="L368" i="45"/>
  <c r="L367" i="45"/>
  <c r="L366" i="45"/>
  <c r="L365" i="45"/>
  <c r="L364" i="45"/>
  <c r="L363" i="45"/>
  <c r="L362" i="45"/>
  <c r="L361" i="45"/>
  <c r="L360" i="45"/>
  <c r="L359" i="45"/>
  <c r="L358" i="45"/>
  <c r="L357" i="45"/>
  <c r="L356" i="45"/>
  <c r="L355" i="45"/>
  <c r="L354" i="45"/>
  <c r="L353" i="45"/>
  <c r="L352" i="45"/>
  <c r="L351" i="45"/>
  <c r="L350" i="45"/>
  <c r="L349" i="45"/>
  <c r="L348" i="45"/>
  <c r="L347" i="45"/>
  <c r="L346" i="45"/>
  <c r="L345" i="45"/>
  <c r="L344" i="45"/>
  <c r="L343" i="45"/>
  <c r="L342" i="45"/>
  <c r="L341" i="45"/>
  <c r="L340" i="45"/>
  <c r="L339" i="45"/>
  <c r="L338" i="45"/>
  <c r="L337" i="45"/>
  <c r="L336" i="45"/>
  <c r="L335" i="45"/>
  <c r="L334" i="45"/>
  <c r="L333" i="45"/>
  <c r="L332" i="45"/>
  <c r="L331" i="45"/>
  <c r="L330" i="45"/>
  <c r="L329" i="45"/>
  <c r="L328" i="45"/>
  <c r="L327" i="45"/>
  <c r="L326" i="45"/>
  <c r="L325" i="45"/>
  <c r="L324" i="45"/>
  <c r="L323" i="45"/>
  <c r="L322" i="45"/>
  <c r="L321" i="45"/>
  <c r="L320" i="45"/>
  <c r="L319" i="45"/>
  <c r="L318" i="45"/>
  <c r="L317" i="45"/>
  <c r="L316" i="45"/>
  <c r="L315" i="45"/>
  <c r="L314" i="45"/>
  <c r="L313" i="45"/>
  <c r="L312" i="45"/>
  <c r="L311" i="45"/>
  <c r="L310" i="45"/>
  <c r="L309" i="45"/>
  <c r="L308" i="45"/>
  <c r="L307" i="45"/>
  <c r="L306" i="45"/>
  <c r="L305" i="45"/>
  <c r="L304" i="45"/>
  <c r="L303" i="45"/>
  <c r="L302" i="45"/>
  <c r="L301" i="45"/>
  <c r="L300" i="45"/>
  <c r="L299" i="45"/>
  <c r="L298" i="45"/>
  <c r="L297" i="45"/>
  <c r="L296" i="45"/>
  <c r="L295" i="45"/>
  <c r="L294" i="45"/>
  <c r="L293" i="45"/>
  <c r="L292" i="45"/>
  <c r="L291" i="45"/>
  <c r="L290" i="45"/>
  <c r="L289" i="45"/>
  <c r="L288" i="45"/>
  <c r="L287" i="45"/>
  <c r="L286" i="45"/>
  <c r="L285" i="45"/>
  <c r="L284" i="45"/>
  <c r="L283" i="45"/>
  <c r="L282" i="45"/>
  <c r="L281" i="45"/>
  <c r="L280" i="45"/>
  <c r="L279" i="45"/>
  <c r="L278" i="45"/>
  <c r="L277" i="45"/>
  <c r="L276" i="45"/>
  <c r="L275" i="45"/>
  <c r="L274" i="45"/>
  <c r="L273" i="45"/>
  <c r="L272" i="45"/>
  <c r="L271" i="45"/>
  <c r="L270" i="45"/>
  <c r="L269" i="45"/>
  <c r="L268" i="45"/>
  <c r="L267" i="45"/>
  <c r="L266" i="45"/>
  <c r="L265" i="45"/>
  <c r="L264" i="45"/>
  <c r="L263" i="45"/>
  <c r="L262" i="45"/>
  <c r="L261" i="45"/>
  <c r="L260" i="45"/>
  <c r="L259" i="45"/>
  <c r="L258" i="45"/>
  <c r="L257" i="45"/>
  <c r="L256" i="45"/>
  <c r="L255" i="45"/>
  <c r="L254" i="45"/>
  <c r="L253" i="45"/>
  <c r="L252" i="45"/>
  <c r="L251" i="45"/>
  <c r="L250" i="45"/>
  <c r="L249" i="45"/>
  <c r="L248" i="45"/>
  <c r="L247" i="45"/>
  <c r="L246" i="45"/>
  <c r="L245" i="45"/>
  <c r="L244" i="45"/>
  <c r="L243" i="45"/>
  <c r="L242" i="45"/>
  <c r="L241" i="45"/>
  <c r="L240" i="45"/>
  <c r="L239" i="45"/>
  <c r="L238" i="45"/>
  <c r="L237" i="45"/>
  <c r="L236" i="45"/>
  <c r="L235" i="45"/>
  <c r="L234" i="45"/>
  <c r="L233" i="45"/>
  <c r="L232" i="45"/>
  <c r="L231" i="45"/>
  <c r="L230" i="45"/>
  <c r="L229" i="45"/>
  <c r="L228" i="45"/>
  <c r="L227" i="45"/>
  <c r="L226" i="45"/>
  <c r="L225" i="45"/>
  <c r="L224" i="45"/>
  <c r="L223" i="45"/>
  <c r="L222" i="45"/>
  <c r="L221" i="45"/>
  <c r="L220" i="45"/>
  <c r="L219" i="45"/>
  <c r="L218" i="45"/>
  <c r="L217" i="45"/>
  <c r="L216" i="45"/>
  <c r="L215" i="45"/>
  <c r="L214" i="45"/>
  <c r="L213" i="45"/>
  <c r="L212" i="45"/>
  <c r="L211" i="45"/>
  <c r="L210" i="45"/>
  <c r="L209" i="45"/>
  <c r="L208" i="45"/>
  <c r="L207" i="45"/>
  <c r="L206" i="45"/>
  <c r="L205" i="45"/>
  <c r="L204" i="45"/>
  <c r="L203" i="45"/>
  <c r="L202" i="45"/>
  <c r="L201" i="45"/>
  <c r="L200" i="45"/>
  <c r="L199" i="45"/>
  <c r="L198" i="45"/>
  <c r="L197" i="45"/>
  <c r="L196" i="45"/>
  <c r="L195" i="45"/>
  <c r="L194" i="45"/>
  <c r="L193" i="45"/>
  <c r="L192" i="45"/>
  <c r="L191" i="45"/>
  <c r="L190" i="45"/>
  <c r="L189" i="45"/>
  <c r="L188" i="45"/>
  <c r="L187" i="45"/>
  <c r="L186" i="45"/>
  <c r="L185" i="45"/>
  <c r="L184" i="45"/>
  <c r="L183" i="45"/>
  <c r="L182" i="45"/>
  <c r="L181" i="45"/>
  <c r="L180" i="45"/>
  <c r="L179" i="45"/>
  <c r="L178" i="45"/>
  <c r="L177" i="45"/>
  <c r="L176" i="45"/>
  <c r="L175" i="45"/>
  <c r="L174" i="45"/>
  <c r="L173" i="45"/>
  <c r="L172" i="45"/>
  <c r="L171" i="45"/>
  <c r="L170" i="45"/>
  <c r="L169" i="45"/>
  <c r="L168" i="45"/>
  <c r="L167" i="45"/>
  <c r="L166" i="45"/>
  <c r="L165" i="45"/>
  <c r="L164" i="45"/>
  <c r="L163" i="45"/>
  <c r="L162" i="45"/>
  <c r="L161" i="45"/>
  <c r="L160" i="45"/>
  <c r="L159" i="45"/>
  <c r="L158" i="45"/>
  <c r="L157" i="45"/>
  <c r="L156" i="45"/>
  <c r="L155" i="45"/>
  <c r="L154" i="45"/>
  <c r="L153" i="45"/>
  <c r="L152" i="45"/>
  <c r="L151" i="45"/>
  <c r="L150" i="45"/>
  <c r="L149" i="45"/>
  <c r="L148" i="45"/>
  <c r="L147" i="45"/>
  <c r="L146" i="45"/>
  <c r="L145" i="45"/>
  <c r="L144" i="45"/>
  <c r="L143" i="45"/>
  <c r="L142" i="45"/>
  <c r="L141" i="45"/>
  <c r="L140" i="45"/>
  <c r="L139" i="45"/>
  <c r="L138" i="45"/>
  <c r="L137" i="45"/>
  <c r="L136" i="45"/>
  <c r="L135" i="45"/>
  <c r="L134" i="45"/>
  <c r="L133" i="45"/>
  <c r="L132" i="45"/>
  <c r="L131" i="45"/>
  <c r="L130" i="45"/>
  <c r="L129" i="45"/>
  <c r="L128" i="45"/>
  <c r="L127" i="45"/>
  <c r="L126" i="45"/>
  <c r="L125" i="45"/>
  <c r="L124" i="45"/>
  <c r="L123" i="45"/>
  <c r="L122" i="45"/>
  <c r="L121" i="45"/>
  <c r="L120" i="45"/>
  <c r="L119" i="45"/>
  <c r="L118" i="45"/>
  <c r="L117" i="45"/>
  <c r="L116" i="45"/>
  <c r="L115" i="45"/>
  <c r="L114" i="45"/>
  <c r="L113" i="45"/>
  <c r="L112" i="45"/>
  <c r="L111" i="45"/>
  <c r="L110" i="45"/>
  <c r="L109" i="45"/>
  <c r="L108" i="45"/>
  <c r="L107" i="45"/>
  <c r="L106" i="45"/>
  <c r="L105" i="45"/>
  <c r="L104" i="45"/>
  <c r="L103" i="45"/>
  <c r="L102" i="45"/>
  <c r="L101" i="45"/>
  <c r="L100" i="45"/>
  <c r="L99" i="45"/>
  <c r="L98" i="45"/>
  <c r="L97" i="45"/>
  <c r="L96" i="45"/>
  <c r="L95" i="45"/>
  <c r="L94" i="45"/>
  <c r="L93" i="45"/>
  <c r="L92" i="45"/>
  <c r="L91" i="45"/>
  <c r="L90" i="45"/>
  <c r="L89" i="45"/>
  <c r="L88" i="45"/>
  <c r="L87" i="45"/>
  <c r="L86" i="45"/>
  <c r="L85" i="45"/>
  <c r="L84" i="45"/>
  <c r="L83" i="45"/>
  <c r="L82" i="45"/>
  <c r="L81" i="45"/>
  <c r="L80" i="45"/>
  <c r="L79" i="45"/>
  <c r="L78" i="45"/>
  <c r="L77" i="45"/>
  <c r="L76" i="45"/>
  <c r="L75" i="45"/>
  <c r="L74" i="45"/>
  <c r="L73" i="45"/>
  <c r="L72" i="45"/>
  <c r="L71" i="45"/>
  <c r="L70" i="45"/>
  <c r="L69" i="45"/>
  <c r="L68" i="45"/>
  <c r="L67" i="45"/>
  <c r="L66" i="45"/>
  <c r="L65" i="45"/>
  <c r="L64" i="45"/>
  <c r="L63" i="45"/>
  <c r="L62" i="45"/>
  <c r="L61" i="45"/>
  <c r="L60" i="45"/>
  <c r="L59" i="45"/>
  <c r="L58" i="45"/>
  <c r="L57" i="45"/>
  <c r="L56" i="45"/>
  <c r="L55" i="45"/>
  <c r="L54" i="45"/>
  <c r="L53" i="45"/>
  <c r="L52" i="45"/>
  <c r="L51" i="45"/>
  <c r="L50" i="45"/>
  <c r="L49" i="45"/>
  <c r="L48" i="45"/>
  <c r="L47" i="45"/>
  <c r="L46" i="45"/>
  <c r="L45" i="45"/>
  <c r="L44" i="45"/>
  <c r="L43" i="45"/>
  <c r="L42" i="45"/>
  <c r="L41" i="45"/>
  <c r="L40" i="45"/>
  <c r="L39" i="45"/>
  <c r="L38" i="45"/>
  <c r="L37" i="45"/>
  <c r="L36" i="45"/>
  <c r="L35" i="45"/>
  <c r="L34" i="45"/>
  <c r="L33" i="45"/>
  <c r="L32" i="45"/>
  <c r="L31" i="45"/>
  <c r="L30" i="45"/>
  <c r="L29" i="45"/>
  <c r="L28" i="45"/>
  <c r="L27" i="45"/>
  <c r="L26" i="45"/>
  <c r="L25" i="45"/>
  <c r="L24" i="45"/>
  <c r="L23" i="45"/>
  <c r="L22" i="45"/>
  <c r="L21" i="45"/>
  <c r="L20" i="45"/>
  <c r="L19" i="45"/>
  <c r="L18" i="45"/>
  <c r="L17" i="45"/>
  <c r="L16" i="45"/>
  <c r="L15" i="45"/>
  <c r="L14" i="45"/>
  <c r="L13" i="45"/>
  <c r="L12" i="45"/>
  <c r="L11" i="45"/>
  <c r="L10" i="45"/>
  <c r="L9" i="45"/>
  <c r="D3" i="43" l="1"/>
  <c r="D4" i="43" s="1"/>
  <c r="C3" i="46" l="1"/>
  <c r="P11" i="45"/>
  <c r="D5" i="43" l="1"/>
  <c r="D6" i="43" s="1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326" i="45"/>
  <c r="I327" i="45"/>
  <c r="I328" i="45"/>
  <c r="I329" i="45"/>
  <c r="I330" i="45"/>
  <c r="I331" i="45"/>
  <c r="I332" i="45"/>
  <c r="I333" i="45"/>
  <c r="I334" i="45"/>
  <c r="I335" i="45"/>
  <c r="I336" i="45"/>
  <c r="I337" i="45"/>
  <c r="I338" i="45"/>
  <c r="I339" i="45"/>
  <c r="I340" i="45"/>
  <c r="I341" i="45"/>
  <c r="I342" i="45"/>
  <c r="I343" i="45"/>
  <c r="I344" i="45"/>
  <c r="I345" i="45"/>
  <c r="I346" i="45"/>
  <c r="I347" i="45"/>
  <c r="I348" i="45"/>
  <c r="I349" i="45"/>
  <c r="I350" i="45"/>
  <c r="I351" i="45"/>
  <c r="I352" i="45"/>
  <c r="I353" i="45"/>
  <c r="I354" i="45"/>
  <c r="I355" i="45"/>
  <c r="I356" i="45"/>
  <c r="I357" i="45"/>
  <c r="I358" i="45"/>
  <c r="I359" i="45"/>
  <c r="I360" i="45"/>
  <c r="I361" i="45"/>
  <c r="I362" i="45"/>
  <c r="I363" i="45"/>
  <c r="I364" i="45"/>
  <c r="I365" i="45"/>
  <c r="I366" i="45"/>
  <c r="I367" i="45"/>
  <c r="I368" i="45"/>
  <c r="I369" i="45"/>
  <c r="I370" i="45"/>
  <c r="I371" i="45"/>
  <c r="I372" i="45"/>
  <c r="I373" i="45"/>
  <c r="I374" i="45"/>
  <c r="I375" i="45"/>
  <c r="I376" i="45"/>
  <c r="I377" i="45"/>
  <c r="I378" i="45"/>
  <c r="I379" i="45"/>
  <c r="I380" i="45"/>
  <c r="I381" i="45"/>
  <c r="I382" i="45"/>
  <c r="I383" i="45"/>
  <c r="I384" i="45"/>
  <c r="I385" i="45"/>
  <c r="I386" i="45"/>
  <c r="I387" i="45"/>
  <c r="I388" i="45"/>
  <c r="I389" i="45"/>
  <c r="I390" i="45"/>
  <c r="I391" i="45"/>
  <c r="I392" i="45"/>
  <c r="I393" i="45"/>
  <c r="I394" i="45"/>
  <c r="I395" i="45"/>
  <c r="I396" i="45"/>
  <c r="I397" i="45"/>
  <c r="I398" i="45"/>
  <c r="I399" i="45"/>
  <c r="I400" i="45"/>
  <c r="I401" i="45"/>
  <c r="I402" i="45"/>
  <c r="I403" i="45"/>
  <c r="I404" i="45"/>
  <c r="I405" i="45"/>
  <c r="I406" i="45"/>
  <c r="I407" i="45"/>
  <c r="I408" i="45"/>
  <c r="I409" i="45"/>
  <c r="I410" i="45"/>
  <c r="I411" i="45"/>
  <c r="I412" i="45"/>
  <c r="I413" i="45"/>
  <c r="I414" i="45"/>
  <c r="I415" i="45"/>
  <c r="I416" i="45"/>
  <c r="I417" i="45"/>
  <c r="I418" i="45"/>
  <c r="I419" i="45"/>
  <c r="I420" i="45"/>
  <c r="I421" i="45"/>
  <c r="I422" i="45"/>
  <c r="I423" i="45"/>
  <c r="I424" i="45"/>
  <c r="I425" i="45"/>
  <c r="I426" i="45"/>
  <c r="I427" i="45"/>
  <c r="I428" i="45"/>
  <c r="I429" i="45"/>
  <c r="I430" i="45"/>
  <c r="I431" i="45"/>
  <c r="I432" i="45"/>
  <c r="I433" i="45"/>
  <c r="I434" i="45"/>
  <c r="I435" i="45"/>
  <c r="I436" i="45"/>
  <c r="I437" i="45"/>
  <c r="I438" i="45"/>
  <c r="I439" i="45"/>
  <c r="I440" i="45"/>
  <c r="I441" i="45"/>
  <c r="I442" i="45"/>
  <c r="I443" i="45"/>
  <c r="I444" i="45"/>
  <c r="I445" i="45"/>
  <c r="I446" i="45"/>
  <c r="I447" i="45"/>
  <c r="I448" i="45"/>
  <c r="I449" i="45"/>
  <c r="I450" i="45"/>
  <c r="I451" i="45"/>
  <c r="I452" i="45"/>
  <c r="I453" i="45"/>
  <c r="I454" i="45"/>
  <c r="I455" i="45"/>
  <c r="I456" i="45"/>
  <c r="I457" i="45"/>
  <c r="I458" i="45"/>
  <c r="I459" i="45"/>
  <c r="I460" i="45"/>
  <c r="I461" i="45"/>
  <c r="I462" i="45"/>
  <c r="I463" i="45"/>
  <c r="I464" i="45"/>
  <c r="I465" i="45"/>
  <c r="I466" i="45"/>
  <c r="I467" i="45"/>
  <c r="I468" i="45"/>
  <c r="I469" i="45"/>
  <c r="I470" i="45"/>
  <c r="I471" i="45"/>
  <c r="I472" i="45"/>
  <c r="I473" i="45"/>
  <c r="I474" i="45"/>
  <c r="I475" i="45"/>
  <c r="I476" i="45"/>
  <c r="I477" i="45"/>
  <c r="I478" i="45"/>
  <c r="I479" i="45"/>
  <c r="I480" i="45"/>
  <c r="I481" i="45"/>
  <c r="I482" i="45"/>
  <c r="I483" i="45"/>
  <c r="I484" i="45"/>
  <c r="I485" i="45"/>
  <c r="I486" i="45"/>
  <c r="I487" i="45"/>
  <c r="I488" i="45"/>
  <c r="I489" i="45"/>
  <c r="I490" i="45"/>
  <c r="I491" i="45"/>
  <c r="I492" i="45"/>
  <c r="I493" i="45"/>
  <c r="I494" i="45"/>
  <c r="I495" i="45"/>
  <c r="I496" i="45"/>
  <c r="I497" i="45"/>
  <c r="I498" i="45"/>
  <c r="I499" i="45"/>
  <c r="I500" i="45"/>
  <c r="I501" i="45"/>
  <c r="I502" i="45"/>
  <c r="I503" i="45"/>
  <c r="I504" i="45"/>
  <c r="I505" i="45"/>
  <c r="I506" i="45"/>
  <c r="I507" i="45"/>
  <c r="I508" i="45"/>
  <c r="I509" i="45"/>
  <c r="I510" i="45"/>
  <c r="I511" i="45"/>
  <c r="I512" i="45"/>
  <c r="I513" i="45"/>
  <c r="I514" i="45"/>
  <c r="I515" i="45"/>
  <c r="I516" i="45"/>
  <c r="I517" i="45"/>
  <c r="I518" i="45"/>
  <c r="I519" i="45"/>
  <c r="I520" i="45"/>
  <c r="I521" i="45"/>
  <c r="I522" i="45"/>
  <c r="I523" i="45"/>
  <c r="I524" i="45"/>
  <c r="I525" i="45"/>
  <c r="I526" i="45"/>
  <c r="I527" i="45"/>
  <c r="I528" i="45"/>
  <c r="I529" i="45"/>
  <c r="I530" i="45"/>
  <c r="I531" i="45"/>
  <c r="I532" i="45"/>
  <c r="I533" i="45"/>
  <c r="I534" i="45"/>
  <c r="I535" i="45"/>
  <c r="I536" i="45"/>
  <c r="I537" i="45"/>
  <c r="I538" i="45"/>
  <c r="I539" i="45"/>
  <c r="I540" i="45"/>
  <c r="I541" i="45"/>
  <c r="I542" i="45"/>
  <c r="I543" i="45"/>
  <c r="I544" i="45"/>
  <c r="I545" i="45"/>
  <c r="I546" i="45"/>
  <c r="I547" i="45"/>
  <c r="I548" i="45"/>
  <c r="I549" i="45"/>
  <c r="I550" i="45"/>
  <c r="I551" i="45"/>
  <c r="I552" i="45"/>
  <c r="I553" i="45"/>
  <c r="I554" i="45"/>
  <c r="I555" i="45"/>
  <c r="I556" i="45"/>
  <c r="I557" i="45"/>
  <c r="I558" i="45"/>
  <c r="I559" i="45"/>
  <c r="I560" i="45"/>
  <c r="I561" i="45"/>
  <c r="I562" i="45"/>
  <c r="I563" i="45"/>
  <c r="I564" i="45"/>
  <c r="I565" i="45"/>
  <c r="I566" i="45"/>
  <c r="I567" i="45"/>
  <c r="I568" i="45"/>
  <c r="I569" i="45"/>
  <c r="I570" i="45"/>
  <c r="I571" i="45"/>
  <c r="I572" i="45"/>
  <c r="I573" i="45"/>
  <c r="I574" i="45"/>
  <c r="I575" i="45"/>
  <c r="I576" i="45"/>
  <c r="I577" i="45"/>
  <c r="I578" i="45"/>
  <c r="I579" i="45"/>
  <c r="I580" i="45"/>
  <c r="I581" i="45"/>
  <c r="I582" i="45"/>
  <c r="I583" i="45"/>
  <c r="I584" i="45"/>
  <c r="I585" i="45"/>
  <c r="I586" i="45"/>
  <c r="I587" i="45"/>
  <c r="I588" i="45"/>
  <c r="I589" i="45"/>
  <c r="I590" i="45"/>
  <c r="I591" i="45"/>
  <c r="I592" i="45"/>
  <c r="I593" i="45"/>
  <c r="I594" i="45"/>
  <c r="I595" i="45"/>
  <c r="I596" i="45"/>
  <c r="I597" i="45"/>
  <c r="I598" i="45"/>
  <c r="I599" i="45"/>
  <c r="I600" i="45"/>
  <c r="I601" i="45"/>
  <c r="I602" i="45"/>
  <c r="I603" i="45"/>
  <c r="I604" i="45"/>
  <c r="I605" i="45"/>
  <c r="I606" i="45"/>
  <c r="I607" i="45"/>
  <c r="I608" i="45"/>
  <c r="I609" i="45"/>
  <c r="I610" i="45"/>
  <c r="I611" i="45"/>
  <c r="I612" i="45"/>
  <c r="I613" i="45"/>
  <c r="I614" i="45"/>
  <c r="I615" i="45"/>
  <c r="I616" i="45"/>
  <c r="I617" i="45"/>
  <c r="I618" i="45"/>
  <c r="I619" i="45"/>
  <c r="I620" i="45"/>
  <c r="I621" i="45"/>
  <c r="I622" i="45"/>
  <c r="I623" i="45"/>
  <c r="I624" i="45"/>
  <c r="I625" i="45"/>
  <c r="I626" i="45"/>
  <c r="I627" i="45"/>
  <c r="I628" i="45"/>
  <c r="I629" i="45"/>
  <c r="I630" i="45"/>
  <c r="I631" i="45"/>
  <c r="I632" i="45"/>
  <c r="I633" i="45"/>
  <c r="I634" i="45"/>
  <c r="I635" i="45"/>
  <c r="I636" i="45"/>
  <c r="I637" i="45"/>
  <c r="I638" i="45"/>
  <c r="I639" i="45"/>
  <c r="I640" i="45"/>
  <c r="I641" i="45"/>
  <c r="I642" i="45"/>
  <c r="I643" i="45"/>
  <c r="I644" i="45"/>
  <c r="I645" i="45"/>
  <c r="I646" i="45"/>
  <c r="I647" i="45"/>
  <c r="I648" i="45"/>
  <c r="I649" i="45"/>
  <c r="I650" i="45"/>
  <c r="I651" i="45"/>
  <c r="I652" i="45"/>
  <c r="I653" i="45"/>
  <c r="I654" i="45"/>
  <c r="I655" i="45"/>
  <c r="I656" i="45"/>
  <c r="I657" i="45"/>
  <c r="I658" i="45"/>
  <c r="I659" i="45"/>
  <c r="I660" i="45"/>
  <c r="I661" i="45"/>
  <c r="I662" i="45"/>
  <c r="I663" i="45"/>
  <c r="I664" i="45"/>
  <c r="I665" i="45"/>
  <c r="I666" i="45"/>
  <c r="I667" i="45"/>
  <c r="I668" i="45"/>
  <c r="I669" i="45"/>
  <c r="I670" i="45"/>
  <c r="I671" i="45"/>
  <c r="I672" i="45"/>
  <c r="I673" i="45"/>
  <c r="I674" i="45"/>
  <c r="I675" i="45"/>
  <c r="I676" i="45"/>
  <c r="I677" i="45"/>
  <c r="I678" i="45"/>
  <c r="I679" i="45"/>
  <c r="I680" i="45"/>
  <c r="I681" i="45"/>
  <c r="I682" i="45"/>
  <c r="I683" i="45"/>
  <c r="I684" i="45"/>
  <c r="I685" i="45"/>
  <c r="I686" i="45"/>
  <c r="I687" i="45"/>
  <c r="I688" i="45"/>
  <c r="I689" i="45"/>
  <c r="I690" i="45"/>
  <c r="I691" i="45"/>
  <c r="I692" i="45"/>
  <c r="I693" i="45"/>
  <c r="I694" i="45"/>
  <c r="I695" i="45"/>
  <c r="I696" i="45"/>
  <c r="I697" i="45"/>
  <c r="I698" i="45"/>
  <c r="I699" i="45"/>
  <c r="I700" i="45"/>
  <c r="I701" i="45"/>
  <c r="I702" i="45"/>
  <c r="I703" i="45"/>
  <c r="I704" i="45"/>
  <c r="I705" i="45"/>
  <c r="I706" i="45"/>
  <c r="I707" i="45"/>
  <c r="I708" i="45"/>
  <c r="I709" i="45"/>
  <c r="I710" i="45"/>
  <c r="I711" i="45"/>
  <c r="I712" i="45"/>
  <c r="I713" i="45"/>
  <c r="I714" i="45"/>
  <c r="I715" i="45"/>
  <c r="I716" i="45"/>
  <c r="I717" i="45"/>
  <c r="I718" i="45"/>
  <c r="I719" i="45"/>
  <c r="I720" i="45"/>
  <c r="I721" i="45"/>
  <c r="I722" i="45"/>
  <c r="I723" i="45"/>
  <c r="I724" i="45"/>
  <c r="I725" i="45"/>
  <c r="I726" i="45"/>
  <c r="I727" i="45"/>
  <c r="I728" i="45"/>
  <c r="I729" i="45"/>
  <c r="I730" i="45"/>
  <c r="I731" i="45"/>
  <c r="I732" i="45"/>
  <c r="I733" i="45"/>
  <c r="I734" i="45"/>
  <c r="I735" i="45"/>
  <c r="D7" i="43" l="1"/>
  <c r="D8" i="43" s="1"/>
  <c r="G3" i="45"/>
  <c r="D9" i="43" l="1"/>
  <c r="P12" i="45"/>
  <c r="Q11" i="45" s="1"/>
  <c r="G735" i="45"/>
  <c r="G734" i="45"/>
  <c r="G733" i="45"/>
  <c r="G732" i="45"/>
  <c r="G731" i="45"/>
  <c r="G730" i="45"/>
  <c r="G729" i="45"/>
  <c r="G728" i="45"/>
  <c r="G727" i="45"/>
  <c r="G726" i="45"/>
  <c r="G725" i="45"/>
  <c r="G724" i="45"/>
  <c r="G723" i="45"/>
  <c r="G722" i="45"/>
  <c r="G721" i="45"/>
  <c r="G720" i="45"/>
  <c r="G719" i="45"/>
  <c r="G718" i="45"/>
  <c r="G717" i="45"/>
  <c r="G716" i="45"/>
  <c r="G715" i="45"/>
  <c r="G714" i="45"/>
  <c r="G713" i="45"/>
  <c r="G712" i="45"/>
  <c r="G711" i="45"/>
  <c r="G710" i="45"/>
  <c r="G709" i="45"/>
  <c r="G708" i="45"/>
  <c r="G707" i="45"/>
  <c r="G706" i="45"/>
  <c r="G705" i="45"/>
  <c r="G704" i="45"/>
  <c r="G703" i="45"/>
  <c r="G702" i="45"/>
  <c r="G701" i="45"/>
  <c r="G700" i="45"/>
  <c r="G699" i="45"/>
  <c r="G698" i="45"/>
  <c r="G697" i="45"/>
  <c r="G696" i="45"/>
  <c r="G695" i="45"/>
  <c r="G694" i="45"/>
  <c r="G693" i="45"/>
  <c r="G692" i="45"/>
  <c r="G691" i="45"/>
  <c r="G690" i="45"/>
  <c r="G689" i="45"/>
  <c r="G688" i="45"/>
  <c r="G687" i="45"/>
  <c r="G686" i="45"/>
  <c r="G685" i="45"/>
  <c r="G684" i="45"/>
  <c r="G683" i="45"/>
  <c r="G682" i="45"/>
  <c r="G681" i="45"/>
  <c r="G680" i="45"/>
  <c r="G679" i="45"/>
  <c r="G678" i="45"/>
  <c r="G677" i="45"/>
  <c r="G676" i="45"/>
  <c r="G675" i="45"/>
  <c r="G674" i="45"/>
  <c r="G673" i="45"/>
  <c r="G672" i="45"/>
  <c r="G671" i="45"/>
  <c r="G670" i="45"/>
  <c r="G669" i="45"/>
  <c r="G668" i="45"/>
  <c r="G667" i="45"/>
  <c r="G666" i="45"/>
  <c r="G665" i="45"/>
  <c r="G664" i="45"/>
  <c r="G663" i="45"/>
  <c r="G662" i="45"/>
  <c r="G661" i="45"/>
  <c r="G660" i="45"/>
  <c r="G659" i="45"/>
  <c r="G658" i="45"/>
  <c r="G657" i="45"/>
  <c r="G656" i="45"/>
  <c r="G655" i="45"/>
  <c r="G654" i="45"/>
  <c r="G653" i="45"/>
  <c r="G652" i="45"/>
  <c r="G651" i="45"/>
  <c r="G650" i="45"/>
  <c r="G649" i="45"/>
  <c r="G648" i="45"/>
  <c r="G647" i="45"/>
  <c r="G646" i="45"/>
  <c r="G645" i="45"/>
  <c r="G644" i="45"/>
  <c r="G643" i="45"/>
  <c r="G642" i="45"/>
  <c r="G641" i="45"/>
  <c r="G640" i="45"/>
  <c r="G639" i="45"/>
  <c r="G638" i="45"/>
  <c r="G637" i="45"/>
  <c r="G636" i="45"/>
  <c r="G635" i="45"/>
  <c r="G634" i="45"/>
  <c r="G633" i="45"/>
  <c r="G632" i="45"/>
  <c r="G631" i="45"/>
  <c r="G630" i="45"/>
  <c r="G629" i="45"/>
  <c r="G628" i="45"/>
  <c r="G627" i="45"/>
  <c r="G626" i="45"/>
  <c r="G625" i="45"/>
  <c r="G624" i="45"/>
  <c r="G623" i="45"/>
  <c r="G622" i="45"/>
  <c r="G621" i="45"/>
  <c r="G620" i="45"/>
  <c r="G619" i="45"/>
  <c r="G618" i="45"/>
  <c r="G617" i="45"/>
  <c r="G616" i="45"/>
  <c r="G615" i="45"/>
  <c r="G614" i="45"/>
  <c r="G613" i="45"/>
  <c r="G612" i="45"/>
  <c r="G611" i="45"/>
  <c r="G610" i="45"/>
  <c r="G609" i="45"/>
  <c r="G608" i="45"/>
  <c r="G607" i="45"/>
  <c r="G606" i="45"/>
  <c r="G605" i="45"/>
  <c r="G604" i="45"/>
  <c r="G603" i="45"/>
  <c r="G602" i="45"/>
  <c r="G601" i="45"/>
  <c r="G600" i="45"/>
  <c r="G599" i="45"/>
  <c r="G598" i="45"/>
  <c r="G597" i="45"/>
  <c r="G596" i="45"/>
  <c r="G595" i="45"/>
  <c r="G594" i="45"/>
  <c r="G593" i="45"/>
  <c r="G592" i="45"/>
  <c r="G591" i="45"/>
  <c r="G590" i="45"/>
  <c r="G589" i="45"/>
  <c r="G588" i="45"/>
  <c r="G587" i="45"/>
  <c r="G586" i="45"/>
  <c r="G585" i="45"/>
  <c r="G584" i="45"/>
  <c r="G583" i="45"/>
  <c r="G582" i="45"/>
  <c r="G581" i="45"/>
  <c r="G580" i="45"/>
  <c r="G579" i="45"/>
  <c r="G578" i="45"/>
  <c r="G577" i="45"/>
  <c r="G576" i="45"/>
  <c r="G575" i="45"/>
  <c r="G574" i="45"/>
  <c r="G573" i="45"/>
  <c r="G572" i="45"/>
  <c r="G571" i="45"/>
  <c r="G570" i="45"/>
  <c r="G569" i="45"/>
  <c r="G568" i="45"/>
  <c r="G567" i="45"/>
  <c r="G566" i="45"/>
  <c r="G565" i="45"/>
  <c r="G564" i="45"/>
  <c r="G563" i="45"/>
  <c r="G562" i="45"/>
  <c r="G561" i="45"/>
  <c r="G560" i="45"/>
  <c r="G559" i="45"/>
  <c r="G558" i="45"/>
  <c r="G557" i="45"/>
  <c r="G556" i="45"/>
  <c r="G555" i="45"/>
  <c r="G554" i="45"/>
  <c r="G553" i="45"/>
  <c r="G552" i="45"/>
  <c r="G551" i="45"/>
  <c r="G550" i="45"/>
  <c r="G549" i="45"/>
  <c r="G548" i="45"/>
  <c r="G547" i="45"/>
  <c r="G546" i="45"/>
  <c r="G545" i="45"/>
  <c r="G544" i="45"/>
  <c r="G543" i="45"/>
  <c r="G542" i="45"/>
  <c r="G541" i="45"/>
  <c r="G540" i="45"/>
  <c r="G539" i="45"/>
  <c r="G538" i="45"/>
  <c r="G537" i="45"/>
  <c r="G536" i="45"/>
  <c r="G535" i="45"/>
  <c r="G534" i="45"/>
  <c r="G533" i="45"/>
  <c r="G532" i="45"/>
  <c r="G531" i="45"/>
  <c r="G530" i="45"/>
  <c r="G529" i="45"/>
  <c r="G528" i="45"/>
  <c r="G527" i="45"/>
  <c r="G526" i="45"/>
  <c r="G525" i="45"/>
  <c r="G524" i="45"/>
  <c r="G523" i="45"/>
  <c r="G522" i="45"/>
  <c r="G521" i="45"/>
  <c r="G520" i="45"/>
  <c r="G519" i="45"/>
  <c r="G518" i="45"/>
  <c r="G517" i="45"/>
  <c r="G516" i="45"/>
  <c r="G515" i="45"/>
  <c r="G514" i="45"/>
  <c r="G513" i="45"/>
  <c r="G512" i="45"/>
  <c r="G511" i="45"/>
  <c r="G510" i="45"/>
  <c r="G509" i="45"/>
  <c r="G508" i="45"/>
  <c r="G507" i="45"/>
  <c r="G506" i="45"/>
  <c r="G505" i="45"/>
  <c r="G504" i="45"/>
  <c r="G503" i="45"/>
  <c r="G502" i="45"/>
  <c r="G501" i="45"/>
  <c r="G500" i="45"/>
  <c r="G499" i="45"/>
  <c r="G498" i="45"/>
  <c r="G497" i="45"/>
  <c r="G496" i="45"/>
  <c r="G495" i="45"/>
  <c r="G494" i="45"/>
  <c r="G493" i="45"/>
  <c r="G492" i="45"/>
  <c r="G491" i="45"/>
  <c r="G490" i="45"/>
  <c r="G489" i="45"/>
  <c r="G488" i="45"/>
  <c r="G487" i="45"/>
  <c r="G486" i="45"/>
  <c r="G485" i="45"/>
  <c r="G484" i="45"/>
  <c r="G483" i="45"/>
  <c r="G482" i="45"/>
  <c r="G481" i="45"/>
  <c r="G480" i="45"/>
  <c r="G479" i="45"/>
  <c r="G478" i="45"/>
  <c r="G477" i="45"/>
  <c r="G476" i="45"/>
  <c r="G475" i="45"/>
  <c r="G474" i="45"/>
  <c r="G473" i="45"/>
  <c r="G472" i="45"/>
  <c r="G471" i="45"/>
  <c r="G470" i="45"/>
  <c r="G469" i="45"/>
  <c r="G468" i="45"/>
  <c r="G467" i="45"/>
  <c r="G466" i="45"/>
  <c r="G465" i="45"/>
  <c r="G464" i="45"/>
  <c r="G463" i="45"/>
  <c r="G462" i="45"/>
  <c r="G461" i="45"/>
  <c r="G460" i="45"/>
  <c r="G459" i="45"/>
  <c r="G458" i="45"/>
  <c r="G457" i="45"/>
  <c r="G456" i="45"/>
  <c r="G455" i="45"/>
  <c r="G454" i="45"/>
  <c r="G453" i="45"/>
  <c r="G452" i="45"/>
  <c r="G451" i="45"/>
  <c r="G450" i="45"/>
  <c r="G449" i="45"/>
  <c r="G448" i="45"/>
  <c r="G447" i="45"/>
  <c r="G446" i="45"/>
  <c r="G445" i="45"/>
  <c r="G444" i="45"/>
  <c r="G443" i="45"/>
  <c r="G442" i="45"/>
  <c r="G441" i="45"/>
  <c r="G440" i="45"/>
  <c r="G439" i="45"/>
  <c r="G438" i="45"/>
  <c r="G437" i="45"/>
  <c r="G436" i="45"/>
  <c r="G435" i="45"/>
  <c r="G434" i="45"/>
  <c r="G433" i="45"/>
  <c r="G432" i="45"/>
  <c r="G431" i="45"/>
  <c r="G430" i="45"/>
  <c r="G429" i="45"/>
  <c r="G428" i="45"/>
  <c r="G427" i="45"/>
  <c r="G426" i="45"/>
  <c r="G425" i="45"/>
  <c r="G424" i="45"/>
  <c r="G423" i="45"/>
  <c r="G422" i="45"/>
  <c r="G421" i="45"/>
  <c r="G420" i="45"/>
  <c r="G419" i="45"/>
  <c r="G418" i="45"/>
  <c r="G417" i="45"/>
  <c r="G416" i="45"/>
  <c r="G415" i="45"/>
  <c r="G414" i="45"/>
  <c r="G413" i="45"/>
  <c r="G412" i="45"/>
  <c r="G411" i="45"/>
  <c r="G410" i="45"/>
  <c r="G409" i="45"/>
  <c r="G408" i="45"/>
  <c r="G407" i="45"/>
  <c r="G406" i="45"/>
  <c r="G405" i="45"/>
  <c r="G404" i="45"/>
  <c r="G403" i="45"/>
  <c r="G402" i="45"/>
  <c r="G401" i="45"/>
  <c r="G400" i="45"/>
  <c r="G399" i="45"/>
  <c r="G398" i="45"/>
  <c r="G397" i="45"/>
  <c r="G396" i="45"/>
  <c r="G395" i="45"/>
  <c r="G394" i="45"/>
  <c r="G393" i="45"/>
  <c r="G392" i="45"/>
  <c r="G391" i="45"/>
  <c r="G390" i="45"/>
  <c r="G389" i="45"/>
  <c r="G388" i="45"/>
  <c r="G387" i="45"/>
  <c r="G386" i="45"/>
  <c r="G385" i="45"/>
  <c r="G384" i="45"/>
  <c r="G383" i="45"/>
  <c r="G382" i="45"/>
  <c r="G381" i="45"/>
  <c r="G380" i="45"/>
  <c r="G379" i="45"/>
  <c r="G378" i="45"/>
  <c r="G377" i="45"/>
  <c r="G376" i="45"/>
  <c r="G375" i="45"/>
  <c r="G374" i="45"/>
  <c r="G373" i="45"/>
  <c r="G372" i="45"/>
  <c r="G371" i="45"/>
  <c r="G370" i="45"/>
  <c r="G369" i="45"/>
  <c r="G368" i="45"/>
  <c r="G367" i="45"/>
  <c r="G366" i="45"/>
  <c r="G365" i="45"/>
  <c r="G364" i="45"/>
  <c r="G363" i="45"/>
  <c r="G362" i="45"/>
  <c r="G361" i="45"/>
  <c r="G360" i="45"/>
  <c r="G359" i="45"/>
  <c r="G358" i="45"/>
  <c r="G357" i="45"/>
  <c r="G356" i="45"/>
  <c r="G355" i="45"/>
  <c r="G354" i="45"/>
  <c r="G353" i="45"/>
  <c r="G352" i="45"/>
  <c r="G351" i="45"/>
  <c r="G350" i="45"/>
  <c r="G349" i="45"/>
  <c r="G348" i="45"/>
  <c r="G347" i="45"/>
  <c r="G346" i="45"/>
  <c r="G345" i="45"/>
  <c r="G344" i="45"/>
  <c r="G343" i="45"/>
  <c r="G342" i="45"/>
  <c r="G341" i="45"/>
  <c r="G340" i="45"/>
  <c r="G339" i="45"/>
  <c r="G338" i="45"/>
  <c r="G337" i="45"/>
  <c r="G336" i="45"/>
  <c r="G335" i="45"/>
  <c r="G334" i="45"/>
  <c r="G333" i="45"/>
  <c r="G332" i="45"/>
  <c r="G331" i="45"/>
  <c r="G330" i="45"/>
  <c r="G329" i="45"/>
  <c r="G328" i="45"/>
  <c r="G327" i="45"/>
  <c r="G326" i="45"/>
  <c r="G325" i="45"/>
  <c r="G324" i="45"/>
  <c r="G323" i="45"/>
  <c r="G322" i="45"/>
  <c r="G321" i="45"/>
  <c r="G320" i="45"/>
  <c r="G319" i="45"/>
  <c r="G318" i="45"/>
  <c r="G317" i="45"/>
  <c r="G316" i="45"/>
  <c r="G315" i="45"/>
  <c r="G314" i="45"/>
  <c r="G313" i="45"/>
  <c r="G312" i="45"/>
  <c r="G311" i="45"/>
  <c r="G310" i="45"/>
  <c r="G309" i="45"/>
  <c r="G308" i="45"/>
  <c r="G307" i="45"/>
  <c r="G306" i="45"/>
  <c r="G305" i="45"/>
  <c r="G304" i="45"/>
  <c r="G303" i="45"/>
  <c r="G302" i="45"/>
  <c r="G301" i="45"/>
  <c r="G300" i="45"/>
  <c r="G299" i="45"/>
  <c r="G298" i="45"/>
  <c r="G297" i="45"/>
  <c r="G296" i="45"/>
  <c r="G295" i="45"/>
  <c r="G294" i="45"/>
  <c r="G293" i="45"/>
  <c r="G292" i="45"/>
  <c r="G291" i="45"/>
  <c r="G290" i="45"/>
  <c r="G289" i="45"/>
  <c r="G288" i="45"/>
  <c r="G287" i="45"/>
  <c r="G286" i="45"/>
  <c r="G285" i="45"/>
  <c r="G284" i="45"/>
  <c r="G283" i="45"/>
  <c r="G282" i="45"/>
  <c r="G281" i="45"/>
  <c r="G280" i="45"/>
  <c r="G279" i="45"/>
  <c r="G278" i="45"/>
  <c r="G277" i="45"/>
  <c r="G276" i="45"/>
  <c r="G275" i="45"/>
  <c r="G274" i="45"/>
  <c r="G273" i="45"/>
  <c r="G272" i="45"/>
  <c r="G271" i="45"/>
  <c r="G270" i="45"/>
  <c r="G269" i="45"/>
  <c r="G268" i="45"/>
  <c r="G267" i="45"/>
  <c r="G266" i="45"/>
  <c r="G265" i="45"/>
  <c r="G264" i="45"/>
  <c r="G263" i="45"/>
  <c r="G262" i="45"/>
  <c r="G261" i="45"/>
  <c r="G260" i="45"/>
  <c r="G259" i="45"/>
  <c r="G258" i="45"/>
  <c r="G257" i="45"/>
  <c r="G256" i="45"/>
  <c r="G255" i="45"/>
  <c r="G254" i="45"/>
  <c r="G253" i="45"/>
  <c r="G252" i="45"/>
  <c r="G251" i="45"/>
  <c r="G250" i="45"/>
  <c r="G249" i="45"/>
  <c r="G248" i="45"/>
  <c r="G247" i="45"/>
  <c r="G246" i="45"/>
  <c r="G245" i="45"/>
  <c r="G244" i="45"/>
  <c r="G243" i="45"/>
  <c r="G242" i="45"/>
  <c r="G241" i="45"/>
  <c r="G240" i="45"/>
  <c r="G239" i="45"/>
  <c r="G238" i="45"/>
  <c r="G237" i="45"/>
  <c r="G236" i="45"/>
  <c r="G235" i="45"/>
  <c r="G234" i="45"/>
  <c r="G233" i="45"/>
  <c r="G232" i="45"/>
  <c r="G231" i="45"/>
  <c r="G230" i="45"/>
  <c r="G229" i="45"/>
  <c r="G228" i="45"/>
  <c r="G227" i="45"/>
  <c r="G226" i="45"/>
  <c r="G225" i="45"/>
  <c r="G224" i="45"/>
  <c r="G223" i="45"/>
  <c r="G222" i="45"/>
  <c r="G221" i="45"/>
  <c r="G220" i="45"/>
  <c r="G219" i="45"/>
  <c r="G218" i="45"/>
  <c r="G217" i="45"/>
  <c r="G216" i="45"/>
  <c r="G215" i="45"/>
  <c r="G214" i="45"/>
  <c r="G213" i="45"/>
  <c r="G212" i="45"/>
  <c r="G211" i="45"/>
  <c r="G210" i="45"/>
  <c r="G209" i="45"/>
  <c r="G208" i="45"/>
  <c r="G207" i="45"/>
  <c r="G206" i="45"/>
  <c r="G205" i="45"/>
  <c r="G204" i="45"/>
  <c r="G203" i="45"/>
  <c r="G202" i="45"/>
  <c r="G201" i="45"/>
  <c r="G200" i="45"/>
  <c r="G199" i="45"/>
  <c r="G198" i="45"/>
  <c r="G197" i="45"/>
  <c r="G196" i="45"/>
  <c r="G195" i="45"/>
  <c r="G194" i="45"/>
  <c r="G193" i="45"/>
  <c r="G192" i="45"/>
  <c r="G191" i="45"/>
  <c r="G190" i="45"/>
  <c r="G189" i="45"/>
  <c r="G188" i="45"/>
  <c r="G187" i="45"/>
  <c r="G186" i="45"/>
  <c r="G185" i="45"/>
  <c r="G184" i="45"/>
  <c r="G183" i="45"/>
  <c r="G182" i="45"/>
  <c r="G181" i="45"/>
  <c r="G180" i="45"/>
  <c r="G179" i="45"/>
  <c r="G178" i="45"/>
  <c r="G177" i="45"/>
  <c r="G176" i="45"/>
  <c r="G175" i="45"/>
  <c r="G174" i="45"/>
  <c r="G173" i="45"/>
  <c r="G172" i="45"/>
  <c r="G171" i="45"/>
  <c r="G170" i="45"/>
  <c r="G169" i="45"/>
  <c r="G168" i="45"/>
  <c r="G167" i="45"/>
  <c r="G166" i="45"/>
  <c r="G165" i="45"/>
  <c r="G164" i="45"/>
  <c r="G163" i="45"/>
  <c r="G162" i="45"/>
  <c r="G161" i="45"/>
  <c r="G160" i="45"/>
  <c r="G159" i="45"/>
  <c r="G158" i="45"/>
  <c r="G157" i="45"/>
  <c r="G156" i="45"/>
  <c r="G155" i="45"/>
  <c r="G154" i="45"/>
  <c r="G153" i="45"/>
  <c r="G152" i="45"/>
  <c r="G151" i="45"/>
  <c r="G150" i="45"/>
  <c r="G149" i="45"/>
  <c r="G148" i="45"/>
  <c r="G147" i="45"/>
  <c r="G146" i="45"/>
  <c r="G145" i="45"/>
  <c r="G144" i="45"/>
  <c r="G143" i="45"/>
  <c r="G142" i="45"/>
  <c r="G141" i="45"/>
  <c r="G140" i="45"/>
  <c r="G139" i="45"/>
  <c r="G138" i="45"/>
  <c r="G137" i="45"/>
  <c r="G136" i="45"/>
  <c r="G135" i="45"/>
  <c r="G134" i="45"/>
  <c r="G133" i="45"/>
  <c r="G132" i="45"/>
  <c r="G131" i="45"/>
  <c r="G130" i="45"/>
  <c r="G129" i="45"/>
  <c r="G128" i="45"/>
  <c r="G127" i="45"/>
  <c r="G126" i="45"/>
  <c r="G125" i="45"/>
  <c r="G124" i="45"/>
  <c r="G123" i="45"/>
  <c r="G122" i="45"/>
  <c r="G121" i="45"/>
  <c r="G120" i="45"/>
  <c r="G119" i="45"/>
  <c r="G118" i="45"/>
  <c r="G117" i="45"/>
  <c r="G116" i="45"/>
  <c r="G115" i="45"/>
  <c r="G114" i="45"/>
  <c r="G113" i="45"/>
  <c r="G112" i="45"/>
  <c r="G111" i="45"/>
  <c r="G110" i="45"/>
  <c r="G109" i="45"/>
  <c r="G108" i="45"/>
  <c r="G107" i="45"/>
  <c r="G106" i="45"/>
  <c r="G105" i="45"/>
  <c r="G104" i="45"/>
  <c r="G103" i="45"/>
  <c r="G102" i="45"/>
  <c r="G101" i="45"/>
  <c r="G100" i="45"/>
  <c r="G99" i="45"/>
  <c r="G98" i="45"/>
  <c r="G97" i="45"/>
  <c r="G96" i="45"/>
  <c r="G95" i="45"/>
  <c r="G94" i="45"/>
  <c r="G93" i="45"/>
  <c r="G92" i="45"/>
  <c r="G91" i="45"/>
  <c r="G90" i="45"/>
  <c r="G89" i="45"/>
  <c r="G88" i="45"/>
  <c r="G87" i="45"/>
  <c r="G86" i="45"/>
  <c r="G85" i="45"/>
  <c r="G84" i="45"/>
  <c r="G83" i="45"/>
  <c r="G82" i="45"/>
  <c r="G81" i="45"/>
  <c r="G80" i="45"/>
  <c r="G79" i="45"/>
  <c r="G78" i="45"/>
  <c r="G77" i="45"/>
  <c r="G76" i="45"/>
  <c r="G75" i="45"/>
  <c r="G74" i="45"/>
  <c r="G73" i="45"/>
  <c r="G72" i="45"/>
  <c r="G71" i="45"/>
  <c r="G70" i="45"/>
  <c r="G69" i="45"/>
  <c r="G68" i="45"/>
  <c r="G67" i="45"/>
  <c r="G66" i="45"/>
  <c r="G65" i="45"/>
  <c r="G64" i="45"/>
  <c r="G63" i="45"/>
  <c r="G62" i="45"/>
  <c r="G61" i="45"/>
  <c r="G60" i="45"/>
  <c r="G59" i="45"/>
  <c r="G58" i="45"/>
  <c r="G57" i="45"/>
  <c r="G56" i="45"/>
  <c r="G55" i="45"/>
  <c r="G54" i="45"/>
  <c r="G53" i="45"/>
  <c r="G52" i="45"/>
  <c r="G51" i="45"/>
  <c r="G50" i="45"/>
  <c r="G49" i="45"/>
  <c r="G48" i="45"/>
  <c r="G47" i="45"/>
  <c r="G46" i="45"/>
  <c r="G45" i="45"/>
  <c r="G44" i="45"/>
  <c r="G43" i="45"/>
  <c r="G42" i="45"/>
  <c r="G41" i="45"/>
  <c r="G40" i="45"/>
  <c r="G39" i="45"/>
  <c r="G38" i="45"/>
  <c r="G37" i="45"/>
  <c r="G36" i="45"/>
  <c r="G35" i="45"/>
  <c r="G34" i="45"/>
  <c r="G33" i="45"/>
  <c r="G32" i="45"/>
  <c r="G31" i="45"/>
  <c r="G30" i="45"/>
  <c r="G29" i="45"/>
  <c r="G28" i="45"/>
  <c r="G27" i="45"/>
  <c r="G26" i="45"/>
  <c r="G25" i="45"/>
  <c r="G24" i="45"/>
  <c r="G23" i="45"/>
  <c r="G22" i="45"/>
  <c r="G21" i="45"/>
  <c r="G20" i="45"/>
  <c r="G19" i="45"/>
  <c r="G18" i="45"/>
  <c r="G17" i="45"/>
  <c r="G16" i="45"/>
  <c r="G15" i="45"/>
  <c r="G14" i="45"/>
  <c r="G13" i="45"/>
  <c r="G12" i="45"/>
  <c r="G11" i="45"/>
  <c r="G10" i="45"/>
  <c r="G9" i="45"/>
  <c r="G8" i="45"/>
  <c r="G7" i="45"/>
  <c r="G6" i="45"/>
  <c r="G5" i="45"/>
  <c r="G4" i="45"/>
  <c r="K11" i="44" l="1"/>
  <c r="L11" i="44" s="1"/>
  <c r="K12" i="44"/>
  <c r="C735" i="42" l="1"/>
  <c r="C734" i="42"/>
  <c r="D733" i="42"/>
  <c r="C733" i="42"/>
  <c r="D735" i="42" s="1"/>
  <c r="C732" i="42"/>
  <c r="D734" i="42" s="1"/>
  <c r="E734" i="42" s="1"/>
  <c r="D731" i="42"/>
  <c r="C731" i="42"/>
  <c r="E731" i="42" s="1"/>
  <c r="C730" i="42"/>
  <c r="D732" i="42" s="1"/>
  <c r="E732" i="42" s="1"/>
  <c r="D729" i="42"/>
  <c r="C729" i="42"/>
  <c r="E729" i="42" s="1"/>
  <c r="C728" i="42"/>
  <c r="D730" i="42" s="1"/>
  <c r="E730" i="42" s="1"/>
  <c r="D727" i="42"/>
  <c r="C727" i="42"/>
  <c r="E727" i="42" s="1"/>
  <c r="C726" i="42"/>
  <c r="D728" i="42" s="1"/>
  <c r="E728" i="42" s="1"/>
  <c r="D725" i="42"/>
  <c r="C725" i="42"/>
  <c r="E725" i="42" s="1"/>
  <c r="C724" i="42"/>
  <c r="D726" i="42" s="1"/>
  <c r="E726" i="42" s="1"/>
  <c r="D723" i="42"/>
  <c r="C723" i="42"/>
  <c r="E723" i="42" s="1"/>
  <c r="C722" i="42"/>
  <c r="D724" i="42" s="1"/>
  <c r="E724" i="42" s="1"/>
  <c r="D721" i="42"/>
  <c r="C721" i="42"/>
  <c r="E721" i="42" s="1"/>
  <c r="C720" i="42"/>
  <c r="D722" i="42" s="1"/>
  <c r="E722" i="42" s="1"/>
  <c r="D719" i="42"/>
  <c r="C719" i="42"/>
  <c r="E719" i="42" s="1"/>
  <c r="C718" i="42"/>
  <c r="D720" i="42" s="1"/>
  <c r="E720" i="42" s="1"/>
  <c r="D717" i="42"/>
  <c r="C717" i="42"/>
  <c r="E717" i="42" s="1"/>
  <c r="C716" i="42"/>
  <c r="D718" i="42" s="1"/>
  <c r="E718" i="42" s="1"/>
  <c r="D715" i="42"/>
  <c r="C715" i="42"/>
  <c r="E715" i="42" s="1"/>
  <c r="C714" i="42"/>
  <c r="D716" i="42" s="1"/>
  <c r="E716" i="42" s="1"/>
  <c r="D713" i="42"/>
  <c r="C713" i="42"/>
  <c r="E713" i="42" s="1"/>
  <c r="C712" i="42"/>
  <c r="D714" i="42" s="1"/>
  <c r="E714" i="42" s="1"/>
  <c r="D711" i="42"/>
  <c r="C711" i="42"/>
  <c r="E711" i="42" s="1"/>
  <c r="C710" i="42"/>
  <c r="D712" i="42" s="1"/>
  <c r="E712" i="42" s="1"/>
  <c r="D709" i="42"/>
  <c r="C709" i="42"/>
  <c r="E709" i="42" s="1"/>
  <c r="C708" i="42"/>
  <c r="D710" i="42" s="1"/>
  <c r="E710" i="42" s="1"/>
  <c r="D707" i="42"/>
  <c r="C707" i="42"/>
  <c r="D708" i="42" s="1"/>
  <c r="E708" i="42" s="1"/>
  <c r="C706" i="42"/>
  <c r="D705" i="42"/>
  <c r="C705" i="42"/>
  <c r="D706" i="42" s="1"/>
  <c r="E706" i="42" s="1"/>
  <c r="C704" i="42"/>
  <c r="D703" i="42"/>
  <c r="C703" i="42"/>
  <c r="D704" i="42" s="1"/>
  <c r="E704" i="42" s="1"/>
  <c r="D702" i="42"/>
  <c r="E702" i="42" s="1"/>
  <c r="C702" i="42"/>
  <c r="D701" i="42"/>
  <c r="C701" i="42"/>
  <c r="E701" i="42" s="1"/>
  <c r="D700" i="42"/>
  <c r="E700" i="42" s="1"/>
  <c r="C700" i="42"/>
  <c r="D699" i="42"/>
  <c r="C699" i="42"/>
  <c r="E699" i="42" s="1"/>
  <c r="D698" i="42"/>
  <c r="E698" i="42" s="1"/>
  <c r="C698" i="42"/>
  <c r="D697" i="42"/>
  <c r="C697" i="42"/>
  <c r="E697" i="42" s="1"/>
  <c r="D696" i="42"/>
  <c r="E696" i="42" s="1"/>
  <c r="C696" i="42"/>
  <c r="D695" i="42"/>
  <c r="C695" i="42"/>
  <c r="D694" i="42"/>
  <c r="E694" i="42" s="1"/>
  <c r="C694" i="42"/>
  <c r="D693" i="42"/>
  <c r="C693" i="42"/>
  <c r="E693" i="42" s="1"/>
  <c r="D692" i="42"/>
  <c r="E692" i="42" s="1"/>
  <c r="C692" i="42"/>
  <c r="D691" i="42"/>
  <c r="C691" i="42"/>
  <c r="E691" i="42" s="1"/>
  <c r="D690" i="42"/>
  <c r="E690" i="42" s="1"/>
  <c r="C690" i="42"/>
  <c r="D689" i="42"/>
  <c r="C689" i="42"/>
  <c r="E689" i="42" s="1"/>
  <c r="D688" i="42"/>
  <c r="E688" i="42" s="1"/>
  <c r="C688" i="42"/>
  <c r="D687" i="42"/>
  <c r="C687" i="42"/>
  <c r="E687" i="42" s="1"/>
  <c r="D686" i="42"/>
  <c r="E686" i="42" s="1"/>
  <c r="C686" i="42"/>
  <c r="D685" i="42"/>
  <c r="C685" i="42"/>
  <c r="E685" i="42" s="1"/>
  <c r="D684" i="42"/>
  <c r="E684" i="42" s="1"/>
  <c r="C684" i="42"/>
  <c r="D683" i="42"/>
  <c r="C683" i="42"/>
  <c r="D682" i="42"/>
  <c r="E682" i="42" s="1"/>
  <c r="C682" i="42"/>
  <c r="D681" i="42"/>
  <c r="C681" i="42"/>
  <c r="D680" i="42"/>
  <c r="E680" i="42" s="1"/>
  <c r="C680" i="42"/>
  <c r="D679" i="42"/>
  <c r="C679" i="42"/>
  <c r="D678" i="42"/>
  <c r="E678" i="42" s="1"/>
  <c r="C678" i="42"/>
  <c r="D677" i="42"/>
  <c r="C677" i="42"/>
  <c r="D676" i="42"/>
  <c r="E676" i="42" s="1"/>
  <c r="C676" i="42"/>
  <c r="D675" i="42"/>
  <c r="C675" i="42"/>
  <c r="D674" i="42"/>
  <c r="E674" i="42" s="1"/>
  <c r="C674" i="42"/>
  <c r="D673" i="42"/>
  <c r="C673" i="42"/>
  <c r="D672" i="42"/>
  <c r="E672" i="42" s="1"/>
  <c r="C672" i="42"/>
  <c r="D671" i="42"/>
  <c r="C671" i="42"/>
  <c r="D670" i="42"/>
  <c r="E670" i="42" s="1"/>
  <c r="C670" i="42"/>
  <c r="D669" i="42"/>
  <c r="C669" i="42"/>
  <c r="D668" i="42"/>
  <c r="E668" i="42" s="1"/>
  <c r="C668" i="42"/>
  <c r="C667" i="42"/>
  <c r="C666" i="42"/>
  <c r="C665" i="42"/>
  <c r="D664" i="42"/>
  <c r="E664" i="42" s="1"/>
  <c r="C664" i="42"/>
  <c r="C663" i="42"/>
  <c r="D665" i="42" s="1"/>
  <c r="C662" i="42"/>
  <c r="C661" i="42"/>
  <c r="D660" i="42"/>
  <c r="E660" i="42" s="1"/>
  <c r="C660" i="42"/>
  <c r="C659" i="42"/>
  <c r="D661" i="42" s="1"/>
  <c r="C658" i="42"/>
  <c r="C657" i="42"/>
  <c r="D656" i="42"/>
  <c r="E656" i="42" s="1"/>
  <c r="C656" i="42"/>
  <c r="C655" i="42"/>
  <c r="D657" i="42" s="1"/>
  <c r="C654" i="42"/>
  <c r="C653" i="42"/>
  <c r="D652" i="42"/>
  <c r="E652" i="42" s="1"/>
  <c r="C652" i="42"/>
  <c r="C651" i="42"/>
  <c r="D653" i="42" s="1"/>
  <c r="C650" i="42"/>
  <c r="C649" i="42"/>
  <c r="C648" i="42"/>
  <c r="C647" i="42"/>
  <c r="C646" i="42"/>
  <c r="C645" i="42"/>
  <c r="C644" i="42"/>
  <c r="C643" i="42"/>
  <c r="C642" i="42"/>
  <c r="C641" i="42"/>
  <c r="C640" i="42"/>
  <c r="C639" i="42"/>
  <c r="C638" i="42"/>
  <c r="C637" i="42"/>
  <c r="C636" i="42"/>
  <c r="C635" i="42"/>
  <c r="C634" i="42"/>
  <c r="C633" i="42"/>
  <c r="C632" i="42"/>
  <c r="C631" i="42"/>
  <c r="C630" i="42"/>
  <c r="C629" i="42"/>
  <c r="C628" i="42"/>
  <c r="C627" i="42"/>
  <c r="C626" i="42"/>
  <c r="C625" i="42"/>
  <c r="C624" i="42"/>
  <c r="C623" i="42"/>
  <c r="C622" i="42"/>
  <c r="C621" i="42"/>
  <c r="C620" i="42"/>
  <c r="C619" i="42"/>
  <c r="C618" i="42"/>
  <c r="C617" i="42"/>
  <c r="D619" i="42" s="1"/>
  <c r="E619" i="42" s="1"/>
  <c r="C616" i="42"/>
  <c r="D618" i="42" s="1"/>
  <c r="C615" i="42"/>
  <c r="D617" i="42" s="1"/>
  <c r="E617" i="42" s="1"/>
  <c r="C614" i="42"/>
  <c r="D616" i="42" s="1"/>
  <c r="E616" i="42" s="1"/>
  <c r="D613" i="42"/>
  <c r="C613" i="42"/>
  <c r="D615" i="42" s="1"/>
  <c r="E612" i="42"/>
  <c r="C612" i="42"/>
  <c r="D614" i="42" s="1"/>
  <c r="C611" i="42"/>
  <c r="E610" i="42"/>
  <c r="C610" i="42"/>
  <c r="D612" i="42" s="1"/>
  <c r="C609" i="42"/>
  <c r="C608" i="42"/>
  <c r="D610" i="42" s="1"/>
  <c r="C607" i="42"/>
  <c r="D609" i="42" s="1"/>
  <c r="E609" i="42" s="1"/>
  <c r="C606" i="42"/>
  <c r="D608" i="42" s="1"/>
  <c r="E608" i="42" s="1"/>
  <c r="D605" i="42"/>
  <c r="C605" i="42"/>
  <c r="D607" i="42" s="1"/>
  <c r="E604" i="42"/>
  <c r="C604" i="42"/>
  <c r="D606" i="42" s="1"/>
  <c r="C603" i="42"/>
  <c r="E602" i="42"/>
  <c r="C602" i="42"/>
  <c r="D604" i="42" s="1"/>
  <c r="C601" i="42"/>
  <c r="C600" i="42"/>
  <c r="D602" i="42" s="1"/>
  <c r="C599" i="42"/>
  <c r="D601" i="42" s="1"/>
  <c r="E601" i="42" s="1"/>
  <c r="C598" i="42"/>
  <c r="D600" i="42" s="1"/>
  <c r="E600" i="42" s="1"/>
  <c r="D597" i="42"/>
  <c r="C597" i="42"/>
  <c r="D599" i="42" s="1"/>
  <c r="E596" i="42"/>
  <c r="C596" i="42"/>
  <c r="D598" i="42" s="1"/>
  <c r="C595" i="42"/>
  <c r="E594" i="42"/>
  <c r="C594" i="42"/>
  <c r="D596" i="42" s="1"/>
  <c r="C593" i="42"/>
  <c r="C592" i="42"/>
  <c r="D594" i="42" s="1"/>
  <c r="C591" i="42"/>
  <c r="D593" i="42" s="1"/>
  <c r="E593" i="42" s="1"/>
  <c r="C590" i="42"/>
  <c r="D592" i="42" s="1"/>
  <c r="E592" i="42" s="1"/>
  <c r="C589" i="42"/>
  <c r="D591" i="42" s="1"/>
  <c r="C588" i="42"/>
  <c r="D590" i="42" s="1"/>
  <c r="C587" i="42"/>
  <c r="C586" i="42"/>
  <c r="C585" i="42"/>
  <c r="C584" i="42"/>
  <c r="D586" i="42" s="1"/>
  <c r="E586" i="42" s="1"/>
  <c r="C583" i="42"/>
  <c r="C582" i="42"/>
  <c r="D584" i="42" s="1"/>
  <c r="E584" i="42" s="1"/>
  <c r="C581" i="42"/>
  <c r="C580" i="42"/>
  <c r="D582" i="42" s="1"/>
  <c r="E582" i="42" s="1"/>
  <c r="C579" i="42"/>
  <c r="C578" i="42"/>
  <c r="D580" i="42" s="1"/>
  <c r="E580" i="42" s="1"/>
  <c r="C577" i="42"/>
  <c r="C576" i="42"/>
  <c r="D578" i="42" s="1"/>
  <c r="E578" i="42" s="1"/>
  <c r="C575" i="42"/>
  <c r="C574" i="42"/>
  <c r="D576" i="42" s="1"/>
  <c r="E576" i="42" s="1"/>
  <c r="C573" i="42"/>
  <c r="C572" i="42"/>
  <c r="C571" i="42"/>
  <c r="D573" i="42" s="1"/>
  <c r="C570" i="42"/>
  <c r="C569" i="42"/>
  <c r="D571" i="42" s="1"/>
  <c r="C568" i="42"/>
  <c r="C567" i="42"/>
  <c r="D569" i="42" s="1"/>
  <c r="C566" i="42"/>
  <c r="D568" i="42" s="1"/>
  <c r="E568" i="42" s="1"/>
  <c r="C565" i="42"/>
  <c r="D567" i="42" s="1"/>
  <c r="E567" i="42" s="1"/>
  <c r="D564" i="42"/>
  <c r="C564" i="42"/>
  <c r="D566" i="42" s="1"/>
  <c r="E563" i="42"/>
  <c r="C563" i="42"/>
  <c r="D565" i="42" s="1"/>
  <c r="C562" i="42"/>
  <c r="C561" i="42"/>
  <c r="D563" i="42" s="1"/>
  <c r="C560" i="42"/>
  <c r="C559" i="42"/>
  <c r="D561" i="42" s="1"/>
  <c r="C558" i="42"/>
  <c r="D560" i="42" s="1"/>
  <c r="E560" i="42" s="1"/>
  <c r="C557" i="42"/>
  <c r="D559" i="42" s="1"/>
  <c r="E559" i="42" s="1"/>
  <c r="D556" i="42"/>
  <c r="C556" i="42"/>
  <c r="D558" i="42" s="1"/>
  <c r="E555" i="42"/>
  <c r="C555" i="42"/>
  <c r="D557" i="42" s="1"/>
  <c r="C554" i="42"/>
  <c r="C553" i="42"/>
  <c r="D555" i="42" s="1"/>
  <c r="C552" i="42"/>
  <c r="C551" i="42"/>
  <c r="D553" i="42" s="1"/>
  <c r="C550" i="42"/>
  <c r="D552" i="42" s="1"/>
  <c r="E552" i="42" s="1"/>
  <c r="C549" i="42"/>
  <c r="D551" i="42" s="1"/>
  <c r="E551" i="42" s="1"/>
  <c r="D548" i="42"/>
  <c r="C548" i="42"/>
  <c r="D550" i="42" s="1"/>
  <c r="E547" i="42"/>
  <c r="C547" i="42"/>
  <c r="D549" i="42" s="1"/>
  <c r="C546" i="42"/>
  <c r="C545" i="42"/>
  <c r="D547" i="42" s="1"/>
  <c r="C544" i="42"/>
  <c r="C543" i="42"/>
  <c r="D545" i="42" s="1"/>
  <c r="C542" i="42"/>
  <c r="D544" i="42" s="1"/>
  <c r="E544" i="42" s="1"/>
  <c r="C541" i="42"/>
  <c r="D543" i="42" s="1"/>
  <c r="E543" i="42" s="1"/>
  <c r="D540" i="42"/>
  <c r="C540" i="42"/>
  <c r="D542" i="42" s="1"/>
  <c r="E539" i="42"/>
  <c r="C539" i="42"/>
  <c r="D541" i="42" s="1"/>
  <c r="C538" i="42"/>
  <c r="C537" i="42"/>
  <c r="D539" i="42" s="1"/>
  <c r="D536" i="42"/>
  <c r="E536" i="42" s="1"/>
  <c r="C536" i="42"/>
  <c r="C535" i="42"/>
  <c r="D537" i="42" s="1"/>
  <c r="D534" i="42"/>
  <c r="C534" i="42"/>
  <c r="E534" i="42" s="1"/>
  <c r="D533" i="42"/>
  <c r="E533" i="42" s="1"/>
  <c r="C533" i="42"/>
  <c r="D532" i="42"/>
  <c r="C532" i="42"/>
  <c r="E532" i="42" s="1"/>
  <c r="D531" i="42"/>
  <c r="E531" i="42" s="1"/>
  <c r="C531" i="42"/>
  <c r="D530" i="42"/>
  <c r="C530" i="42"/>
  <c r="E530" i="42" s="1"/>
  <c r="D529" i="42"/>
  <c r="E529" i="42" s="1"/>
  <c r="C529" i="42"/>
  <c r="D528" i="42"/>
  <c r="C528" i="42"/>
  <c r="E528" i="42" s="1"/>
  <c r="D527" i="42"/>
  <c r="E527" i="42" s="1"/>
  <c r="C527" i="42"/>
  <c r="D526" i="42"/>
  <c r="C526" i="42"/>
  <c r="E526" i="42" s="1"/>
  <c r="D525" i="42"/>
  <c r="E525" i="42" s="1"/>
  <c r="C525" i="42"/>
  <c r="D524" i="42"/>
  <c r="C524" i="42"/>
  <c r="E524" i="42" s="1"/>
  <c r="D523" i="42"/>
  <c r="E523" i="42" s="1"/>
  <c r="C523" i="42"/>
  <c r="D522" i="42"/>
  <c r="C522" i="42"/>
  <c r="E522" i="42" s="1"/>
  <c r="D521" i="42"/>
  <c r="E521" i="42" s="1"/>
  <c r="C521" i="42"/>
  <c r="D520" i="42"/>
  <c r="C520" i="42"/>
  <c r="E520" i="42" s="1"/>
  <c r="D519" i="42"/>
  <c r="E519" i="42" s="1"/>
  <c r="C519" i="42"/>
  <c r="D518" i="42"/>
  <c r="C518" i="42"/>
  <c r="E518" i="42" s="1"/>
  <c r="D517" i="42"/>
  <c r="E517" i="42" s="1"/>
  <c r="C517" i="42"/>
  <c r="D516" i="42"/>
  <c r="C516" i="42"/>
  <c r="E516" i="42" s="1"/>
  <c r="D515" i="42"/>
  <c r="E515" i="42" s="1"/>
  <c r="C515" i="42"/>
  <c r="D514" i="42"/>
  <c r="C514" i="42"/>
  <c r="E514" i="42" s="1"/>
  <c r="D513" i="42"/>
  <c r="E513" i="42" s="1"/>
  <c r="C513" i="42"/>
  <c r="D512" i="42"/>
  <c r="C512" i="42"/>
  <c r="E512" i="42" s="1"/>
  <c r="D511" i="42"/>
  <c r="E511" i="42" s="1"/>
  <c r="C511" i="42"/>
  <c r="D510" i="42"/>
  <c r="C510" i="42"/>
  <c r="E510" i="42" s="1"/>
  <c r="D509" i="42"/>
  <c r="E509" i="42" s="1"/>
  <c r="C509" i="42"/>
  <c r="D508" i="42"/>
  <c r="C508" i="42"/>
  <c r="E508" i="42" s="1"/>
  <c r="D507" i="42"/>
  <c r="E507" i="42" s="1"/>
  <c r="C507" i="42"/>
  <c r="D506" i="42"/>
  <c r="C506" i="42"/>
  <c r="E506" i="42" s="1"/>
  <c r="D505" i="42"/>
  <c r="E505" i="42" s="1"/>
  <c r="C505" i="42"/>
  <c r="D504" i="42"/>
  <c r="C504" i="42"/>
  <c r="E504" i="42" s="1"/>
  <c r="D503" i="42"/>
  <c r="E503" i="42" s="1"/>
  <c r="C503" i="42"/>
  <c r="D502" i="42"/>
  <c r="C502" i="42"/>
  <c r="D501" i="42"/>
  <c r="E501" i="42" s="1"/>
  <c r="C501" i="42"/>
  <c r="D500" i="42"/>
  <c r="C500" i="42"/>
  <c r="E500" i="42" s="1"/>
  <c r="D499" i="42"/>
  <c r="E499" i="42" s="1"/>
  <c r="C499" i="42"/>
  <c r="D498" i="42"/>
  <c r="C498" i="42"/>
  <c r="D497" i="42"/>
  <c r="E497" i="42" s="1"/>
  <c r="C497" i="42"/>
  <c r="D496" i="42"/>
  <c r="C496" i="42"/>
  <c r="E496" i="42" s="1"/>
  <c r="D495" i="42"/>
  <c r="E495" i="42" s="1"/>
  <c r="C495" i="42"/>
  <c r="D494" i="42"/>
  <c r="C494" i="42"/>
  <c r="E494" i="42" s="1"/>
  <c r="D493" i="42"/>
  <c r="E493" i="42" s="1"/>
  <c r="C493" i="42"/>
  <c r="D492" i="42"/>
  <c r="C492" i="42"/>
  <c r="D491" i="42"/>
  <c r="E491" i="42" s="1"/>
  <c r="C491" i="42"/>
  <c r="D490" i="42"/>
  <c r="C490" i="42"/>
  <c r="D489" i="42"/>
  <c r="E489" i="42" s="1"/>
  <c r="C489" i="42"/>
  <c r="D488" i="42"/>
  <c r="C488" i="42"/>
  <c r="D487" i="42"/>
  <c r="E487" i="42" s="1"/>
  <c r="C487" i="42"/>
  <c r="D486" i="42"/>
  <c r="C486" i="42"/>
  <c r="D485" i="42"/>
  <c r="E485" i="42" s="1"/>
  <c r="C485" i="42"/>
  <c r="D484" i="42"/>
  <c r="C484" i="42"/>
  <c r="D483" i="42"/>
  <c r="E483" i="42" s="1"/>
  <c r="C483" i="42"/>
  <c r="D482" i="42"/>
  <c r="C482" i="42"/>
  <c r="D481" i="42"/>
  <c r="E481" i="42" s="1"/>
  <c r="C481" i="42"/>
  <c r="D480" i="42"/>
  <c r="C480" i="42"/>
  <c r="D479" i="42"/>
  <c r="E479" i="42" s="1"/>
  <c r="C479" i="42"/>
  <c r="D478" i="42"/>
  <c r="C478" i="42"/>
  <c r="D477" i="42"/>
  <c r="E477" i="42" s="1"/>
  <c r="C477" i="42"/>
  <c r="D476" i="42"/>
  <c r="C476" i="42"/>
  <c r="D475" i="42"/>
  <c r="E475" i="42" s="1"/>
  <c r="C475" i="42"/>
  <c r="D474" i="42"/>
  <c r="C474" i="42"/>
  <c r="D473" i="42"/>
  <c r="E473" i="42" s="1"/>
  <c r="C473" i="42"/>
  <c r="D472" i="42"/>
  <c r="C472" i="42"/>
  <c r="D471" i="42"/>
  <c r="E471" i="42" s="1"/>
  <c r="C471" i="42"/>
  <c r="D470" i="42"/>
  <c r="C470" i="42"/>
  <c r="D469" i="42"/>
  <c r="E469" i="42" s="1"/>
  <c r="C469" i="42"/>
  <c r="D468" i="42"/>
  <c r="C468" i="42"/>
  <c r="D467" i="42"/>
  <c r="E467" i="42" s="1"/>
  <c r="C467" i="42"/>
  <c r="D466" i="42"/>
  <c r="C466" i="42"/>
  <c r="D465" i="42"/>
  <c r="E465" i="42" s="1"/>
  <c r="C465" i="42"/>
  <c r="D464" i="42"/>
  <c r="C464" i="42"/>
  <c r="D463" i="42"/>
  <c r="E463" i="42" s="1"/>
  <c r="C463" i="42"/>
  <c r="D462" i="42"/>
  <c r="C462" i="42"/>
  <c r="D461" i="42"/>
  <c r="E461" i="42" s="1"/>
  <c r="C461" i="42"/>
  <c r="D460" i="42"/>
  <c r="C460" i="42"/>
  <c r="D459" i="42"/>
  <c r="E459" i="42" s="1"/>
  <c r="C459" i="42"/>
  <c r="D458" i="42"/>
  <c r="C458" i="42"/>
  <c r="D457" i="42"/>
  <c r="E457" i="42" s="1"/>
  <c r="C457" i="42"/>
  <c r="D456" i="42"/>
  <c r="C456" i="42"/>
  <c r="D455" i="42"/>
  <c r="E455" i="42" s="1"/>
  <c r="C455" i="42"/>
  <c r="D454" i="42"/>
  <c r="C454" i="42"/>
  <c r="D453" i="42"/>
  <c r="E453" i="42" s="1"/>
  <c r="C453" i="42"/>
  <c r="D452" i="42"/>
  <c r="C452" i="42"/>
  <c r="D451" i="42"/>
  <c r="E451" i="42" s="1"/>
  <c r="C451" i="42"/>
  <c r="D450" i="42"/>
  <c r="C450" i="42"/>
  <c r="D449" i="42"/>
  <c r="E449" i="42" s="1"/>
  <c r="C449" i="42"/>
  <c r="D448" i="42"/>
  <c r="C448" i="42"/>
  <c r="D447" i="42"/>
  <c r="E447" i="42" s="1"/>
  <c r="C447" i="42"/>
  <c r="D446" i="42"/>
  <c r="C446" i="42"/>
  <c r="D445" i="42"/>
  <c r="E445" i="42" s="1"/>
  <c r="C445" i="42"/>
  <c r="D444" i="42"/>
  <c r="C444" i="42"/>
  <c r="D443" i="42"/>
  <c r="E443" i="42" s="1"/>
  <c r="C443" i="42"/>
  <c r="D442" i="42"/>
  <c r="C442" i="42"/>
  <c r="D441" i="42"/>
  <c r="E441" i="42" s="1"/>
  <c r="C441" i="42"/>
  <c r="D440" i="42"/>
  <c r="C440" i="42"/>
  <c r="D439" i="42"/>
  <c r="E439" i="42" s="1"/>
  <c r="C439" i="42"/>
  <c r="D438" i="42"/>
  <c r="C438" i="42"/>
  <c r="C437" i="42"/>
  <c r="D436" i="42"/>
  <c r="C436" i="42"/>
  <c r="E436" i="42" s="1"/>
  <c r="D435" i="42"/>
  <c r="E435" i="42" s="1"/>
  <c r="C435" i="42"/>
  <c r="D434" i="42"/>
  <c r="C434" i="42"/>
  <c r="C433" i="42"/>
  <c r="D432" i="42"/>
  <c r="C432" i="42"/>
  <c r="E432" i="42" s="1"/>
  <c r="D431" i="42"/>
  <c r="E431" i="42" s="1"/>
  <c r="C431" i="42"/>
  <c r="C430" i="42"/>
  <c r="C429" i="42"/>
  <c r="D428" i="42"/>
  <c r="C428" i="42"/>
  <c r="D430" i="42" s="1"/>
  <c r="D427" i="42"/>
  <c r="E427" i="42" s="1"/>
  <c r="C427" i="42"/>
  <c r="C426" i="42"/>
  <c r="C425" i="42"/>
  <c r="D424" i="42"/>
  <c r="C424" i="42"/>
  <c r="D423" i="42"/>
  <c r="E423" i="42" s="1"/>
  <c r="C423" i="42"/>
  <c r="C422" i="42"/>
  <c r="C421" i="42"/>
  <c r="D420" i="42"/>
  <c r="C420" i="42"/>
  <c r="D419" i="42"/>
  <c r="E419" i="42" s="1"/>
  <c r="C419" i="42"/>
  <c r="C418" i="42"/>
  <c r="C417" i="42"/>
  <c r="D416" i="42"/>
  <c r="C416" i="42"/>
  <c r="D415" i="42"/>
  <c r="E415" i="42" s="1"/>
  <c r="C415" i="42"/>
  <c r="D414" i="42"/>
  <c r="C414" i="42"/>
  <c r="C413" i="42"/>
  <c r="C412" i="42"/>
  <c r="C411" i="42"/>
  <c r="C410" i="42"/>
  <c r="D412" i="42" s="1"/>
  <c r="C409" i="42"/>
  <c r="D411" i="42" s="1"/>
  <c r="E411" i="42" s="1"/>
  <c r="C408" i="42"/>
  <c r="C407" i="42"/>
  <c r="C406" i="42"/>
  <c r="D405" i="42"/>
  <c r="C405" i="42"/>
  <c r="D406" i="42" s="1"/>
  <c r="E406" i="42" s="1"/>
  <c r="C404" i="42"/>
  <c r="D403" i="42"/>
  <c r="C403" i="42"/>
  <c r="C402" i="42"/>
  <c r="D401" i="42"/>
  <c r="C401" i="42"/>
  <c r="D400" i="42"/>
  <c r="C400" i="42"/>
  <c r="E400" i="42" s="1"/>
  <c r="D399" i="42"/>
  <c r="C399" i="42"/>
  <c r="E399" i="42" s="1"/>
  <c r="D398" i="42"/>
  <c r="E398" i="42" s="1"/>
  <c r="C398" i="42"/>
  <c r="D397" i="42"/>
  <c r="C397" i="42"/>
  <c r="E397" i="42" s="1"/>
  <c r="D396" i="42"/>
  <c r="E396" i="42" s="1"/>
  <c r="C396" i="42"/>
  <c r="D395" i="42"/>
  <c r="C395" i="42"/>
  <c r="E395" i="42" s="1"/>
  <c r="D394" i="42"/>
  <c r="E394" i="42" s="1"/>
  <c r="C394" i="42"/>
  <c r="D393" i="42"/>
  <c r="C393" i="42"/>
  <c r="E393" i="42" s="1"/>
  <c r="D392" i="42"/>
  <c r="E392" i="42" s="1"/>
  <c r="C392" i="42"/>
  <c r="D391" i="42"/>
  <c r="C391" i="42"/>
  <c r="E391" i="42" s="1"/>
  <c r="D390" i="42"/>
  <c r="E390" i="42" s="1"/>
  <c r="C390" i="42"/>
  <c r="D389" i="42"/>
  <c r="C389" i="42"/>
  <c r="E389" i="42" s="1"/>
  <c r="D388" i="42"/>
  <c r="E388" i="42" s="1"/>
  <c r="C388" i="42"/>
  <c r="D387" i="42"/>
  <c r="C387" i="42"/>
  <c r="E387" i="42" s="1"/>
  <c r="D386" i="42"/>
  <c r="E386" i="42" s="1"/>
  <c r="C386" i="42"/>
  <c r="D385" i="42"/>
  <c r="C385" i="42"/>
  <c r="D384" i="42"/>
  <c r="E384" i="42" s="1"/>
  <c r="C384" i="42"/>
  <c r="D383" i="42"/>
  <c r="C383" i="42"/>
  <c r="D382" i="42"/>
  <c r="E382" i="42" s="1"/>
  <c r="C382" i="42"/>
  <c r="D381" i="42"/>
  <c r="C381" i="42"/>
  <c r="D380" i="42"/>
  <c r="E380" i="42" s="1"/>
  <c r="C380" i="42"/>
  <c r="D379" i="42"/>
  <c r="C379" i="42"/>
  <c r="D378" i="42"/>
  <c r="E378" i="42" s="1"/>
  <c r="C378" i="42"/>
  <c r="D377" i="42"/>
  <c r="C377" i="42"/>
  <c r="D376" i="42"/>
  <c r="E376" i="42" s="1"/>
  <c r="C376" i="42"/>
  <c r="D375" i="42"/>
  <c r="C375" i="42"/>
  <c r="D374" i="42"/>
  <c r="E374" i="42" s="1"/>
  <c r="C374" i="42"/>
  <c r="D373" i="42"/>
  <c r="C373" i="42"/>
  <c r="D372" i="42"/>
  <c r="E372" i="42" s="1"/>
  <c r="C372" i="42"/>
  <c r="D371" i="42"/>
  <c r="C371" i="42"/>
  <c r="E371" i="42" s="1"/>
  <c r="D370" i="42"/>
  <c r="E370" i="42" s="1"/>
  <c r="C370" i="42"/>
  <c r="D369" i="42"/>
  <c r="C369" i="42"/>
  <c r="E369" i="42" s="1"/>
  <c r="D368" i="42"/>
  <c r="E368" i="42" s="1"/>
  <c r="C368" i="42"/>
  <c r="D367" i="42"/>
  <c r="C367" i="42"/>
  <c r="D366" i="42"/>
  <c r="E366" i="42" s="1"/>
  <c r="C366" i="42"/>
  <c r="D365" i="42"/>
  <c r="C365" i="42"/>
  <c r="D364" i="42"/>
  <c r="E364" i="42" s="1"/>
  <c r="C364" i="42"/>
  <c r="D363" i="42"/>
  <c r="C363" i="42"/>
  <c r="D362" i="42"/>
  <c r="E362" i="42" s="1"/>
  <c r="C362" i="42"/>
  <c r="D361" i="42"/>
  <c r="C361" i="42"/>
  <c r="D360" i="42"/>
  <c r="E360" i="42" s="1"/>
  <c r="C360" i="42"/>
  <c r="D359" i="42"/>
  <c r="C359" i="42"/>
  <c r="D358" i="42"/>
  <c r="E358" i="42" s="1"/>
  <c r="C358" i="42"/>
  <c r="D357" i="42"/>
  <c r="C357" i="42"/>
  <c r="D356" i="42"/>
  <c r="E356" i="42" s="1"/>
  <c r="C356" i="42"/>
  <c r="D355" i="42"/>
  <c r="C355" i="42"/>
  <c r="D354" i="42"/>
  <c r="E354" i="42" s="1"/>
  <c r="C354" i="42"/>
  <c r="D353" i="42"/>
  <c r="C353" i="42"/>
  <c r="D352" i="42"/>
  <c r="E352" i="42" s="1"/>
  <c r="C352" i="42"/>
  <c r="D351" i="42"/>
  <c r="C351" i="42"/>
  <c r="D350" i="42"/>
  <c r="E350" i="42" s="1"/>
  <c r="C350" i="42"/>
  <c r="D349" i="42"/>
  <c r="C349" i="42"/>
  <c r="D348" i="42"/>
  <c r="E348" i="42" s="1"/>
  <c r="C348" i="42"/>
  <c r="D347" i="42"/>
  <c r="C347" i="42"/>
  <c r="D346" i="42"/>
  <c r="C346" i="42"/>
  <c r="D345" i="42"/>
  <c r="C345" i="42"/>
  <c r="D344" i="42"/>
  <c r="C344" i="42"/>
  <c r="D343" i="42"/>
  <c r="C343" i="42"/>
  <c r="D342" i="42"/>
  <c r="C342" i="42"/>
  <c r="D341" i="42"/>
  <c r="C341" i="42"/>
  <c r="D340" i="42"/>
  <c r="C340" i="42"/>
  <c r="D339" i="42"/>
  <c r="C339" i="42"/>
  <c r="D338" i="42"/>
  <c r="C338" i="42"/>
  <c r="D337" i="42"/>
  <c r="C337" i="42"/>
  <c r="D336" i="42"/>
  <c r="C336" i="42"/>
  <c r="D335" i="42"/>
  <c r="C335" i="42"/>
  <c r="D334" i="42"/>
  <c r="C334" i="42"/>
  <c r="D333" i="42"/>
  <c r="C333" i="42"/>
  <c r="D332" i="42"/>
  <c r="C332" i="42"/>
  <c r="D331" i="42"/>
  <c r="C331" i="42"/>
  <c r="D330" i="42"/>
  <c r="C330" i="42"/>
  <c r="D329" i="42"/>
  <c r="C329" i="42"/>
  <c r="D328" i="42"/>
  <c r="C328" i="42"/>
  <c r="D327" i="42"/>
  <c r="C327" i="42"/>
  <c r="D326" i="42"/>
  <c r="C326" i="42"/>
  <c r="D325" i="42"/>
  <c r="C325" i="42"/>
  <c r="D324" i="42"/>
  <c r="C324" i="42"/>
  <c r="D323" i="42"/>
  <c r="C323" i="42"/>
  <c r="D322" i="42"/>
  <c r="C322" i="42"/>
  <c r="D321" i="42"/>
  <c r="C321" i="42"/>
  <c r="D320" i="42"/>
  <c r="C320" i="42"/>
  <c r="D319" i="42"/>
  <c r="C319" i="42"/>
  <c r="D318" i="42"/>
  <c r="C318" i="42"/>
  <c r="D317" i="42"/>
  <c r="C317" i="42"/>
  <c r="D316" i="42"/>
  <c r="C316" i="42"/>
  <c r="D315" i="42"/>
  <c r="C315" i="42"/>
  <c r="D314" i="42"/>
  <c r="C314" i="42"/>
  <c r="D313" i="42"/>
  <c r="C313" i="42"/>
  <c r="D312" i="42"/>
  <c r="C312" i="42"/>
  <c r="D311" i="42"/>
  <c r="C311" i="42"/>
  <c r="D310" i="42"/>
  <c r="C310" i="42"/>
  <c r="D309" i="42"/>
  <c r="C309" i="42"/>
  <c r="D308" i="42"/>
  <c r="C308" i="42"/>
  <c r="D307" i="42"/>
  <c r="C307" i="42"/>
  <c r="D306" i="42"/>
  <c r="C306" i="42"/>
  <c r="D305" i="42"/>
  <c r="C305" i="42"/>
  <c r="D304" i="42"/>
  <c r="C304" i="42"/>
  <c r="D303" i="42"/>
  <c r="C303" i="42"/>
  <c r="D302" i="42"/>
  <c r="C302" i="42"/>
  <c r="D301" i="42"/>
  <c r="C301" i="42"/>
  <c r="D300" i="42"/>
  <c r="C300" i="42"/>
  <c r="D299" i="42"/>
  <c r="C299" i="42"/>
  <c r="D298" i="42"/>
  <c r="C298" i="42"/>
  <c r="D297" i="42"/>
  <c r="C297" i="42"/>
  <c r="D296" i="42"/>
  <c r="C296" i="42"/>
  <c r="D295" i="42"/>
  <c r="C295" i="42"/>
  <c r="D294" i="42"/>
  <c r="C294" i="42"/>
  <c r="D293" i="42"/>
  <c r="C293" i="42"/>
  <c r="D292" i="42"/>
  <c r="C292" i="42"/>
  <c r="D291" i="42"/>
  <c r="C291" i="42"/>
  <c r="D290" i="42"/>
  <c r="C290" i="42"/>
  <c r="D289" i="42"/>
  <c r="C289" i="42"/>
  <c r="D288" i="42"/>
  <c r="C288" i="42"/>
  <c r="D287" i="42"/>
  <c r="C287" i="42"/>
  <c r="D286" i="42"/>
  <c r="C286" i="42"/>
  <c r="D285" i="42"/>
  <c r="C285" i="42"/>
  <c r="D284" i="42"/>
  <c r="C284" i="42"/>
  <c r="D283" i="42"/>
  <c r="C283" i="42"/>
  <c r="D282" i="42"/>
  <c r="C282" i="42"/>
  <c r="D281" i="42"/>
  <c r="C281" i="42"/>
  <c r="D280" i="42"/>
  <c r="C280" i="42"/>
  <c r="D279" i="42"/>
  <c r="C279" i="42"/>
  <c r="D278" i="42"/>
  <c r="C278" i="42"/>
  <c r="D277" i="42"/>
  <c r="C277" i="42"/>
  <c r="D276" i="42"/>
  <c r="C276" i="42"/>
  <c r="D275" i="42"/>
  <c r="C275" i="42"/>
  <c r="D274" i="42"/>
  <c r="C274" i="42"/>
  <c r="D273" i="42"/>
  <c r="C273" i="42"/>
  <c r="D272" i="42"/>
  <c r="C272" i="42"/>
  <c r="D271" i="42"/>
  <c r="C271" i="42"/>
  <c r="D270" i="42"/>
  <c r="C270" i="42"/>
  <c r="D269" i="42"/>
  <c r="C269" i="42"/>
  <c r="D268" i="42"/>
  <c r="C268" i="42"/>
  <c r="D267" i="42"/>
  <c r="C267" i="42"/>
  <c r="D266" i="42"/>
  <c r="C266" i="42"/>
  <c r="D265" i="42"/>
  <c r="C265" i="42"/>
  <c r="D264" i="42"/>
  <c r="C264" i="42"/>
  <c r="D263" i="42"/>
  <c r="C263" i="42"/>
  <c r="D262" i="42"/>
  <c r="C262" i="42"/>
  <c r="D261" i="42"/>
  <c r="C261" i="42"/>
  <c r="D260" i="42"/>
  <c r="C260" i="42"/>
  <c r="D259" i="42"/>
  <c r="C259" i="42"/>
  <c r="D258" i="42"/>
  <c r="C258" i="42"/>
  <c r="D257" i="42"/>
  <c r="C257" i="42"/>
  <c r="D256" i="42"/>
  <c r="C256" i="42"/>
  <c r="D255" i="42"/>
  <c r="C255" i="42"/>
  <c r="D254" i="42"/>
  <c r="C254" i="42"/>
  <c r="D253" i="42"/>
  <c r="C253" i="42"/>
  <c r="D252" i="42"/>
  <c r="C252" i="42"/>
  <c r="D251" i="42"/>
  <c r="C251" i="42"/>
  <c r="D250" i="42"/>
  <c r="C250" i="42"/>
  <c r="C249" i="42"/>
  <c r="D248" i="42"/>
  <c r="E248" i="42" s="1"/>
  <c r="C248" i="42"/>
  <c r="C247" i="42"/>
  <c r="D246" i="42"/>
  <c r="E246" i="42" s="1"/>
  <c r="C246" i="42"/>
  <c r="C245" i="42"/>
  <c r="D244" i="42"/>
  <c r="E244" i="42" s="1"/>
  <c r="C244" i="42"/>
  <c r="C243" i="42"/>
  <c r="D242" i="42"/>
  <c r="E242" i="42" s="1"/>
  <c r="C242" i="42"/>
  <c r="C241" i="42"/>
  <c r="D240" i="42"/>
  <c r="E240" i="42" s="1"/>
  <c r="C240" i="42"/>
  <c r="C239" i="42"/>
  <c r="D238" i="42"/>
  <c r="E238" i="42" s="1"/>
  <c r="C238" i="42"/>
  <c r="C237" i="42"/>
  <c r="D236" i="42"/>
  <c r="E236" i="42" s="1"/>
  <c r="C236" i="42"/>
  <c r="C235" i="42"/>
  <c r="D234" i="42"/>
  <c r="E234" i="42" s="1"/>
  <c r="C234" i="42"/>
  <c r="C233" i="42"/>
  <c r="D232" i="42"/>
  <c r="E232" i="42" s="1"/>
  <c r="C232" i="42"/>
  <c r="C231" i="42"/>
  <c r="D230" i="42"/>
  <c r="E230" i="42" s="1"/>
  <c r="C230" i="42"/>
  <c r="C229" i="42"/>
  <c r="D228" i="42"/>
  <c r="E228" i="42" s="1"/>
  <c r="C228" i="42"/>
  <c r="C227" i="42"/>
  <c r="D226" i="42"/>
  <c r="E226" i="42" s="1"/>
  <c r="C226" i="42"/>
  <c r="C225" i="42"/>
  <c r="D224" i="42"/>
  <c r="E224" i="42" s="1"/>
  <c r="C224" i="42"/>
  <c r="C223" i="42"/>
  <c r="D222" i="42"/>
  <c r="E222" i="42" s="1"/>
  <c r="C222" i="42"/>
  <c r="C221" i="42"/>
  <c r="D220" i="42"/>
  <c r="E220" i="42" s="1"/>
  <c r="C220" i="42"/>
  <c r="C219" i="42"/>
  <c r="D218" i="42"/>
  <c r="E218" i="42" s="1"/>
  <c r="C218" i="42"/>
  <c r="C217" i="42"/>
  <c r="D216" i="42"/>
  <c r="E216" i="42" s="1"/>
  <c r="C216" i="42"/>
  <c r="C215" i="42"/>
  <c r="D214" i="42"/>
  <c r="E214" i="42" s="1"/>
  <c r="C214" i="42"/>
  <c r="C213" i="42"/>
  <c r="D212" i="42"/>
  <c r="E212" i="42" s="1"/>
  <c r="C212" i="42"/>
  <c r="C211" i="42"/>
  <c r="D210" i="42"/>
  <c r="E210" i="42" s="1"/>
  <c r="C210" i="42"/>
  <c r="C209" i="42"/>
  <c r="C208" i="42"/>
  <c r="C207" i="42"/>
  <c r="C206" i="42"/>
  <c r="C205" i="42"/>
  <c r="C204" i="42"/>
  <c r="C203" i="42"/>
  <c r="C202" i="42"/>
  <c r="C201" i="42"/>
  <c r="C200" i="42"/>
  <c r="D202" i="42" s="1"/>
  <c r="E202" i="42" s="1"/>
  <c r="C199" i="42"/>
  <c r="D201" i="42" s="1"/>
  <c r="C198" i="42"/>
  <c r="D200" i="42" s="1"/>
  <c r="E200" i="42" s="1"/>
  <c r="C197" i="42"/>
  <c r="D199" i="42" s="1"/>
  <c r="C196" i="42"/>
  <c r="D198" i="42" s="1"/>
  <c r="E198" i="42" s="1"/>
  <c r="C195" i="42"/>
  <c r="D197" i="42" s="1"/>
  <c r="E197" i="42" s="1"/>
  <c r="D194" i="42"/>
  <c r="E194" i="42" s="1"/>
  <c r="C194" i="42"/>
  <c r="D196" i="42" s="1"/>
  <c r="E193" i="42"/>
  <c r="C193" i="42"/>
  <c r="D195" i="42" s="1"/>
  <c r="C192" i="42"/>
  <c r="C191" i="42"/>
  <c r="D193" i="42" s="1"/>
  <c r="C190" i="42"/>
  <c r="C189" i="42"/>
  <c r="D191" i="42" s="1"/>
  <c r="C188" i="42"/>
  <c r="D190" i="42" s="1"/>
  <c r="E190" i="42" s="1"/>
  <c r="C187" i="42"/>
  <c r="D189" i="42" s="1"/>
  <c r="E189" i="42" s="1"/>
  <c r="D186" i="42"/>
  <c r="C186" i="42"/>
  <c r="D188" i="42" s="1"/>
  <c r="E185" i="42"/>
  <c r="C185" i="42"/>
  <c r="D187" i="42" s="1"/>
  <c r="C184" i="42"/>
  <c r="C183" i="42"/>
  <c r="D185" i="42" s="1"/>
  <c r="D182" i="42"/>
  <c r="E182" i="42" s="1"/>
  <c r="C182" i="42"/>
  <c r="C181" i="42"/>
  <c r="D183" i="42" s="1"/>
  <c r="D180" i="42"/>
  <c r="C180" i="42"/>
  <c r="E180" i="42" s="1"/>
  <c r="D179" i="42"/>
  <c r="E179" i="42" s="1"/>
  <c r="C179" i="42"/>
  <c r="D178" i="42"/>
  <c r="C178" i="42"/>
  <c r="E178" i="42" s="1"/>
  <c r="D177" i="42"/>
  <c r="E177" i="42" s="1"/>
  <c r="C177" i="42"/>
  <c r="D176" i="42"/>
  <c r="C176" i="42"/>
  <c r="E176" i="42" s="1"/>
  <c r="D175" i="42"/>
  <c r="E175" i="42" s="1"/>
  <c r="C175" i="42"/>
  <c r="D174" i="42"/>
  <c r="C174" i="42"/>
  <c r="E174" i="42" s="1"/>
  <c r="D173" i="42"/>
  <c r="E173" i="42" s="1"/>
  <c r="C173" i="42"/>
  <c r="D172" i="42"/>
  <c r="C172" i="42"/>
  <c r="E172" i="42" s="1"/>
  <c r="D171" i="42"/>
  <c r="E171" i="42" s="1"/>
  <c r="C171" i="42"/>
  <c r="D170" i="42"/>
  <c r="C170" i="42"/>
  <c r="E170" i="42" s="1"/>
  <c r="D169" i="42"/>
  <c r="E169" i="42" s="1"/>
  <c r="C169" i="42"/>
  <c r="D168" i="42"/>
  <c r="C168" i="42"/>
  <c r="E168" i="42" s="1"/>
  <c r="D167" i="42"/>
  <c r="E167" i="42" s="1"/>
  <c r="C167" i="42"/>
  <c r="D166" i="42"/>
  <c r="C166" i="42"/>
  <c r="E166" i="42" s="1"/>
  <c r="D165" i="42"/>
  <c r="E165" i="42" s="1"/>
  <c r="C165" i="42"/>
  <c r="D164" i="42"/>
  <c r="C164" i="42"/>
  <c r="E164" i="42" s="1"/>
  <c r="D163" i="42"/>
  <c r="E163" i="42" s="1"/>
  <c r="C163" i="42"/>
  <c r="D162" i="42"/>
  <c r="C162" i="42"/>
  <c r="E162" i="42" s="1"/>
  <c r="D161" i="42"/>
  <c r="E161" i="42" s="1"/>
  <c r="C161" i="42"/>
  <c r="D160" i="42"/>
  <c r="C160" i="42"/>
  <c r="E160" i="42" s="1"/>
  <c r="D159" i="42"/>
  <c r="E159" i="42" s="1"/>
  <c r="C159" i="42"/>
  <c r="D158" i="42"/>
  <c r="C158" i="42"/>
  <c r="E158" i="42" s="1"/>
  <c r="D157" i="42"/>
  <c r="E157" i="42" s="1"/>
  <c r="C157" i="42"/>
  <c r="D156" i="42"/>
  <c r="C156" i="42"/>
  <c r="E156" i="42" s="1"/>
  <c r="D155" i="42"/>
  <c r="E155" i="42" s="1"/>
  <c r="C155" i="42"/>
  <c r="D154" i="42"/>
  <c r="C154" i="42"/>
  <c r="E154" i="42" s="1"/>
  <c r="D153" i="42"/>
  <c r="E153" i="42" s="1"/>
  <c r="C153" i="42"/>
  <c r="D152" i="42"/>
  <c r="C152" i="42"/>
  <c r="E152" i="42" s="1"/>
  <c r="D151" i="42"/>
  <c r="E151" i="42" s="1"/>
  <c r="C151" i="42"/>
  <c r="D150" i="42"/>
  <c r="C150" i="42"/>
  <c r="E150" i="42" s="1"/>
  <c r="D149" i="42"/>
  <c r="E149" i="42" s="1"/>
  <c r="C149" i="42"/>
  <c r="D148" i="42"/>
  <c r="C148" i="42"/>
  <c r="E148" i="42" s="1"/>
  <c r="D147" i="42"/>
  <c r="E147" i="42" s="1"/>
  <c r="C147" i="42"/>
  <c r="D146" i="42"/>
  <c r="C146" i="42"/>
  <c r="E146" i="42" s="1"/>
  <c r="D145" i="42"/>
  <c r="E145" i="42" s="1"/>
  <c r="C145" i="42"/>
  <c r="D144" i="42"/>
  <c r="C144" i="42"/>
  <c r="E144" i="42" s="1"/>
  <c r="D143" i="42"/>
  <c r="E143" i="42" s="1"/>
  <c r="C143" i="42"/>
  <c r="D142" i="42"/>
  <c r="C142" i="42"/>
  <c r="E142" i="42" s="1"/>
  <c r="D141" i="42"/>
  <c r="E141" i="42" s="1"/>
  <c r="C141" i="42"/>
  <c r="D140" i="42"/>
  <c r="C140" i="42"/>
  <c r="E140" i="42" s="1"/>
  <c r="D139" i="42"/>
  <c r="E139" i="42" s="1"/>
  <c r="C139" i="42"/>
  <c r="D138" i="42"/>
  <c r="C138" i="42"/>
  <c r="E138" i="42" s="1"/>
  <c r="D137" i="42"/>
  <c r="E137" i="42" s="1"/>
  <c r="C137" i="42"/>
  <c r="D136" i="42"/>
  <c r="C136" i="42"/>
  <c r="E136" i="42" s="1"/>
  <c r="D135" i="42"/>
  <c r="E135" i="42" s="1"/>
  <c r="C135" i="42"/>
  <c r="D134" i="42"/>
  <c r="C134" i="42"/>
  <c r="E134" i="42" s="1"/>
  <c r="D133" i="42"/>
  <c r="E133" i="42" s="1"/>
  <c r="C133" i="42"/>
  <c r="D132" i="42"/>
  <c r="C132" i="42"/>
  <c r="E132" i="42" s="1"/>
  <c r="D131" i="42"/>
  <c r="E131" i="42" s="1"/>
  <c r="C131" i="42"/>
  <c r="D130" i="42"/>
  <c r="C130" i="42"/>
  <c r="E130" i="42" s="1"/>
  <c r="D129" i="42"/>
  <c r="E129" i="42" s="1"/>
  <c r="C129" i="42"/>
  <c r="D128" i="42"/>
  <c r="C128" i="42"/>
  <c r="E128" i="42" s="1"/>
  <c r="D127" i="42"/>
  <c r="E127" i="42" s="1"/>
  <c r="C127" i="42"/>
  <c r="D126" i="42"/>
  <c r="C126" i="42"/>
  <c r="E126" i="42" s="1"/>
  <c r="D125" i="42"/>
  <c r="E125" i="42" s="1"/>
  <c r="C125" i="42"/>
  <c r="D124" i="42"/>
  <c r="C124" i="42"/>
  <c r="E124" i="42" s="1"/>
  <c r="D123" i="42"/>
  <c r="E123" i="42" s="1"/>
  <c r="C123" i="42"/>
  <c r="D122" i="42"/>
  <c r="C122" i="42"/>
  <c r="E122" i="42" s="1"/>
  <c r="D121" i="42"/>
  <c r="E121" i="42" s="1"/>
  <c r="C121" i="42"/>
  <c r="D120" i="42"/>
  <c r="C120" i="42"/>
  <c r="E120" i="42" s="1"/>
  <c r="D119" i="42"/>
  <c r="E119" i="42" s="1"/>
  <c r="C119" i="42"/>
  <c r="D118" i="42"/>
  <c r="C118" i="42"/>
  <c r="E118" i="42" s="1"/>
  <c r="D117" i="42"/>
  <c r="E117" i="42" s="1"/>
  <c r="C117" i="42"/>
  <c r="D116" i="42"/>
  <c r="C116" i="42"/>
  <c r="E116" i="42" s="1"/>
  <c r="D115" i="42"/>
  <c r="E115" i="42" s="1"/>
  <c r="C115" i="42"/>
  <c r="D114" i="42"/>
  <c r="C114" i="42"/>
  <c r="E114" i="42" s="1"/>
  <c r="D113" i="42"/>
  <c r="E113" i="42" s="1"/>
  <c r="C113" i="42"/>
  <c r="D112" i="42"/>
  <c r="C112" i="42"/>
  <c r="E112" i="42" s="1"/>
  <c r="D111" i="42"/>
  <c r="E111" i="42" s="1"/>
  <c r="C111" i="42"/>
  <c r="D110" i="42"/>
  <c r="C110" i="42"/>
  <c r="E110" i="42" s="1"/>
  <c r="D109" i="42"/>
  <c r="E109" i="42" s="1"/>
  <c r="C109" i="42"/>
  <c r="D108" i="42"/>
  <c r="C108" i="42"/>
  <c r="E108" i="42" s="1"/>
  <c r="D107" i="42"/>
  <c r="E107" i="42" s="1"/>
  <c r="C107" i="42"/>
  <c r="D106" i="42"/>
  <c r="C106" i="42"/>
  <c r="E106" i="42" s="1"/>
  <c r="D105" i="42"/>
  <c r="E105" i="42" s="1"/>
  <c r="C105" i="42"/>
  <c r="D104" i="42"/>
  <c r="C104" i="42"/>
  <c r="E104" i="42" s="1"/>
  <c r="D103" i="42"/>
  <c r="E103" i="42" s="1"/>
  <c r="C103" i="42"/>
  <c r="D102" i="42"/>
  <c r="C102" i="42"/>
  <c r="E102" i="42" s="1"/>
  <c r="D101" i="42"/>
  <c r="E101" i="42" s="1"/>
  <c r="C101" i="42"/>
  <c r="D100" i="42"/>
  <c r="C100" i="42"/>
  <c r="E100" i="42" s="1"/>
  <c r="D99" i="42"/>
  <c r="E99" i="42" s="1"/>
  <c r="C99" i="42"/>
  <c r="D98" i="42"/>
  <c r="C98" i="42"/>
  <c r="E98" i="42" s="1"/>
  <c r="D97" i="42"/>
  <c r="E97" i="42" s="1"/>
  <c r="C97" i="42"/>
  <c r="D96" i="42"/>
  <c r="C96" i="42"/>
  <c r="E96" i="42" s="1"/>
  <c r="D95" i="42"/>
  <c r="E95" i="42" s="1"/>
  <c r="C95" i="42"/>
  <c r="D94" i="42"/>
  <c r="C94" i="42"/>
  <c r="E94" i="42" s="1"/>
  <c r="D93" i="42"/>
  <c r="E93" i="42" s="1"/>
  <c r="C93" i="42"/>
  <c r="D92" i="42"/>
  <c r="C92" i="42"/>
  <c r="E92" i="42" s="1"/>
  <c r="D91" i="42"/>
  <c r="E91" i="42" s="1"/>
  <c r="C91" i="42"/>
  <c r="D90" i="42"/>
  <c r="C90" i="42"/>
  <c r="E90" i="42" s="1"/>
  <c r="D89" i="42"/>
  <c r="E89" i="42" s="1"/>
  <c r="C89" i="42"/>
  <c r="D88" i="42"/>
  <c r="C88" i="42"/>
  <c r="E88" i="42" s="1"/>
  <c r="D87" i="42"/>
  <c r="E87" i="42" s="1"/>
  <c r="C87" i="42"/>
  <c r="D86" i="42"/>
  <c r="C86" i="42"/>
  <c r="E86" i="42" s="1"/>
  <c r="D85" i="42"/>
  <c r="E85" i="42" s="1"/>
  <c r="C85" i="42"/>
  <c r="D84" i="42"/>
  <c r="C84" i="42"/>
  <c r="E84" i="42" s="1"/>
  <c r="D83" i="42"/>
  <c r="E83" i="42" s="1"/>
  <c r="C83" i="42"/>
  <c r="D82" i="42"/>
  <c r="C82" i="42"/>
  <c r="E82" i="42" s="1"/>
  <c r="D81" i="42"/>
  <c r="E81" i="42" s="1"/>
  <c r="C81" i="42"/>
  <c r="D80" i="42"/>
  <c r="C80" i="42"/>
  <c r="E80" i="42" s="1"/>
  <c r="D79" i="42"/>
  <c r="E79" i="42" s="1"/>
  <c r="C79" i="42"/>
  <c r="D78" i="42"/>
  <c r="C78" i="42"/>
  <c r="E78" i="42" s="1"/>
  <c r="D77" i="42"/>
  <c r="E77" i="42" s="1"/>
  <c r="C77" i="42"/>
  <c r="D76" i="42"/>
  <c r="C76" i="42"/>
  <c r="E76" i="42" s="1"/>
  <c r="D75" i="42"/>
  <c r="E75" i="42" s="1"/>
  <c r="C75" i="42"/>
  <c r="D74" i="42"/>
  <c r="C74" i="42"/>
  <c r="E74" i="42" s="1"/>
  <c r="D73" i="42"/>
  <c r="E73" i="42" s="1"/>
  <c r="C73" i="42"/>
  <c r="D72" i="42"/>
  <c r="C72" i="42"/>
  <c r="E72" i="42" s="1"/>
  <c r="D71" i="42"/>
  <c r="E71" i="42" s="1"/>
  <c r="C71" i="42"/>
  <c r="D70" i="42"/>
  <c r="C70" i="42"/>
  <c r="E70" i="42" s="1"/>
  <c r="D69" i="42"/>
  <c r="E69" i="42" s="1"/>
  <c r="C69" i="42"/>
  <c r="D68" i="42"/>
  <c r="C68" i="42"/>
  <c r="E68" i="42" s="1"/>
  <c r="D67" i="42"/>
  <c r="E67" i="42" s="1"/>
  <c r="C67" i="42"/>
  <c r="D66" i="42"/>
  <c r="C66" i="42"/>
  <c r="E66" i="42" s="1"/>
  <c r="D65" i="42"/>
  <c r="E65" i="42" s="1"/>
  <c r="C65" i="42"/>
  <c r="D64" i="42"/>
  <c r="C64" i="42"/>
  <c r="E64" i="42" s="1"/>
  <c r="D63" i="42"/>
  <c r="E63" i="42" s="1"/>
  <c r="C63" i="42"/>
  <c r="D62" i="42"/>
  <c r="C62" i="42"/>
  <c r="E62" i="42" s="1"/>
  <c r="D61" i="42"/>
  <c r="E61" i="42" s="1"/>
  <c r="C61" i="42"/>
  <c r="D60" i="42"/>
  <c r="C60" i="42"/>
  <c r="E60" i="42" s="1"/>
  <c r="D59" i="42"/>
  <c r="E59" i="42" s="1"/>
  <c r="C59" i="42"/>
  <c r="D58" i="42"/>
  <c r="C58" i="42"/>
  <c r="E58" i="42" s="1"/>
  <c r="D57" i="42"/>
  <c r="E57" i="42" s="1"/>
  <c r="C57" i="42"/>
  <c r="D56" i="42"/>
  <c r="C56" i="42"/>
  <c r="E56" i="42" s="1"/>
  <c r="D55" i="42"/>
  <c r="E55" i="42" s="1"/>
  <c r="C55" i="42"/>
  <c r="D54" i="42"/>
  <c r="C54" i="42"/>
  <c r="E54" i="42" s="1"/>
  <c r="D53" i="42"/>
  <c r="E53" i="42" s="1"/>
  <c r="C53" i="42"/>
  <c r="D52" i="42"/>
  <c r="C52" i="42"/>
  <c r="E52" i="42" s="1"/>
  <c r="D51" i="42"/>
  <c r="E51" i="42" s="1"/>
  <c r="C51" i="42"/>
  <c r="D50" i="42"/>
  <c r="C50" i="42"/>
  <c r="E50" i="42" s="1"/>
  <c r="D49" i="42"/>
  <c r="E49" i="42" s="1"/>
  <c r="C49" i="42"/>
  <c r="D48" i="42"/>
  <c r="C48" i="42"/>
  <c r="E48" i="42" s="1"/>
  <c r="D47" i="42"/>
  <c r="E47" i="42" s="1"/>
  <c r="C47" i="42"/>
  <c r="D46" i="42"/>
  <c r="C46" i="42"/>
  <c r="E46" i="42" s="1"/>
  <c r="D45" i="42"/>
  <c r="E45" i="42" s="1"/>
  <c r="C45" i="42"/>
  <c r="D44" i="42"/>
  <c r="C44" i="42"/>
  <c r="E44" i="42" s="1"/>
  <c r="D43" i="42"/>
  <c r="E43" i="42" s="1"/>
  <c r="C43" i="42"/>
  <c r="D42" i="42"/>
  <c r="C42" i="42"/>
  <c r="E42" i="42" s="1"/>
  <c r="D41" i="42"/>
  <c r="E41" i="42" s="1"/>
  <c r="C41" i="42"/>
  <c r="D40" i="42"/>
  <c r="C40" i="42"/>
  <c r="E40" i="42" s="1"/>
  <c r="D39" i="42"/>
  <c r="E39" i="42" s="1"/>
  <c r="C39" i="42"/>
  <c r="D38" i="42"/>
  <c r="C38" i="42"/>
  <c r="E38" i="42" s="1"/>
  <c r="D37" i="42"/>
  <c r="E37" i="42" s="1"/>
  <c r="C37" i="42"/>
  <c r="D36" i="42"/>
  <c r="C36" i="42"/>
  <c r="E36" i="42" s="1"/>
  <c r="D35" i="42"/>
  <c r="E35" i="42" s="1"/>
  <c r="C35" i="42"/>
  <c r="D34" i="42"/>
  <c r="C34" i="42"/>
  <c r="E34" i="42" s="1"/>
  <c r="D33" i="42"/>
  <c r="E33" i="42" s="1"/>
  <c r="C33" i="42"/>
  <c r="D32" i="42"/>
  <c r="C32" i="42"/>
  <c r="E32" i="42" s="1"/>
  <c r="D31" i="42"/>
  <c r="E31" i="42" s="1"/>
  <c r="C31" i="42"/>
  <c r="D30" i="42"/>
  <c r="C30" i="42"/>
  <c r="E30" i="42" s="1"/>
  <c r="D29" i="42"/>
  <c r="E29" i="42" s="1"/>
  <c r="C29" i="42"/>
  <c r="D28" i="42"/>
  <c r="C28" i="42"/>
  <c r="E28" i="42" s="1"/>
  <c r="D27" i="42"/>
  <c r="E27" i="42" s="1"/>
  <c r="C27" i="42"/>
  <c r="D26" i="42"/>
  <c r="C26" i="42"/>
  <c r="E26" i="42" s="1"/>
  <c r="D25" i="42"/>
  <c r="E25" i="42" s="1"/>
  <c r="C25" i="42"/>
  <c r="D24" i="42"/>
  <c r="C24" i="42"/>
  <c r="E24" i="42" s="1"/>
  <c r="D23" i="42"/>
  <c r="E23" i="42" s="1"/>
  <c r="C23" i="42"/>
  <c r="D22" i="42"/>
  <c r="C22" i="42"/>
  <c r="E22" i="42" s="1"/>
  <c r="D21" i="42"/>
  <c r="E21" i="42" s="1"/>
  <c r="C21" i="42"/>
  <c r="D20" i="42"/>
  <c r="C20" i="42"/>
  <c r="E20" i="42" s="1"/>
  <c r="D19" i="42"/>
  <c r="E19" i="42" s="1"/>
  <c r="C19" i="42"/>
  <c r="D18" i="42"/>
  <c r="C18" i="42"/>
  <c r="E18" i="42" s="1"/>
  <c r="C17" i="42"/>
  <c r="C16" i="42"/>
  <c r="C15" i="42"/>
  <c r="D17" i="42" s="1"/>
  <c r="E17" i="42" s="1"/>
  <c r="C14" i="42"/>
  <c r="D16" i="42" s="1"/>
  <c r="C13" i="42"/>
  <c r="D15" i="42" s="1"/>
  <c r="E15" i="42" s="1"/>
  <c r="C12" i="42"/>
  <c r="D14" i="42" s="1"/>
  <c r="E14" i="42" s="1"/>
  <c r="C11" i="42"/>
  <c r="D13" i="42" s="1"/>
  <c r="C10" i="42"/>
  <c r="P9" i="42"/>
  <c r="D9" i="42"/>
  <c r="C9" i="42"/>
  <c r="D11" i="42" s="1"/>
  <c r="E11" i="42" s="1"/>
  <c r="D8" i="42"/>
  <c r="C8" i="42"/>
  <c r="D10" i="42" s="1"/>
  <c r="C7" i="42"/>
  <c r="P6" i="42"/>
  <c r="C6" i="42"/>
  <c r="C5" i="42"/>
  <c r="D7" i="42" s="1"/>
  <c r="C4" i="42"/>
  <c r="D6" i="42" s="1"/>
  <c r="E6" i="42" s="1"/>
  <c r="C3" i="42"/>
  <c r="D5" i="42" s="1"/>
  <c r="O2" i="42"/>
  <c r="F5" i="42" s="1"/>
  <c r="E10" i="42" l="1"/>
  <c r="E7" i="42"/>
  <c r="E16" i="42"/>
  <c r="E5" i="42"/>
  <c r="G5" i="42" s="1"/>
  <c r="D12" i="42"/>
  <c r="E13" i="42"/>
  <c r="E9" i="42"/>
  <c r="E12" i="42"/>
  <c r="D181" i="42"/>
  <c r="E181" i="42" s="1"/>
  <c r="E186" i="42"/>
  <c r="E187" i="42"/>
  <c r="E195" i="42"/>
  <c r="D207" i="42"/>
  <c r="E207" i="42" s="1"/>
  <c r="D206" i="42"/>
  <c r="E206" i="42" s="1"/>
  <c r="E188" i="42"/>
  <c r="E196" i="42"/>
  <c r="D205" i="42"/>
  <c r="E205" i="42" s="1"/>
  <c r="D204" i="42"/>
  <c r="E204" i="42" s="1"/>
  <c r="E223" i="42"/>
  <c r="E239" i="42"/>
  <c r="E8" i="42"/>
  <c r="E183" i="42"/>
  <c r="D184" i="42"/>
  <c r="E184" i="42" s="1"/>
  <c r="E191" i="42"/>
  <c r="D192" i="42"/>
  <c r="E192" i="42" s="1"/>
  <c r="E199" i="42"/>
  <c r="E201" i="42"/>
  <c r="D203" i="42"/>
  <c r="E203" i="42" s="1"/>
  <c r="E217" i="42"/>
  <c r="E233" i="42"/>
  <c r="E249" i="42"/>
  <c r="D209" i="42"/>
  <c r="E209" i="42" s="1"/>
  <c r="D208" i="42"/>
  <c r="E208" i="42" s="1"/>
  <c r="E211" i="42"/>
  <c r="E227" i="42"/>
  <c r="E243" i="42"/>
  <c r="D211" i="42"/>
  <c r="D213" i="42"/>
  <c r="E213" i="42" s="1"/>
  <c r="D215" i="42"/>
  <c r="E215" i="42" s="1"/>
  <c r="D217" i="42"/>
  <c r="D219" i="42"/>
  <c r="E219" i="42" s="1"/>
  <c r="D221" i="42"/>
  <c r="E221" i="42" s="1"/>
  <c r="D223" i="42"/>
  <c r="D225" i="42"/>
  <c r="E225" i="42" s="1"/>
  <c r="D227" i="42"/>
  <c r="D229" i="42"/>
  <c r="E229" i="42" s="1"/>
  <c r="D231" i="42"/>
  <c r="E231" i="42" s="1"/>
  <c r="D233" i="42"/>
  <c r="D235" i="42"/>
  <c r="E235" i="42" s="1"/>
  <c r="D237" i="42"/>
  <c r="E237" i="42" s="1"/>
  <c r="D239" i="42"/>
  <c r="D241" i="42"/>
  <c r="E241" i="42" s="1"/>
  <c r="D243" i="42"/>
  <c r="D245" i="42"/>
  <c r="E245" i="42" s="1"/>
  <c r="D247" i="42"/>
  <c r="E247" i="42" s="1"/>
  <c r="D249" i="42"/>
  <c r="E373" i="42"/>
  <c r="E377" i="42"/>
  <c r="E381" i="42"/>
  <c r="E385" i="42"/>
  <c r="E250" i="42"/>
  <c r="E251" i="42"/>
  <c r="E252" i="42"/>
  <c r="E253" i="42"/>
  <c r="E254" i="42"/>
  <c r="E255" i="42"/>
  <c r="E256" i="42"/>
  <c r="E257" i="42"/>
  <c r="E258" i="42"/>
  <c r="E259" i="42"/>
  <c r="E260" i="42"/>
  <c r="E261" i="42"/>
  <c r="E262" i="42"/>
  <c r="E263" i="42"/>
  <c r="E264" i="42"/>
  <c r="E265" i="42"/>
  <c r="E266" i="42"/>
  <c r="E267" i="42"/>
  <c r="E268" i="42"/>
  <c r="E269" i="42"/>
  <c r="E270" i="42"/>
  <c r="E271" i="42"/>
  <c r="E272" i="42"/>
  <c r="E273" i="42"/>
  <c r="E274" i="42"/>
  <c r="E275" i="42"/>
  <c r="E276" i="42"/>
  <c r="E277" i="42"/>
  <c r="E278" i="42"/>
  <c r="E279" i="42"/>
  <c r="E280" i="42"/>
  <c r="E281" i="42"/>
  <c r="E282" i="42"/>
  <c r="E283" i="42"/>
  <c r="E284" i="42"/>
  <c r="E285" i="42"/>
  <c r="E286" i="42"/>
  <c r="E287" i="42"/>
  <c r="E288" i="42"/>
  <c r="E289" i="42"/>
  <c r="E290" i="42"/>
  <c r="E291" i="42"/>
  <c r="E292" i="42"/>
  <c r="E293" i="42"/>
  <c r="E294" i="42"/>
  <c r="E295" i="42"/>
  <c r="E296" i="42"/>
  <c r="E297" i="42"/>
  <c r="E298" i="42"/>
  <c r="E299" i="42"/>
  <c r="E300" i="42"/>
  <c r="E301" i="42"/>
  <c r="E302" i="42"/>
  <c r="E303" i="42"/>
  <c r="E304" i="42"/>
  <c r="E305" i="42"/>
  <c r="E306" i="42"/>
  <c r="E307" i="42"/>
  <c r="E308" i="42"/>
  <c r="E309" i="42"/>
  <c r="E310" i="42"/>
  <c r="E311" i="42"/>
  <c r="E312" i="42"/>
  <c r="E313" i="42"/>
  <c r="E314" i="42"/>
  <c r="E315" i="42"/>
  <c r="E316" i="42"/>
  <c r="E317" i="42"/>
  <c r="E318" i="42"/>
  <c r="E319" i="42"/>
  <c r="E320" i="42"/>
  <c r="E321" i="42"/>
  <c r="E322" i="42"/>
  <c r="E323" i="42"/>
  <c r="E324" i="42"/>
  <c r="E325" i="42"/>
  <c r="E326" i="42"/>
  <c r="E327" i="42"/>
  <c r="E328" i="42"/>
  <c r="E329" i="42"/>
  <c r="E330" i="42"/>
  <c r="E331" i="42"/>
  <c r="E332" i="42"/>
  <c r="E333" i="42"/>
  <c r="E334" i="42"/>
  <c r="E335" i="42"/>
  <c r="E336" i="42"/>
  <c r="E337" i="42"/>
  <c r="E338" i="42"/>
  <c r="E339" i="42"/>
  <c r="E340" i="42"/>
  <c r="E341" i="42"/>
  <c r="E342" i="42"/>
  <c r="E343" i="42"/>
  <c r="E344" i="42"/>
  <c r="E345" i="42"/>
  <c r="E346" i="42"/>
  <c r="E347" i="42"/>
  <c r="E349" i="42"/>
  <c r="E351" i="42"/>
  <c r="E353" i="42"/>
  <c r="E355" i="42"/>
  <c r="E357" i="42"/>
  <c r="E359" i="42"/>
  <c r="E361" i="42"/>
  <c r="E363" i="42"/>
  <c r="E365" i="42"/>
  <c r="E367" i="42"/>
  <c r="E375" i="42"/>
  <c r="E379" i="42"/>
  <c r="E383" i="42"/>
  <c r="D402" i="42"/>
  <c r="E402" i="42" s="1"/>
  <c r="E403" i="42"/>
  <c r="D409" i="42"/>
  <c r="D408" i="42"/>
  <c r="E408" i="42" s="1"/>
  <c r="E412" i="42"/>
  <c r="D413" i="42"/>
  <c r="E413" i="42" s="1"/>
  <c r="E416" i="42"/>
  <c r="D417" i="42"/>
  <c r="E417" i="42" s="1"/>
  <c r="D418" i="42"/>
  <c r="E418" i="42" s="1"/>
  <c r="E420" i="42"/>
  <c r="D421" i="42"/>
  <c r="E421" i="42" s="1"/>
  <c r="D422" i="42"/>
  <c r="E422" i="42" s="1"/>
  <c r="E401" i="42"/>
  <c r="D404" i="42"/>
  <c r="E404" i="42" s="1"/>
  <c r="E405" i="42"/>
  <c r="D407" i="42"/>
  <c r="E407" i="42" s="1"/>
  <c r="E424" i="42"/>
  <c r="D425" i="42"/>
  <c r="E425" i="42" s="1"/>
  <c r="D426" i="42"/>
  <c r="E409" i="42"/>
  <c r="D410" i="42"/>
  <c r="E428" i="42"/>
  <c r="D429" i="42"/>
  <c r="E429" i="42" s="1"/>
  <c r="E410" i="42"/>
  <c r="E414" i="42"/>
  <c r="E426" i="42"/>
  <c r="E430" i="42"/>
  <c r="D433" i="42"/>
  <c r="E433" i="42" s="1"/>
  <c r="E434" i="42"/>
  <c r="D437" i="42"/>
  <c r="E437" i="42" s="1"/>
  <c r="E438" i="42"/>
  <c r="E440" i="42"/>
  <c r="E442" i="42"/>
  <c r="E444" i="42"/>
  <c r="E446" i="42"/>
  <c r="E448" i="42"/>
  <c r="E450" i="42"/>
  <c r="E452" i="42"/>
  <c r="E454" i="42"/>
  <c r="E456" i="42"/>
  <c r="E458" i="42"/>
  <c r="E460" i="42"/>
  <c r="E462" i="42"/>
  <c r="E464" i="42"/>
  <c r="E466" i="42"/>
  <c r="E468" i="42"/>
  <c r="E470" i="42"/>
  <c r="E472" i="42"/>
  <c r="E474" i="42"/>
  <c r="E476" i="42"/>
  <c r="E478" i="42"/>
  <c r="E480" i="42"/>
  <c r="E482" i="42"/>
  <c r="E484" i="42"/>
  <c r="E486" i="42"/>
  <c r="E488" i="42"/>
  <c r="E490" i="42"/>
  <c r="E492" i="42"/>
  <c r="E498" i="42"/>
  <c r="E502" i="42"/>
  <c r="D535" i="42"/>
  <c r="E535" i="42" s="1"/>
  <c r="E540" i="42"/>
  <c r="E541" i="42"/>
  <c r="E548" i="42"/>
  <c r="E549" i="42"/>
  <c r="E556" i="42"/>
  <c r="E557" i="42"/>
  <c r="E564" i="42"/>
  <c r="E565" i="42"/>
  <c r="D570" i="42"/>
  <c r="E570" i="42" s="1"/>
  <c r="D572" i="42"/>
  <c r="E572" i="42" s="1"/>
  <c r="E571" i="42"/>
  <c r="E542" i="42"/>
  <c r="E550" i="42"/>
  <c r="E558" i="42"/>
  <c r="E566" i="42"/>
  <c r="E573" i="42"/>
  <c r="D575" i="42"/>
  <c r="E575" i="42"/>
  <c r="D577" i="42"/>
  <c r="E577" i="42" s="1"/>
  <c r="D579" i="42"/>
  <c r="E579" i="42"/>
  <c r="D581" i="42"/>
  <c r="E581" i="42" s="1"/>
  <c r="D583" i="42"/>
  <c r="E583" i="42"/>
  <c r="D585" i="42"/>
  <c r="E585" i="42" s="1"/>
  <c r="D587" i="42"/>
  <c r="D589" i="42"/>
  <c r="E589" i="42" s="1"/>
  <c r="E587" i="42"/>
  <c r="E537" i="42"/>
  <c r="D538" i="42"/>
  <c r="E538" i="42" s="1"/>
  <c r="E545" i="42"/>
  <c r="D546" i="42"/>
  <c r="E546" i="42" s="1"/>
  <c r="E553" i="42"/>
  <c r="D554" i="42"/>
  <c r="E554" i="42" s="1"/>
  <c r="E561" i="42"/>
  <c r="D562" i="42"/>
  <c r="E562" i="42" s="1"/>
  <c r="E569" i="42"/>
  <c r="D574" i="42"/>
  <c r="E574" i="42" s="1"/>
  <c r="D588" i="42"/>
  <c r="E588" i="42" s="1"/>
  <c r="E590" i="42"/>
  <c r="E597" i="42"/>
  <c r="E598" i="42"/>
  <c r="E605" i="42"/>
  <c r="E606" i="42"/>
  <c r="E613" i="42"/>
  <c r="E614" i="42"/>
  <c r="E618" i="42"/>
  <c r="D620" i="42"/>
  <c r="D628" i="42"/>
  <c r="D627" i="42"/>
  <c r="E627" i="42" s="1"/>
  <c r="D636" i="42"/>
  <c r="D635" i="42"/>
  <c r="E635" i="42" s="1"/>
  <c r="D644" i="42"/>
  <c r="D643" i="42"/>
  <c r="E643" i="42" s="1"/>
  <c r="D651" i="42"/>
  <c r="E591" i="42"/>
  <c r="E599" i="42"/>
  <c r="E607" i="42"/>
  <c r="E615" i="42"/>
  <c r="D626" i="42"/>
  <c r="E626" i="42" s="1"/>
  <c r="D625" i="42"/>
  <c r="E625" i="42" s="1"/>
  <c r="D634" i="42"/>
  <c r="E634" i="42" s="1"/>
  <c r="D633" i="42"/>
  <c r="E633" i="42" s="1"/>
  <c r="D642" i="42"/>
  <c r="E642" i="42" s="1"/>
  <c r="D641" i="42"/>
  <c r="E641" i="42" s="1"/>
  <c r="E648" i="42"/>
  <c r="D650" i="42"/>
  <c r="E650" i="42" s="1"/>
  <c r="D649" i="42"/>
  <c r="E649" i="42" s="1"/>
  <c r="D595" i="42"/>
  <c r="E595" i="42" s="1"/>
  <c r="D603" i="42"/>
  <c r="E603" i="42" s="1"/>
  <c r="D611" i="42"/>
  <c r="E611" i="42" s="1"/>
  <c r="E622" i="42"/>
  <c r="D624" i="42"/>
  <c r="E624" i="42" s="1"/>
  <c r="D623" i="42"/>
  <c r="E623" i="42" s="1"/>
  <c r="D632" i="42"/>
  <c r="E632" i="42" s="1"/>
  <c r="D631" i="42"/>
  <c r="E631" i="42" s="1"/>
  <c r="E638" i="42"/>
  <c r="D640" i="42"/>
  <c r="E640" i="42" s="1"/>
  <c r="D639" i="42"/>
  <c r="E639" i="42" s="1"/>
  <c r="D648" i="42"/>
  <c r="D647" i="42"/>
  <c r="E647" i="42" s="1"/>
  <c r="E620" i="42"/>
  <c r="D622" i="42"/>
  <c r="D621" i="42"/>
  <c r="E621" i="42" s="1"/>
  <c r="E628" i="42"/>
  <c r="D630" i="42"/>
  <c r="E630" i="42" s="1"/>
  <c r="D629" i="42"/>
  <c r="E629" i="42" s="1"/>
  <c r="E636" i="42"/>
  <c r="D638" i="42"/>
  <c r="D637" i="42"/>
  <c r="E637" i="42" s="1"/>
  <c r="E644" i="42"/>
  <c r="D646" i="42"/>
  <c r="E646" i="42" s="1"/>
  <c r="D645" i="42"/>
  <c r="E645" i="42" s="1"/>
  <c r="E653" i="42"/>
  <c r="D655" i="42"/>
  <c r="D654" i="42"/>
  <c r="E654" i="42" s="1"/>
  <c r="E657" i="42"/>
  <c r="D659" i="42"/>
  <c r="D658" i="42"/>
  <c r="E658" i="42" s="1"/>
  <c r="E661" i="42"/>
  <c r="D663" i="42"/>
  <c r="E663" i="42" s="1"/>
  <c r="D662" i="42"/>
  <c r="E662" i="42" s="1"/>
  <c r="E665" i="42"/>
  <c r="D667" i="42"/>
  <c r="E667" i="42" s="1"/>
  <c r="D666" i="42"/>
  <c r="E666" i="42" s="1"/>
  <c r="E651" i="42"/>
  <c r="E655" i="42"/>
  <c r="E659" i="42"/>
  <c r="E669" i="42"/>
  <c r="E671" i="42"/>
  <c r="E673" i="42"/>
  <c r="E675" i="42"/>
  <c r="E677" i="42"/>
  <c r="E679" i="42"/>
  <c r="E681" i="42"/>
  <c r="E683" i="42"/>
  <c r="E695" i="42"/>
  <c r="E735" i="42"/>
  <c r="E703" i="42"/>
  <c r="E705" i="42"/>
  <c r="E707" i="42"/>
  <c r="E733" i="42"/>
  <c r="D10" i="43"/>
  <c r="O15" i="42" l="1"/>
  <c r="O14" i="42"/>
  <c r="P14" i="42" s="1"/>
  <c r="H5" i="42"/>
  <c r="F6" i="42"/>
  <c r="D11" i="43"/>
  <c r="G6" i="42" l="1"/>
  <c r="D12" i="43"/>
  <c r="H6" i="42" l="1"/>
  <c r="F7" i="42"/>
  <c r="D13" i="43"/>
  <c r="G7" i="42" l="1"/>
  <c r="D14" i="43"/>
  <c r="H7" i="42" l="1"/>
  <c r="F8" i="42"/>
  <c r="D15" i="43"/>
  <c r="G8" i="42" l="1"/>
  <c r="D16" i="43"/>
  <c r="H8" i="42" l="1"/>
  <c r="F9" i="42"/>
  <c r="D17" i="43"/>
  <c r="G9" i="42" l="1"/>
  <c r="D18" i="43"/>
  <c r="D19" i="43" s="1"/>
  <c r="H9" i="42" l="1"/>
  <c r="F10" i="42"/>
  <c r="D20" i="43"/>
  <c r="G10" i="42" l="1"/>
  <c r="H10" i="42" s="1"/>
  <c r="D21" i="43"/>
  <c r="F11" i="42" l="1"/>
  <c r="D22" i="43"/>
  <c r="D23" i="43" s="1"/>
  <c r="G11" i="42" l="1"/>
  <c r="H11" i="42" s="1"/>
  <c r="D24" i="43"/>
  <c r="F12" i="42" l="1"/>
  <c r="D25" i="43"/>
  <c r="G12" i="42" l="1"/>
  <c r="H12" i="42" s="1"/>
  <c r="D26" i="43"/>
  <c r="D27" i="43" s="1"/>
  <c r="F13" i="42" l="1"/>
  <c r="D28" i="43"/>
  <c r="G13" i="42" l="1"/>
  <c r="H13" i="42" s="1"/>
  <c r="D29" i="43"/>
  <c r="D30" i="43" s="1"/>
  <c r="F14" i="42" l="1"/>
  <c r="D31" i="43"/>
  <c r="G14" i="42" l="1"/>
  <c r="H14" i="42" s="1"/>
  <c r="D32" i="43"/>
  <c r="F15" i="42" l="1"/>
  <c r="D33" i="43"/>
  <c r="G15" i="42" l="1"/>
  <c r="H15" i="42" s="1"/>
  <c r="D34" i="43"/>
  <c r="F16" i="42" l="1"/>
  <c r="D35" i="43"/>
  <c r="G16" i="42" l="1"/>
  <c r="H16" i="42" s="1"/>
  <c r="D36" i="43"/>
  <c r="D37" i="43" s="1"/>
  <c r="F17" i="42" l="1"/>
  <c r="D38" i="43"/>
  <c r="F18" i="42" l="1"/>
  <c r="G17" i="42"/>
  <c r="H17" i="42" s="1"/>
  <c r="D39" i="43"/>
  <c r="D40" i="43" s="1"/>
  <c r="G18" i="42" l="1"/>
  <c r="H18" i="42" s="1"/>
  <c r="D41" i="43"/>
  <c r="D42" i="43" s="1"/>
  <c r="F19" i="42" l="1"/>
  <c r="D43" i="43"/>
  <c r="G19" i="42" l="1"/>
  <c r="H19" i="42" s="1"/>
  <c r="D44" i="43"/>
  <c r="D45" i="43" s="1"/>
  <c r="F20" i="42" l="1"/>
  <c r="D46" i="43"/>
  <c r="D47" i="43" s="1"/>
  <c r="G20" i="42" l="1"/>
  <c r="H20" i="42" s="1"/>
  <c r="D48" i="43"/>
  <c r="F21" i="42" l="1"/>
  <c r="D49" i="43"/>
  <c r="G21" i="42" l="1"/>
  <c r="H21" i="42" s="1"/>
  <c r="D50" i="43"/>
  <c r="D51" i="43" s="1"/>
  <c r="F22" i="42" l="1"/>
  <c r="D52" i="43"/>
  <c r="D53" i="43" s="1"/>
  <c r="G22" i="42" l="1"/>
  <c r="H22" i="42" s="1"/>
  <c r="D54" i="43"/>
  <c r="F23" i="42" l="1"/>
  <c r="D55" i="43"/>
  <c r="D56" i="43" s="1"/>
  <c r="D57" i="43" s="1"/>
  <c r="G23" i="42" l="1"/>
  <c r="H23" i="42" s="1"/>
  <c r="D58" i="43"/>
  <c r="F24" i="42" l="1"/>
  <c r="D59" i="43"/>
  <c r="G24" i="42" l="1"/>
  <c r="H24" i="42" s="1"/>
  <c r="D60" i="43"/>
  <c r="D61" i="43" s="1"/>
  <c r="F25" i="42" l="1"/>
  <c r="D62" i="43"/>
  <c r="D63" i="43" s="1"/>
  <c r="G25" i="42" l="1"/>
  <c r="H25" i="42" s="1"/>
  <c r="D64" i="43"/>
  <c r="F26" i="42" l="1"/>
  <c r="D65" i="43"/>
  <c r="D66" i="43" s="1"/>
  <c r="G26" i="42" l="1"/>
  <c r="H26" i="42" s="1"/>
  <c r="D67" i="43"/>
  <c r="D68" i="43" s="1"/>
  <c r="D69" i="43" s="1"/>
  <c r="F27" i="42" l="1"/>
  <c r="D70" i="43"/>
  <c r="F28" i="42" l="1"/>
  <c r="G27" i="42"/>
  <c r="H27" i="42" s="1"/>
  <c r="D71" i="43"/>
  <c r="G28" i="42" l="1"/>
  <c r="H28" i="42" s="1"/>
  <c r="D72" i="43"/>
  <c r="D73" i="43" s="1"/>
  <c r="D74" i="43" s="1"/>
  <c r="F29" i="42" l="1"/>
  <c r="D75" i="43"/>
  <c r="G29" i="42" l="1"/>
  <c r="H29" i="42" s="1"/>
  <c r="D76" i="43"/>
  <c r="D77" i="43" s="1"/>
  <c r="D78" i="43" s="1"/>
  <c r="D79" i="43" s="1"/>
  <c r="F30" i="42" l="1"/>
  <c r="D80" i="43"/>
  <c r="D81" i="43" s="1"/>
  <c r="G30" i="42" l="1"/>
  <c r="H30" i="42" s="1"/>
  <c r="D82" i="43"/>
  <c r="D83" i="43" s="1"/>
  <c r="F31" i="42" l="1"/>
  <c r="D84" i="43"/>
  <c r="G31" i="42" l="1"/>
  <c r="H31" i="42" s="1"/>
  <c r="D85" i="43"/>
  <c r="D86" i="43" s="1"/>
  <c r="F32" i="42" l="1"/>
  <c r="D87" i="43"/>
  <c r="D88" i="43" s="1"/>
  <c r="D89" i="43" s="1"/>
  <c r="G32" i="42" l="1"/>
  <c r="H32" i="42" s="1"/>
  <c r="D90" i="43"/>
  <c r="D91" i="43" s="1"/>
  <c r="D92" i="43" s="1"/>
  <c r="F33" i="42" l="1"/>
  <c r="D93" i="43"/>
  <c r="G33" i="42" l="1"/>
  <c r="H33" i="42" s="1"/>
  <c r="D94" i="43"/>
  <c r="D95" i="43" s="1"/>
  <c r="F34" i="42" l="1"/>
  <c r="D96" i="43"/>
  <c r="G34" i="42" l="1"/>
  <c r="H34" i="42" s="1"/>
  <c r="D97" i="43"/>
  <c r="F35" i="42" l="1"/>
  <c r="D98" i="43"/>
  <c r="G35" i="42" l="1"/>
  <c r="H35" i="42" s="1"/>
  <c r="D99" i="43"/>
  <c r="F36" i="42" l="1"/>
  <c r="D100" i="43"/>
  <c r="G36" i="42" l="1"/>
  <c r="H36" i="42" s="1"/>
  <c r="D101" i="43"/>
  <c r="D102" i="43" s="1"/>
  <c r="F37" i="42" l="1"/>
  <c r="D103" i="43"/>
  <c r="G37" i="42" l="1"/>
  <c r="H37" i="42" s="1"/>
  <c r="D104" i="43"/>
  <c r="F38" i="42" l="1"/>
  <c r="D105" i="43"/>
  <c r="D106" i="43" s="1"/>
  <c r="G38" i="42" l="1"/>
  <c r="H38" i="42" s="1"/>
  <c r="D107" i="43"/>
  <c r="D108" i="43" s="1"/>
  <c r="F39" i="42" l="1"/>
  <c r="D109" i="43"/>
  <c r="G39" i="42" l="1"/>
  <c r="H39" i="42" s="1"/>
  <c r="D110" i="43"/>
  <c r="F40" i="42" l="1"/>
  <c r="D111" i="43"/>
  <c r="G40" i="42" l="1"/>
  <c r="H40" i="42" s="1"/>
  <c r="D112" i="43"/>
  <c r="F41" i="42" l="1"/>
  <c r="D113" i="43"/>
  <c r="D114" i="43" s="1"/>
  <c r="G41" i="42" l="1"/>
  <c r="H41" i="42" s="1"/>
  <c r="D115" i="43"/>
  <c r="D116" i="43" s="1"/>
  <c r="F42" i="42" l="1"/>
  <c r="D117" i="43"/>
  <c r="G42" i="42" l="1"/>
  <c r="H42" i="42" s="1"/>
  <c r="D118" i="43"/>
  <c r="F43" i="42" l="1"/>
  <c r="D119" i="43"/>
  <c r="G43" i="42" l="1"/>
  <c r="H43" i="42" s="1"/>
  <c r="D120" i="43"/>
  <c r="D121" i="43" s="1"/>
  <c r="F44" i="42" l="1"/>
  <c r="D122" i="43"/>
  <c r="D123" i="43" s="1"/>
  <c r="G44" i="42" l="1"/>
  <c r="H44" i="42" s="1"/>
  <c r="D124" i="43"/>
  <c r="F45" i="42" l="1"/>
  <c r="D125" i="43"/>
  <c r="G45" i="42" l="1"/>
  <c r="H45" i="42" s="1"/>
  <c r="D126" i="43"/>
  <c r="F46" i="42" l="1"/>
  <c r="D127" i="43"/>
  <c r="G46" i="42" l="1"/>
  <c r="H46" i="42" s="1"/>
  <c r="D128" i="43"/>
  <c r="F47" i="42" l="1"/>
  <c r="D129" i="43"/>
  <c r="G47" i="42" l="1"/>
  <c r="H47" i="42" s="1"/>
  <c r="D130" i="43"/>
  <c r="F48" i="42" l="1"/>
  <c r="D131" i="43"/>
  <c r="D132" i="43" s="1"/>
  <c r="G48" i="42" l="1"/>
  <c r="H48" i="42" s="1"/>
  <c r="D133" i="43"/>
  <c r="D134" i="43" s="1"/>
  <c r="F49" i="42" l="1"/>
  <c r="D135" i="43"/>
  <c r="G49" i="42" l="1"/>
  <c r="H49" i="42" s="1"/>
  <c r="D136" i="43"/>
  <c r="F50" i="42" l="1"/>
  <c r="D137" i="43"/>
  <c r="G50" i="42" l="1"/>
  <c r="H50" i="42" s="1"/>
  <c r="D138" i="43"/>
  <c r="F51" i="42" l="1"/>
  <c r="D139" i="43"/>
  <c r="G51" i="42" l="1"/>
  <c r="H51" i="42" s="1"/>
  <c r="D140" i="43"/>
  <c r="F52" i="42" l="1"/>
  <c r="D141" i="43"/>
  <c r="D142" i="43" s="1"/>
  <c r="D143" i="43" s="1"/>
  <c r="G52" i="42" l="1"/>
  <c r="H52" i="42" s="1"/>
  <c r="D144" i="43"/>
  <c r="F53" i="42" l="1"/>
  <c r="D145" i="43"/>
  <c r="G53" i="42" l="1"/>
  <c r="H53" i="42" s="1"/>
  <c r="D146" i="43"/>
  <c r="F54" i="42" l="1"/>
  <c r="D147" i="43"/>
  <c r="G54" i="42" l="1"/>
  <c r="H54" i="42" s="1"/>
  <c r="D148" i="43"/>
  <c r="D149" i="43" s="1"/>
  <c r="D150" i="43" s="1"/>
  <c r="F55" i="42" l="1"/>
  <c r="D151" i="43"/>
  <c r="D152" i="43" s="1"/>
  <c r="D153" i="43" s="1"/>
  <c r="G55" i="42" l="1"/>
  <c r="H55" i="42" s="1"/>
  <c r="D154" i="43"/>
  <c r="F56" i="42" l="1"/>
  <c r="D155" i="43"/>
  <c r="G56" i="42" l="1"/>
  <c r="H56" i="42" s="1"/>
  <c r="D156" i="43"/>
  <c r="D157" i="43" s="1"/>
  <c r="F57" i="42" l="1"/>
  <c r="D158" i="43"/>
  <c r="G57" i="42" l="1"/>
  <c r="H57" i="42" s="1"/>
  <c r="D159" i="43"/>
  <c r="D160" i="43" s="1"/>
  <c r="F58" i="42" l="1"/>
  <c r="D161" i="43"/>
  <c r="D162" i="43" s="1"/>
  <c r="G58" i="42" l="1"/>
  <c r="H58" i="42" s="1"/>
  <c r="D163" i="43"/>
  <c r="F59" i="42" l="1"/>
  <c r="D164" i="43"/>
  <c r="G59" i="42" l="1"/>
  <c r="H59" i="42" s="1"/>
  <c r="D165" i="43"/>
  <c r="F60" i="42" l="1"/>
  <c r="D166" i="43"/>
  <c r="G60" i="42" l="1"/>
  <c r="H60" i="42" s="1"/>
  <c r="D167" i="43"/>
  <c r="D168" i="43" s="1"/>
  <c r="F61" i="42" l="1"/>
  <c r="D169" i="43"/>
  <c r="G61" i="42" l="1"/>
  <c r="H61" i="42" s="1"/>
  <c r="D170" i="43"/>
  <c r="F62" i="42" l="1"/>
  <c r="D171" i="43"/>
  <c r="G62" i="42" l="1"/>
  <c r="H62" i="42" s="1"/>
  <c r="D172" i="43"/>
  <c r="D173" i="43" s="1"/>
  <c r="F63" i="42" l="1"/>
  <c r="D174" i="43"/>
  <c r="G63" i="42" l="1"/>
  <c r="H63" i="42" s="1"/>
  <c r="D175" i="43"/>
  <c r="F64" i="42" l="1"/>
  <c r="D176" i="43"/>
  <c r="G64" i="42" l="1"/>
  <c r="H64" i="42" s="1"/>
  <c r="D177" i="43"/>
  <c r="F65" i="42" l="1"/>
  <c r="D178" i="43"/>
  <c r="G65" i="42" l="1"/>
  <c r="H65" i="42" s="1"/>
  <c r="D179" i="43"/>
  <c r="F66" i="42" l="1"/>
  <c r="D180" i="43"/>
  <c r="G66" i="42" l="1"/>
  <c r="H66" i="42" s="1"/>
  <c r="D181" i="43"/>
  <c r="D182" i="43" s="1"/>
  <c r="F67" i="42" l="1"/>
  <c r="D183" i="43"/>
  <c r="D184" i="43" s="1"/>
  <c r="D185" i="43" s="1"/>
  <c r="F68" i="42" l="1"/>
  <c r="G67" i="42"/>
  <c r="H67" i="42" s="1"/>
  <c r="D186" i="43"/>
  <c r="D187" i="43" s="1"/>
  <c r="G68" i="42" l="1"/>
  <c r="H68" i="42" s="1"/>
  <c r="D188" i="43"/>
  <c r="D189" i="43" s="1"/>
  <c r="D190" i="43" s="1"/>
  <c r="F69" i="42" l="1"/>
  <c r="D191" i="43"/>
  <c r="D192" i="43" s="1"/>
  <c r="D193" i="43" s="1"/>
  <c r="G69" i="42" l="1"/>
  <c r="H69" i="42" s="1"/>
  <c r="D194" i="43"/>
  <c r="D195" i="43" s="1"/>
  <c r="F70" i="42" l="1"/>
  <c r="D196" i="43"/>
  <c r="D197" i="43" s="1"/>
  <c r="F71" i="42" l="1"/>
  <c r="G70" i="42"/>
  <c r="H70" i="42" s="1"/>
  <c r="D198" i="43"/>
  <c r="D199" i="43" s="1"/>
  <c r="F72" i="42" l="1"/>
  <c r="G71" i="42"/>
  <c r="H71" i="42" s="1"/>
  <c r="D200" i="43"/>
  <c r="D201" i="43" s="1"/>
  <c r="G72" i="42" l="1"/>
  <c r="H72" i="42" s="1"/>
  <c r="D202" i="43"/>
  <c r="F73" i="42" l="1"/>
  <c r="D203" i="43"/>
  <c r="G73" i="42" l="1"/>
  <c r="H73" i="42" s="1"/>
  <c r="D204" i="43"/>
  <c r="F74" i="42" l="1"/>
  <c r="D205" i="43"/>
  <c r="G74" i="42" l="1"/>
  <c r="H74" i="42" s="1"/>
  <c r="D206" i="43"/>
  <c r="F75" i="42" l="1"/>
  <c r="D207" i="43"/>
  <c r="F76" i="42" l="1"/>
  <c r="G75" i="42"/>
  <c r="H75" i="42" s="1"/>
  <c r="D208" i="43"/>
  <c r="F77" i="42" l="1"/>
  <c r="G76" i="42"/>
  <c r="H76" i="42" s="1"/>
  <c r="D209" i="43"/>
  <c r="D210" i="43" s="1"/>
  <c r="D211" i="43" s="1"/>
  <c r="G77" i="42" l="1"/>
  <c r="H77" i="42" s="1"/>
  <c r="D212" i="43"/>
  <c r="F78" i="42" l="1"/>
  <c r="D213" i="43"/>
  <c r="G78" i="42" l="1"/>
  <c r="H78" i="42" s="1"/>
  <c r="D214" i="43"/>
  <c r="D215" i="43" s="1"/>
  <c r="D216" i="43" s="1"/>
  <c r="F79" i="42" l="1"/>
  <c r="D217" i="43"/>
  <c r="G79" i="42" l="1"/>
  <c r="H79" i="42" s="1"/>
  <c r="D218" i="43"/>
  <c r="F80" i="42" l="1"/>
  <c r="D219" i="43"/>
  <c r="D220" i="43" s="1"/>
  <c r="G80" i="42" l="1"/>
  <c r="H80" i="42" s="1"/>
  <c r="D221" i="43"/>
  <c r="D222" i="43" s="1"/>
  <c r="F81" i="42" l="1"/>
  <c r="D223" i="43"/>
  <c r="G81" i="42" l="1"/>
  <c r="H81" i="42" s="1"/>
  <c r="D224" i="43"/>
  <c r="F82" i="42" l="1"/>
  <c r="D225" i="43"/>
  <c r="G82" i="42" l="1"/>
  <c r="H82" i="42" s="1"/>
  <c r="D226" i="43"/>
  <c r="F83" i="42" l="1"/>
  <c r="D227" i="43"/>
  <c r="D228" i="43" s="1"/>
  <c r="G83" i="42" l="1"/>
  <c r="H83" i="42" s="1"/>
  <c r="D229" i="43"/>
  <c r="F84" i="42" l="1"/>
  <c r="D230" i="43"/>
  <c r="G84" i="42" l="1"/>
  <c r="H84" i="42" s="1"/>
  <c r="D231" i="43"/>
  <c r="F85" i="42" l="1"/>
  <c r="D232" i="43"/>
  <c r="D233" i="43" s="1"/>
  <c r="D234" i="43" s="1"/>
  <c r="F86" i="42" l="1"/>
  <c r="G85" i="42"/>
  <c r="H85" i="42" s="1"/>
  <c r="D235" i="43"/>
  <c r="G86" i="42" l="1"/>
  <c r="H86" i="42" s="1"/>
  <c r="D236" i="43"/>
  <c r="F87" i="42" l="1"/>
  <c r="D237" i="43"/>
  <c r="D238" i="43" s="1"/>
  <c r="G87" i="42" l="1"/>
  <c r="H87" i="42" s="1"/>
  <c r="D239" i="43"/>
  <c r="F88" i="42" l="1"/>
  <c r="D240" i="43"/>
  <c r="G88" i="42" l="1"/>
  <c r="H88" i="42" s="1"/>
  <c r="D241" i="43"/>
  <c r="F89" i="42" l="1"/>
  <c r="D242" i="43"/>
  <c r="G89" i="42" l="1"/>
  <c r="H89" i="42" s="1"/>
  <c r="D243" i="43"/>
  <c r="F90" i="42" l="1"/>
  <c r="D244" i="43"/>
  <c r="G90" i="42" l="1"/>
  <c r="H90" i="42" s="1"/>
  <c r="D245" i="43"/>
  <c r="D246" i="43" s="1"/>
  <c r="F91" i="42" l="1"/>
  <c r="D247" i="43"/>
  <c r="F92" i="42" l="1"/>
  <c r="G91" i="42"/>
  <c r="H91" i="42" s="1"/>
  <c r="D248" i="43"/>
  <c r="G92" i="42" l="1"/>
  <c r="H92" i="42" s="1"/>
  <c r="D249" i="43"/>
  <c r="F93" i="42" l="1"/>
  <c r="D250" i="43"/>
  <c r="D251" i="43" s="1"/>
  <c r="G93" i="42" l="1"/>
  <c r="H93" i="42" s="1"/>
  <c r="D252" i="43"/>
  <c r="F94" i="42" l="1"/>
  <c r="D253" i="43"/>
  <c r="G94" i="42" l="1"/>
  <c r="H94" i="42" s="1"/>
  <c r="D254" i="43"/>
  <c r="D255" i="43" s="1"/>
  <c r="F95" i="42" l="1"/>
  <c r="D256" i="43"/>
  <c r="G95" i="42" l="1"/>
  <c r="H95" i="42" s="1"/>
  <c r="D257" i="43"/>
  <c r="D258" i="43" s="1"/>
  <c r="F96" i="42" l="1"/>
  <c r="D259" i="43"/>
  <c r="G96" i="42" l="1"/>
  <c r="H96" i="42" s="1"/>
  <c r="D260" i="43"/>
  <c r="D261" i="43" s="1"/>
  <c r="F97" i="42" l="1"/>
  <c r="D262" i="43"/>
  <c r="G97" i="42" l="1"/>
  <c r="H97" i="42" s="1"/>
  <c r="D263" i="43"/>
  <c r="F98" i="42" l="1"/>
  <c r="D264" i="43"/>
  <c r="G98" i="42" l="1"/>
  <c r="H98" i="42" s="1"/>
  <c r="D265" i="43"/>
  <c r="D266" i="43" s="1"/>
  <c r="F99" i="42" l="1"/>
  <c r="D267" i="43"/>
  <c r="G99" i="42" l="1"/>
  <c r="H99" i="42" s="1"/>
  <c r="D268" i="43"/>
  <c r="F100" i="42" l="1"/>
  <c r="D269" i="43"/>
  <c r="G100" i="42" l="1"/>
  <c r="H100" i="42" s="1"/>
  <c r="D270" i="43"/>
  <c r="F101" i="42" l="1"/>
  <c r="D271" i="43"/>
  <c r="F102" i="42" l="1"/>
  <c r="G101" i="42"/>
  <c r="H101" i="42" s="1"/>
  <c r="D272" i="43"/>
  <c r="G102" i="42" l="1"/>
  <c r="H102" i="42" s="1"/>
  <c r="D273" i="43"/>
  <c r="D274" i="43" s="1"/>
  <c r="F103" i="42" l="1"/>
  <c r="D275" i="43"/>
  <c r="G103" i="42" l="1"/>
  <c r="H103" i="42" s="1"/>
  <c r="D276" i="43"/>
  <c r="F104" i="42" l="1"/>
  <c r="D277" i="43"/>
  <c r="G104" i="42" l="1"/>
  <c r="H104" i="42" s="1"/>
  <c r="D278" i="43"/>
  <c r="D279" i="43" s="1"/>
  <c r="F105" i="42" l="1"/>
  <c r="D280" i="43"/>
  <c r="F106" i="42" l="1"/>
  <c r="G105" i="42"/>
  <c r="H105" i="42" s="1"/>
  <c r="D281" i="43"/>
  <c r="G106" i="42" l="1"/>
  <c r="H106" i="42" s="1"/>
  <c r="D282" i="43"/>
  <c r="F107" i="42" l="1"/>
  <c r="D283" i="43"/>
  <c r="D284" i="43" s="1"/>
  <c r="G107" i="42" l="1"/>
  <c r="H107" i="42" s="1"/>
  <c r="D285" i="43"/>
  <c r="F108" i="42" l="1"/>
  <c r="D286" i="43"/>
  <c r="G108" i="42" l="1"/>
  <c r="H108" i="42" s="1"/>
  <c r="D287" i="43"/>
  <c r="D288" i="43" s="1"/>
  <c r="D289" i="43" s="1"/>
  <c r="F109" i="42" l="1"/>
  <c r="D290" i="43"/>
  <c r="G109" i="42" l="1"/>
  <c r="H109" i="42" s="1"/>
  <c r="D291" i="43"/>
  <c r="D292" i="43" s="1"/>
  <c r="D293" i="43" s="1"/>
  <c r="D294" i="43" s="1"/>
  <c r="D295" i="43" s="1"/>
  <c r="F110" i="42" l="1"/>
  <c r="D296" i="43"/>
  <c r="G110" i="42" l="1"/>
  <c r="H110" i="42" s="1"/>
  <c r="D297" i="43"/>
  <c r="F111" i="42" l="1"/>
  <c r="D298" i="43"/>
  <c r="F112" i="42" l="1"/>
  <c r="G111" i="42"/>
  <c r="H111" i="42" s="1"/>
  <c r="D299" i="43"/>
  <c r="D300" i="43" s="1"/>
  <c r="F113" i="42" l="1"/>
  <c r="G112" i="42"/>
  <c r="H112" i="42" s="1"/>
  <c r="D301" i="43"/>
  <c r="G113" i="42" l="1"/>
  <c r="H113" i="42" s="1"/>
  <c r="D302" i="43"/>
  <c r="D303" i="43" s="1"/>
  <c r="F114" i="42" l="1"/>
  <c r="D304" i="43"/>
  <c r="F115" i="42" l="1"/>
  <c r="G114" i="42"/>
  <c r="H114" i="42" s="1"/>
  <c r="D305" i="43"/>
  <c r="F116" i="42" l="1"/>
  <c r="G115" i="42"/>
  <c r="H115" i="42" s="1"/>
  <c r="D306" i="43"/>
  <c r="F117" i="42" l="1"/>
  <c r="G116" i="42"/>
  <c r="H116" i="42" s="1"/>
  <c r="D307" i="43"/>
  <c r="D308" i="43" s="1"/>
  <c r="G117" i="42" l="1"/>
  <c r="H117" i="42" s="1"/>
  <c r="D309" i="43"/>
  <c r="D310" i="43" s="1"/>
  <c r="F118" i="42" l="1"/>
  <c r="D311" i="43"/>
  <c r="F119" i="42" l="1"/>
  <c r="G118" i="42"/>
  <c r="H118" i="42" s="1"/>
  <c r="D312" i="43"/>
  <c r="G119" i="42" l="1"/>
  <c r="H119" i="42" s="1"/>
  <c r="D313" i="43"/>
  <c r="D314" i="43" s="1"/>
  <c r="F120" i="42" l="1"/>
  <c r="D315" i="43"/>
  <c r="D316" i="43" s="1"/>
  <c r="G120" i="42" l="1"/>
  <c r="H120" i="42" s="1"/>
  <c r="D317" i="43"/>
  <c r="D318" i="43" s="1"/>
  <c r="D319" i="43" s="1"/>
  <c r="F121" i="42" l="1"/>
  <c r="D320" i="43"/>
  <c r="D321" i="43" s="1"/>
  <c r="D322" i="43" s="1"/>
  <c r="G121" i="42" l="1"/>
  <c r="H121" i="42" s="1"/>
  <c r="D323" i="43"/>
  <c r="D324" i="43" s="1"/>
  <c r="F122" i="42" l="1"/>
  <c r="D325" i="43"/>
  <c r="D326" i="43" s="1"/>
  <c r="G122" i="42" l="1"/>
  <c r="H122" i="42" s="1"/>
  <c r="D327" i="43"/>
  <c r="D328" i="43" s="1"/>
  <c r="F123" i="42" l="1"/>
  <c r="D329" i="43"/>
  <c r="D330" i="43" s="1"/>
  <c r="G123" i="42" l="1"/>
  <c r="H123" i="42" s="1"/>
  <c r="D331" i="43"/>
  <c r="D332" i="43" s="1"/>
  <c r="F124" i="42" l="1"/>
  <c r="D333" i="43"/>
  <c r="G124" i="42" l="1"/>
  <c r="H124" i="42" s="1"/>
  <c r="D334" i="43"/>
  <c r="F125" i="42" l="1"/>
  <c r="D335" i="43"/>
  <c r="D336" i="43" s="1"/>
  <c r="G125" i="42" l="1"/>
  <c r="H125" i="42" s="1"/>
  <c r="D337" i="43"/>
  <c r="F126" i="42" l="1"/>
  <c r="D338" i="43"/>
  <c r="D339" i="43" s="1"/>
  <c r="F127" i="42" l="1"/>
  <c r="G126" i="42"/>
  <c r="H126" i="42" s="1"/>
  <c r="D340" i="43"/>
  <c r="F128" i="42" l="1"/>
  <c r="G127" i="42"/>
  <c r="H127" i="42" s="1"/>
  <c r="D341" i="43"/>
  <c r="F129" i="42" l="1"/>
  <c r="G128" i="42"/>
  <c r="H128" i="42" s="1"/>
  <c r="D342" i="43"/>
  <c r="G129" i="42" l="1"/>
  <c r="H129" i="42" s="1"/>
  <c r="D343" i="43"/>
  <c r="F130" i="42" l="1"/>
  <c r="D344" i="43"/>
  <c r="G130" i="42" l="1"/>
  <c r="H130" i="42" s="1"/>
  <c r="D345" i="43"/>
  <c r="D346" i="43" s="1"/>
  <c r="F131" i="42" l="1"/>
  <c r="D347" i="43"/>
  <c r="G131" i="42" l="1"/>
  <c r="H131" i="42" s="1"/>
  <c r="D348" i="43"/>
  <c r="F132" i="42" l="1"/>
  <c r="D349" i="43"/>
  <c r="G132" i="42" l="1"/>
  <c r="H132" i="42" s="1"/>
  <c r="D350" i="43"/>
  <c r="D351" i="43" s="1"/>
  <c r="F133" i="42" l="1"/>
  <c r="D352" i="43"/>
  <c r="G133" i="42" l="1"/>
  <c r="H133" i="42" s="1"/>
  <c r="D353" i="43"/>
  <c r="F134" i="42" l="1"/>
  <c r="D354" i="43"/>
  <c r="G134" i="42" l="1"/>
  <c r="H134" i="42" s="1"/>
  <c r="D355" i="43"/>
  <c r="F135" i="42" l="1"/>
  <c r="D356" i="43"/>
  <c r="D357" i="43" s="1"/>
  <c r="G135" i="42" l="1"/>
  <c r="H135" i="42" s="1"/>
  <c r="D358" i="43"/>
  <c r="F136" i="42" l="1"/>
  <c r="D359" i="43"/>
  <c r="D360" i="43" s="1"/>
  <c r="G136" i="42" l="1"/>
  <c r="H136" i="42" s="1"/>
  <c r="D361" i="43"/>
  <c r="D362" i="43" s="1"/>
  <c r="F137" i="42" l="1"/>
  <c r="D363" i="43"/>
  <c r="G137" i="42" l="1"/>
  <c r="H137" i="42" s="1"/>
  <c r="D364" i="43"/>
  <c r="F138" i="42" l="1"/>
  <c r="D365" i="43"/>
  <c r="G138" i="42" l="1"/>
  <c r="H138" i="42" s="1"/>
  <c r="D366" i="43"/>
  <c r="F139" i="42" l="1"/>
  <c r="D367" i="43"/>
  <c r="D368" i="43" s="1"/>
  <c r="G139" i="42" l="1"/>
  <c r="H139" i="42" s="1"/>
  <c r="D369" i="43"/>
  <c r="F140" i="42" l="1"/>
  <c r="D370" i="43"/>
  <c r="G140" i="42" l="1"/>
  <c r="H140" i="42" s="1"/>
  <c r="D371" i="43"/>
  <c r="F141" i="42" l="1"/>
  <c r="D372" i="43"/>
  <c r="F142" i="42" l="1"/>
  <c r="G141" i="42"/>
  <c r="H141" i="42" s="1"/>
  <c r="D373" i="43"/>
  <c r="F143" i="42" l="1"/>
  <c r="G142" i="42"/>
  <c r="H142" i="42" s="1"/>
  <c r="D374" i="43"/>
  <c r="D375" i="43" s="1"/>
  <c r="G143" i="42" l="1"/>
  <c r="H143" i="42" s="1"/>
  <c r="D376" i="43"/>
  <c r="D377" i="43" s="1"/>
  <c r="F144" i="42" l="1"/>
  <c r="D378" i="43"/>
  <c r="G144" i="42" l="1"/>
  <c r="H144" i="42" s="1"/>
  <c r="D379" i="43"/>
  <c r="F145" i="42" l="1"/>
  <c r="D380" i="43"/>
  <c r="F146" i="42" l="1"/>
  <c r="G145" i="42"/>
  <c r="H145" i="42" s="1"/>
  <c r="D381" i="43"/>
  <c r="F147" i="42" l="1"/>
  <c r="G146" i="42"/>
  <c r="H146" i="42" s="1"/>
  <c r="D382" i="43"/>
  <c r="G147" i="42" l="1"/>
  <c r="H147" i="42" s="1"/>
  <c r="D383" i="43"/>
  <c r="F148" i="42" l="1"/>
  <c r="D384" i="43"/>
  <c r="F149" i="42" l="1"/>
  <c r="G148" i="42"/>
  <c r="H148" i="42" s="1"/>
  <c r="D385" i="43"/>
  <c r="D386" i="43" s="1"/>
  <c r="D387" i="43" s="1"/>
  <c r="F150" i="42" l="1"/>
  <c r="G149" i="42"/>
  <c r="H149" i="42" s="1"/>
  <c r="D388" i="43"/>
  <c r="F151" i="42" l="1"/>
  <c r="G150" i="42"/>
  <c r="H150" i="42" s="1"/>
  <c r="D389" i="43"/>
  <c r="D390" i="43" s="1"/>
  <c r="G151" i="42" l="1"/>
  <c r="H151" i="42" s="1"/>
  <c r="D391" i="43"/>
  <c r="F152" i="42" l="1"/>
  <c r="D392" i="43"/>
  <c r="D393" i="43" s="1"/>
  <c r="G152" i="42" l="1"/>
  <c r="H152" i="42" s="1"/>
  <c r="D394" i="43"/>
  <c r="D395" i="43" s="1"/>
  <c r="F153" i="42" l="1"/>
  <c r="D396" i="43"/>
  <c r="G153" i="42" l="1"/>
  <c r="H153" i="42" s="1"/>
  <c r="D397" i="43"/>
  <c r="F154" i="42" l="1"/>
  <c r="D398" i="43"/>
  <c r="D399" i="43" s="1"/>
  <c r="D400" i="43" s="1"/>
  <c r="F155" i="42" l="1"/>
  <c r="G154" i="42"/>
  <c r="H154" i="42" s="1"/>
  <c r="D401" i="43"/>
  <c r="D402" i="43" s="1"/>
  <c r="D403" i="43" s="1"/>
  <c r="G155" i="42" l="1"/>
  <c r="H155" i="42" s="1"/>
  <c r="D404" i="43"/>
  <c r="F156" i="42" l="1"/>
  <c r="D405" i="43"/>
  <c r="G156" i="42" l="1"/>
  <c r="H156" i="42" s="1"/>
  <c r="D406" i="43"/>
  <c r="D407" i="43" s="1"/>
  <c r="F157" i="42" l="1"/>
  <c r="D408" i="43"/>
  <c r="G157" i="42" l="1"/>
  <c r="H157" i="42" s="1"/>
  <c r="D409" i="43"/>
  <c r="F158" i="42" l="1"/>
  <c r="D410" i="43"/>
  <c r="G158" i="42" l="1"/>
  <c r="H158" i="42" s="1"/>
  <c r="D411" i="43"/>
  <c r="F159" i="42" l="1"/>
  <c r="D412" i="43"/>
  <c r="D413" i="43" s="1"/>
  <c r="G159" i="42" l="1"/>
  <c r="H159" i="42" s="1"/>
  <c r="D414" i="43"/>
  <c r="F160" i="42" l="1"/>
  <c r="D415" i="43"/>
  <c r="G160" i="42" l="1"/>
  <c r="H160" i="42" s="1"/>
  <c r="D416" i="43"/>
  <c r="F161" i="42" l="1"/>
  <c r="D417" i="43"/>
  <c r="D418" i="43" s="1"/>
  <c r="G161" i="42" l="1"/>
  <c r="H161" i="42" s="1"/>
  <c r="D419" i="43"/>
  <c r="F162" i="42" l="1"/>
  <c r="D420" i="43"/>
  <c r="D421" i="43" s="1"/>
  <c r="F163" i="42" l="1"/>
  <c r="G162" i="42"/>
  <c r="H162" i="42" s="1"/>
  <c r="D422" i="43"/>
  <c r="D423" i="43" s="1"/>
  <c r="F164" i="42" l="1"/>
  <c r="G163" i="42"/>
  <c r="H163" i="42" s="1"/>
  <c r="D424" i="43"/>
  <c r="D425" i="43" s="1"/>
  <c r="G164" i="42" l="1"/>
  <c r="H164" i="42" s="1"/>
  <c r="D426" i="43"/>
  <c r="D427" i="43" s="1"/>
  <c r="D428" i="43" s="1"/>
  <c r="F165" i="42" l="1"/>
  <c r="D429" i="43"/>
  <c r="F166" i="42" l="1"/>
  <c r="G165" i="42"/>
  <c r="H165" i="42" s="1"/>
  <c r="D430" i="43"/>
  <c r="D431" i="43" s="1"/>
  <c r="F167" i="42" l="1"/>
  <c r="G166" i="42"/>
  <c r="H166" i="42" s="1"/>
  <c r="D432" i="43"/>
  <c r="F168" i="42" l="1"/>
  <c r="G167" i="42"/>
  <c r="H167" i="42" s="1"/>
  <c r="D433" i="43"/>
  <c r="D434" i="43" s="1"/>
  <c r="G168" i="42" l="1"/>
  <c r="H168" i="42" s="1"/>
  <c r="D435" i="43"/>
  <c r="D436" i="43" s="1"/>
  <c r="F169" i="42" l="1"/>
  <c r="D437" i="43"/>
  <c r="G169" i="42" l="1"/>
  <c r="H169" i="42" s="1"/>
  <c r="D438" i="43"/>
  <c r="D439" i="43" s="1"/>
  <c r="F170" i="42" l="1"/>
  <c r="D440" i="43"/>
  <c r="G170" i="42" l="1"/>
  <c r="H170" i="42" s="1"/>
  <c r="D441" i="43"/>
  <c r="F171" i="42" l="1"/>
  <c r="D442" i="43"/>
  <c r="D443" i="43" s="1"/>
  <c r="G171" i="42" l="1"/>
  <c r="H171" i="42" s="1"/>
  <c r="D444" i="43"/>
  <c r="F172" i="42" l="1"/>
  <c r="D445" i="43"/>
  <c r="G172" i="42" l="1"/>
  <c r="H172" i="42" s="1"/>
  <c r="D446" i="43"/>
  <c r="F173" i="42" l="1"/>
  <c r="D447" i="43"/>
  <c r="G173" i="42" l="1"/>
  <c r="H173" i="42" s="1"/>
  <c r="D448" i="43"/>
  <c r="D449" i="43" s="1"/>
  <c r="F174" i="42" l="1"/>
  <c r="D450" i="43"/>
  <c r="D451" i="43" s="1"/>
  <c r="F175" i="42" l="1"/>
  <c r="G174" i="42"/>
  <c r="H174" i="42" s="1"/>
  <c r="D452" i="43"/>
  <c r="F176" i="42" l="1"/>
  <c r="G175" i="42"/>
  <c r="H175" i="42" s="1"/>
  <c r="D453" i="43"/>
  <c r="F177" i="42" l="1"/>
  <c r="G176" i="42"/>
  <c r="H176" i="42" s="1"/>
  <c r="D454" i="43"/>
  <c r="G177" i="42" l="1"/>
  <c r="H177" i="42" s="1"/>
  <c r="D455" i="43"/>
  <c r="F178" i="42" l="1"/>
  <c r="D456" i="43"/>
  <c r="D457" i="43" s="1"/>
  <c r="D458" i="43" s="1"/>
  <c r="G178" i="42" l="1"/>
  <c r="H178" i="42" s="1"/>
  <c r="D459" i="43"/>
  <c r="F179" i="42" l="1"/>
  <c r="D460" i="43"/>
  <c r="F180" i="42" l="1"/>
  <c r="G179" i="42"/>
  <c r="H179" i="42" s="1"/>
  <c r="D461" i="43"/>
  <c r="G180" i="42" l="1"/>
  <c r="H180" i="42" s="1"/>
  <c r="D462" i="43"/>
  <c r="F181" i="42" l="1"/>
  <c r="D463" i="43"/>
  <c r="D464" i="43" s="1"/>
  <c r="G181" i="42" l="1"/>
  <c r="H181" i="42" s="1"/>
  <c r="D465" i="43"/>
  <c r="D466" i="43" s="1"/>
  <c r="F182" i="42" l="1"/>
  <c r="D467" i="43"/>
  <c r="G182" i="42" l="1"/>
  <c r="H182" i="42" s="1"/>
  <c r="D468" i="43"/>
  <c r="D469" i="43" s="1"/>
  <c r="F183" i="42" l="1"/>
  <c r="D470" i="43"/>
  <c r="D471" i="43" s="1"/>
  <c r="F184" i="42" l="1"/>
  <c r="G183" i="42"/>
  <c r="H183" i="42" s="1"/>
  <c r="D472" i="43"/>
  <c r="G184" i="42" l="1"/>
  <c r="H184" i="42" s="1"/>
  <c r="D473" i="43"/>
  <c r="F185" i="42" l="1"/>
  <c r="D474" i="43"/>
  <c r="G185" i="42" l="1"/>
  <c r="H185" i="42" s="1"/>
  <c r="D475" i="43"/>
  <c r="F186" i="42" l="1"/>
  <c r="D476" i="43"/>
  <c r="G186" i="42" l="1"/>
  <c r="H186" i="42" s="1"/>
  <c r="D477" i="43"/>
  <c r="F187" i="42" l="1"/>
  <c r="D478" i="43"/>
  <c r="F188" i="42" l="1"/>
  <c r="G187" i="42"/>
  <c r="H187" i="42" s="1"/>
  <c r="D479" i="43"/>
  <c r="F189" i="42" l="1"/>
  <c r="G188" i="42"/>
  <c r="H188" i="42" s="1"/>
  <c r="D480" i="43"/>
  <c r="D481" i="43" s="1"/>
  <c r="G189" i="42" l="1"/>
  <c r="H189" i="42" s="1"/>
  <c r="D482" i="43"/>
  <c r="D483" i="43" s="1"/>
  <c r="F190" i="42" l="1"/>
  <c r="D484" i="43"/>
  <c r="G190" i="42" l="1"/>
  <c r="H190" i="42" s="1"/>
  <c r="D485" i="43"/>
  <c r="D486" i="43" s="1"/>
  <c r="F191" i="42" l="1"/>
  <c r="D487" i="43"/>
  <c r="D488" i="43" s="1"/>
  <c r="D489" i="43" s="1"/>
  <c r="G191" i="42" l="1"/>
  <c r="H191" i="42" s="1"/>
  <c r="D490" i="43"/>
  <c r="D491" i="43" s="1"/>
  <c r="D492" i="43" s="1"/>
  <c r="F192" i="42" l="1"/>
  <c r="D493" i="43"/>
  <c r="D494" i="43" s="1"/>
  <c r="D495" i="43" s="1"/>
  <c r="G192" i="42" l="1"/>
  <c r="H192" i="42" s="1"/>
  <c r="D496" i="43"/>
  <c r="D497" i="43" s="1"/>
  <c r="D498" i="43" s="1"/>
  <c r="F193" i="42" l="1"/>
  <c r="D499" i="43"/>
  <c r="D500" i="43" s="1"/>
  <c r="D501" i="43" s="1"/>
  <c r="G193" i="42" l="1"/>
  <c r="H193" i="42" s="1"/>
  <c r="D502" i="43"/>
  <c r="D503" i="43" s="1"/>
  <c r="F194" i="42" l="1"/>
  <c r="D504" i="43"/>
  <c r="D505" i="43" s="1"/>
  <c r="D506" i="43" s="1"/>
  <c r="D507" i="43" s="1"/>
  <c r="G194" i="42" l="1"/>
  <c r="H194" i="42" s="1"/>
  <c r="D508" i="43"/>
  <c r="F195" i="42" l="1"/>
  <c r="D509" i="43"/>
  <c r="F196" i="42" l="1"/>
  <c r="G195" i="42"/>
  <c r="H195" i="42" s="1"/>
  <c r="D510" i="43"/>
  <c r="D511" i="43" s="1"/>
  <c r="F197" i="42" l="1"/>
  <c r="G196" i="42"/>
  <c r="H196" i="42" s="1"/>
  <c r="D512" i="43"/>
  <c r="D513" i="43" s="1"/>
  <c r="G197" i="42" l="1"/>
  <c r="H197" i="42" s="1"/>
  <c r="D514" i="43"/>
  <c r="F198" i="42" l="1"/>
  <c r="D515" i="43"/>
  <c r="D516" i="43" s="1"/>
  <c r="G198" i="42" l="1"/>
  <c r="H198" i="42" s="1"/>
  <c r="D517" i="43"/>
  <c r="D518" i="43" s="1"/>
  <c r="F199" i="42" l="1"/>
  <c r="D519" i="43"/>
  <c r="G199" i="42" l="1"/>
  <c r="H199" i="42" s="1"/>
  <c r="D520" i="43"/>
  <c r="F200" i="42" l="1"/>
  <c r="D521" i="43"/>
  <c r="G200" i="42" l="1"/>
  <c r="H200" i="42" s="1"/>
  <c r="D522" i="43"/>
  <c r="D523" i="43" s="1"/>
  <c r="F201" i="42" l="1"/>
  <c r="D524" i="43"/>
  <c r="D525" i="43" s="1"/>
  <c r="G201" i="42" l="1"/>
  <c r="H201" i="42" s="1"/>
  <c r="D526" i="43"/>
  <c r="D527" i="43" s="1"/>
  <c r="D528" i="43" s="1"/>
  <c r="D529" i="43" s="1"/>
  <c r="F202" i="42" l="1"/>
  <c r="D530" i="43"/>
  <c r="G202" i="42" l="1"/>
  <c r="H202" i="42" s="1"/>
  <c r="D531" i="43"/>
  <c r="F203" i="42" l="1"/>
  <c r="D532" i="43"/>
  <c r="D533" i="43" s="1"/>
  <c r="F204" i="42" l="1"/>
  <c r="G203" i="42"/>
  <c r="H203" i="42" s="1"/>
  <c r="D534" i="43"/>
  <c r="D535" i="43" s="1"/>
  <c r="F205" i="42" l="1"/>
  <c r="G204" i="42"/>
  <c r="H204" i="42" s="1"/>
  <c r="D536" i="43"/>
  <c r="G205" i="42" l="1"/>
  <c r="H205" i="42" s="1"/>
  <c r="D537" i="43"/>
  <c r="D538" i="43" s="1"/>
  <c r="F206" i="42" l="1"/>
  <c r="D539" i="43"/>
  <c r="D540" i="43" s="1"/>
  <c r="D541" i="43" s="1"/>
  <c r="G206" i="42" l="1"/>
  <c r="H206" i="42" s="1"/>
  <c r="D542" i="43"/>
  <c r="F207" i="42" l="1"/>
  <c r="D543" i="43"/>
  <c r="G207" i="42" l="1"/>
  <c r="H207" i="42" s="1"/>
  <c r="D544" i="43"/>
  <c r="F208" i="42" l="1"/>
  <c r="D545" i="43"/>
  <c r="G208" i="42" l="1"/>
  <c r="H208" i="42" s="1"/>
  <c r="D546" i="43"/>
  <c r="F209" i="42" l="1"/>
  <c r="D547" i="43"/>
  <c r="D548" i="43" s="1"/>
  <c r="D549" i="43" s="1"/>
  <c r="G209" i="42" l="1"/>
  <c r="H209" i="42" s="1"/>
  <c r="D550" i="43"/>
  <c r="F210" i="42" l="1"/>
  <c r="D551" i="43"/>
  <c r="G210" i="42" l="1"/>
  <c r="H210" i="42" s="1"/>
  <c r="D552" i="43"/>
  <c r="D553" i="43" s="1"/>
  <c r="F211" i="42" l="1"/>
  <c r="D554" i="43"/>
  <c r="G211" i="42" l="1"/>
  <c r="H211" i="42" s="1"/>
  <c r="D555" i="43"/>
  <c r="F212" i="42" l="1"/>
  <c r="D556" i="43"/>
  <c r="D557" i="43" s="1"/>
  <c r="F213" i="42" l="1"/>
  <c r="G212" i="42"/>
  <c r="H212" i="42" s="1"/>
  <c r="D558" i="43"/>
  <c r="D559" i="43" s="1"/>
  <c r="D560" i="43" s="1"/>
  <c r="D561" i="43" s="1"/>
  <c r="F214" i="42" l="1"/>
  <c r="G213" i="42"/>
  <c r="H213" i="42" s="1"/>
  <c r="D562" i="43"/>
  <c r="D563" i="43" s="1"/>
  <c r="G214" i="42" l="1"/>
  <c r="H214" i="42" s="1"/>
  <c r="D564" i="43"/>
  <c r="F215" i="42" l="1"/>
  <c r="D565" i="43"/>
  <c r="G215" i="42" l="1"/>
  <c r="H215" i="42" s="1"/>
  <c r="D566" i="43"/>
  <c r="D567" i="43" s="1"/>
  <c r="F216" i="42" l="1"/>
  <c r="D568" i="43"/>
  <c r="G216" i="42" l="1"/>
  <c r="H216" i="42" s="1"/>
  <c r="D569" i="43"/>
  <c r="F217" i="42" l="1"/>
  <c r="D570" i="43"/>
  <c r="G217" i="42" l="1"/>
  <c r="H217" i="42" s="1"/>
  <c r="D571" i="43"/>
  <c r="F218" i="42" l="1"/>
  <c r="D572" i="43"/>
  <c r="D573" i="43" s="1"/>
  <c r="G218" i="42" l="1"/>
  <c r="H218" i="42" s="1"/>
  <c r="D574" i="43"/>
  <c r="F219" i="42" l="1"/>
  <c r="D575" i="43"/>
  <c r="G219" i="42" l="1"/>
  <c r="H219" i="42" s="1"/>
  <c r="D576" i="43"/>
  <c r="F220" i="42" l="1"/>
  <c r="D577" i="43"/>
  <c r="G220" i="42" l="1"/>
  <c r="H220" i="42" s="1"/>
  <c r="D578" i="43"/>
  <c r="F221" i="42" l="1"/>
  <c r="D579" i="43"/>
  <c r="D580" i="43" s="1"/>
  <c r="G221" i="42" l="1"/>
  <c r="H221" i="42" s="1"/>
  <c r="D581" i="43"/>
  <c r="D582" i="43" s="1"/>
  <c r="F222" i="42" l="1"/>
  <c r="D583" i="43"/>
  <c r="G222" i="42" l="1"/>
  <c r="H222" i="42" s="1"/>
  <c r="D584" i="43"/>
  <c r="F223" i="42" l="1"/>
  <c r="D585" i="43"/>
  <c r="F224" i="42" l="1"/>
  <c r="G223" i="42"/>
  <c r="H223" i="42" s="1"/>
  <c r="D586" i="43"/>
  <c r="F225" i="42" l="1"/>
  <c r="G224" i="42"/>
  <c r="H224" i="42" s="1"/>
  <c r="D587" i="43"/>
  <c r="G225" i="42" l="1"/>
  <c r="H225" i="42" s="1"/>
  <c r="D588" i="43"/>
  <c r="F226" i="42" l="1"/>
  <c r="D589" i="43"/>
  <c r="G226" i="42" l="1"/>
  <c r="H226" i="42" s="1"/>
  <c r="D590" i="43"/>
  <c r="F227" i="42" l="1"/>
  <c r="D591" i="43"/>
  <c r="D592" i="43" s="1"/>
  <c r="D593" i="43" s="1"/>
  <c r="F228" i="42" l="1"/>
  <c r="G227" i="42"/>
  <c r="H227" i="42" s="1"/>
  <c r="D594" i="43"/>
  <c r="D595" i="43" s="1"/>
  <c r="D596" i="43" s="1"/>
  <c r="G228" i="42" l="1"/>
  <c r="H228" i="42" s="1"/>
  <c r="D597" i="43"/>
  <c r="D598" i="43" s="1"/>
  <c r="F229" i="42" l="1"/>
  <c r="D599" i="43"/>
  <c r="G229" i="42" l="1"/>
  <c r="H229" i="42" s="1"/>
  <c r="D600" i="43"/>
  <c r="F230" i="42" l="1"/>
  <c r="D601" i="43"/>
  <c r="F231" i="42" l="1"/>
  <c r="G230" i="42"/>
  <c r="H230" i="42" s="1"/>
  <c r="D602" i="43"/>
  <c r="D603" i="43" s="1"/>
  <c r="D604" i="43" s="1"/>
  <c r="G231" i="42" l="1"/>
  <c r="H231" i="42" s="1"/>
  <c r="D605" i="43"/>
  <c r="F232" i="42" l="1"/>
  <c r="D606" i="43"/>
  <c r="D607" i="43" s="1"/>
  <c r="G232" i="42" l="1"/>
  <c r="H232" i="42" s="1"/>
  <c r="D608" i="43"/>
  <c r="F233" i="42" l="1"/>
  <c r="D609" i="43"/>
  <c r="D610" i="43" s="1"/>
  <c r="G233" i="42" l="1"/>
  <c r="H233" i="42" s="1"/>
  <c r="D611" i="43"/>
  <c r="F234" i="42" l="1"/>
  <c r="D612" i="43"/>
  <c r="F235" i="42" l="1"/>
  <c r="G234" i="42"/>
  <c r="H234" i="42" s="1"/>
  <c r="D613" i="43"/>
  <c r="G235" i="42" l="1"/>
  <c r="H235" i="42" s="1"/>
  <c r="D614" i="43"/>
  <c r="F236" i="42" l="1"/>
  <c r="D615" i="43"/>
  <c r="D616" i="43" s="1"/>
  <c r="G236" i="42" l="1"/>
  <c r="H236" i="42" s="1"/>
  <c r="D617" i="43"/>
  <c r="D618" i="43" s="1"/>
  <c r="F237" i="42" l="1"/>
  <c r="D619" i="43"/>
  <c r="D620" i="43" s="1"/>
  <c r="G237" i="42" l="1"/>
  <c r="H237" i="42" s="1"/>
  <c r="D621" i="43"/>
  <c r="F238" i="42" l="1"/>
  <c r="D622" i="43"/>
  <c r="G238" i="42" l="1"/>
  <c r="H238" i="42" s="1"/>
  <c r="D623" i="43"/>
  <c r="F239" i="42" l="1"/>
  <c r="D624" i="43"/>
  <c r="G239" i="42" l="1"/>
  <c r="H239" i="42" s="1"/>
  <c r="D625" i="43"/>
  <c r="D626" i="43" s="1"/>
  <c r="F240" i="42" l="1"/>
  <c r="D627" i="43"/>
  <c r="G240" i="42" l="1"/>
  <c r="H240" i="42" s="1"/>
  <c r="D628" i="43"/>
  <c r="F241" i="42" l="1"/>
  <c r="D629" i="43"/>
  <c r="G241" i="42" l="1"/>
  <c r="H241" i="42" s="1"/>
  <c r="D630" i="43"/>
  <c r="F242" i="42" l="1"/>
  <c r="D631" i="43"/>
  <c r="D632" i="43" s="1"/>
  <c r="G242" i="42" l="1"/>
  <c r="H242" i="42" s="1"/>
  <c r="D633" i="43"/>
  <c r="D634" i="43" s="1"/>
  <c r="F243" i="42" l="1"/>
  <c r="D635" i="43"/>
  <c r="G243" i="42" l="1"/>
  <c r="H243" i="42" s="1"/>
  <c r="D636" i="43"/>
  <c r="F244" i="42" l="1"/>
  <c r="D637" i="43"/>
  <c r="D638" i="43" s="1"/>
  <c r="G244" i="42" l="1"/>
  <c r="H244" i="42" s="1"/>
  <c r="D639" i="43"/>
  <c r="D640" i="43" s="1"/>
  <c r="F245" i="42" l="1"/>
  <c r="D641" i="43"/>
  <c r="D642" i="43" s="1"/>
  <c r="G245" i="42" l="1"/>
  <c r="H245" i="42" s="1"/>
  <c r="D643" i="43"/>
  <c r="D644" i="43" s="1"/>
  <c r="F246" i="42" l="1"/>
  <c r="D645" i="43"/>
  <c r="D646" i="43" s="1"/>
  <c r="G246" i="42" l="1"/>
  <c r="H246" i="42" s="1"/>
  <c r="D647" i="43"/>
  <c r="F247" i="42" l="1"/>
  <c r="D648" i="43"/>
  <c r="G247" i="42" l="1"/>
  <c r="H247" i="42" s="1"/>
  <c r="D649" i="43"/>
  <c r="D650" i="43" s="1"/>
  <c r="F248" i="42" l="1"/>
  <c r="D651" i="43"/>
  <c r="D652" i="43" s="1"/>
  <c r="G248" i="42" l="1"/>
  <c r="H248" i="42" s="1"/>
  <c r="D653" i="43"/>
  <c r="F249" i="42" l="1"/>
  <c r="D654" i="43"/>
  <c r="G249" i="42" l="1"/>
  <c r="H249" i="42" s="1"/>
  <c r="D655" i="43"/>
  <c r="F250" i="42" l="1"/>
  <c r="D656" i="43"/>
  <c r="G250" i="42" l="1"/>
  <c r="H250" i="42" s="1"/>
  <c r="D657" i="43"/>
  <c r="F251" i="42" l="1"/>
  <c r="D658" i="43"/>
  <c r="G251" i="42" l="1"/>
  <c r="H251" i="42" s="1"/>
  <c r="D659" i="43"/>
  <c r="F252" i="42" l="1"/>
  <c r="D660" i="43"/>
  <c r="G252" i="42" l="1"/>
  <c r="H252" i="42" s="1"/>
  <c r="D661" i="43"/>
  <c r="D662" i="43" s="1"/>
  <c r="D663" i="43" s="1"/>
  <c r="F253" i="42" l="1"/>
  <c r="D664" i="43"/>
  <c r="D665" i="43" s="1"/>
  <c r="G253" i="42" l="1"/>
  <c r="H253" i="42" s="1"/>
  <c r="D666" i="43"/>
  <c r="D667" i="43" s="1"/>
  <c r="D668" i="43" s="1"/>
  <c r="F254" i="42" l="1"/>
  <c r="D669" i="43"/>
  <c r="D670" i="43" s="1"/>
  <c r="G254" i="42" l="1"/>
  <c r="H254" i="42" s="1"/>
  <c r="D671" i="43"/>
  <c r="D672" i="43" s="1"/>
  <c r="F255" i="42" l="1"/>
  <c r="D673" i="43"/>
  <c r="G255" i="42" l="1"/>
  <c r="H255" i="42" s="1"/>
  <c r="D674" i="43"/>
  <c r="F256" i="42" l="1"/>
  <c r="D675" i="43"/>
  <c r="D676" i="43" s="1"/>
  <c r="F257" i="42" l="1"/>
  <c r="G256" i="42"/>
  <c r="H256" i="42" s="1"/>
  <c r="D677" i="43"/>
  <c r="G257" i="42" l="1"/>
  <c r="H257" i="42" s="1"/>
  <c r="D678" i="43"/>
  <c r="D679" i="43" s="1"/>
  <c r="F258" i="42" l="1"/>
  <c r="D680" i="43"/>
  <c r="D681" i="43" s="1"/>
  <c r="G258" i="42" l="1"/>
  <c r="H258" i="42" s="1"/>
  <c r="D682" i="43"/>
  <c r="F259" i="42" l="1"/>
  <c r="D683" i="43"/>
  <c r="G259" i="42" l="1"/>
  <c r="H259" i="42" s="1"/>
  <c r="D684" i="43"/>
  <c r="F260" i="42" l="1"/>
  <c r="D685" i="43"/>
  <c r="G260" i="42" l="1"/>
  <c r="H260" i="42" s="1"/>
  <c r="D686" i="43"/>
  <c r="D687" i="43" s="1"/>
  <c r="F261" i="42" l="1"/>
  <c r="D688" i="43"/>
  <c r="D689" i="43" s="1"/>
  <c r="G261" i="42" l="1"/>
  <c r="H261" i="42" s="1"/>
  <c r="D690" i="43"/>
  <c r="F262" i="42" l="1"/>
  <c r="D691" i="43"/>
  <c r="D692" i="43" s="1"/>
  <c r="D693" i="43" s="1"/>
  <c r="G262" i="42" l="1"/>
  <c r="H262" i="42" s="1"/>
  <c r="D694" i="43"/>
  <c r="D695" i="43" s="1"/>
  <c r="D696" i="43" s="1"/>
  <c r="F263" i="42" l="1"/>
  <c r="D697" i="43"/>
  <c r="G263" i="42" l="1"/>
  <c r="H263" i="42" s="1"/>
  <c r="D698" i="43"/>
  <c r="F264" i="42" l="1"/>
  <c r="D699" i="43"/>
  <c r="D700" i="43" s="1"/>
  <c r="G264" i="42" l="1"/>
  <c r="H264" i="42" s="1"/>
  <c r="D701" i="43"/>
  <c r="F265" i="42" l="1"/>
  <c r="D702" i="43"/>
  <c r="D703" i="43" s="1"/>
  <c r="G265" i="42" l="1"/>
  <c r="H265" i="42" s="1"/>
  <c r="D704" i="43"/>
  <c r="F266" i="42" l="1"/>
  <c r="D705" i="43"/>
  <c r="D706" i="43" s="1"/>
  <c r="G266" i="42" l="1"/>
  <c r="H266" i="42" s="1"/>
  <c r="D707" i="43"/>
  <c r="F267" i="42" l="1"/>
  <c r="D708" i="43"/>
  <c r="G267" i="42" l="1"/>
  <c r="H267" i="42" s="1"/>
  <c r="D709" i="43"/>
  <c r="D710" i="43" s="1"/>
  <c r="D711" i="43" s="1"/>
  <c r="F268" i="42" l="1"/>
  <c r="D712" i="43"/>
  <c r="G268" i="42" l="1"/>
  <c r="H268" i="42" s="1"/>
  <c r="D713" i="43"/>
  <c r="F269" i="42" l="1"/>
  <c r="D714" i="43"/>
  <c r="D715" i="43" s="1"/>
  <c r="G269" i="42" l="1"/>
  <c r="H269" i="42" s="1"/>
  <c r="D716" i="43"/>
  <c r="D717" i="43" s="1"/>
  <c r="F270" i="42" l="1"/>
  <c r="D718" i="43"/>
  <c r="G270" i="42" l="1"/>
  <c r="H270" i="42" s="1"/>
  <c r="D719" i="43"/>
  <c r="D720" i="43" s="1"/>
  <c r="F271" i="42" l="1"/>
  <c r="D721" i="43"/>
  <c r="G271" i="42" l="1"/>
  <c r="H271" i="42" s="1"/>
  <c r="D722" i="43"/>
  <c r="D723" i="43" s="1"/>
  <c r="D724" i="43" s="1"/>
  <c r="F272" i="42" l="1"/>
  <c r="D725" i="43"/>
  <c r="G272" i="42" l="1"/>
  <c r="H272" i="42" s="1"/>
  <c r="D726" i="43"/>
  <c r="F273" i="42" l="1"/>
  <c r="D727" i="43"/>
  <c r="D728" i="43" s="1"/>
  <c r="G273" i="42" l="1"/>
  <c r="H273" i="42" s="1"/>
  <c r="D729" i="43"/>
  <c r="F274" i="42" l="1"/>
  <c r="D730" i="43"/>
  <c r="G274" i="42" l="1"/>
  <c r="H274" i="42" s="1"/>
  <c r="D731" i="43"/>
  <c r="F275" i="42" l="1"/>
  <c r="D732" i="43"/>
  <c r="D733" i="43" s="1"/>
  <c r="D734" i="43" s="1"/>
  <c r="G275" i="42" l="1"/>
  <c r="H275" i="42" s="1"/>
  <c r="D735" i="43"/>
  <c r="F276" i="42" l="1"/>
  <c r="G4" i="43"/>
  <c r="G3" i="43"/>
  <c r="F277" i="42" l="1"/>
  <c r="G276" i="42"/>
  <c r="H276" i="42" s="1"/>
  <c r="H3" i="43"/>
  <c r="G277" i="42" l="1"/>
  <c r="H277" i="42" s="1"/>
  <c r="F278" i="42" l="1"/>
  <c r="G278" i="42" l="1"/>
  <c r="H278" i="42" s="1"/>
  <c r="F279" i="42" l="1"/>
  <c r="G279" i="42" l="1"/>
  <c r="H279" i="42" s="1"/>
  <c r="F280" i="42" l="1"/>
  <c r="G280" i="42" l="1"/>
  <c r="H280" i="42" s="1"/>
  <c r="F281" i="42" l="1"/>
  <c r="G281" i="42" l="1"/>
  <c r="H281" i="42" s="1"/>
  <c r="F282" i="42" l="1"/>
  <c r="F283" i="42" l="1"/>
  <c r="G282" i="42"/>
  <c r="H282" i="42" s="1"/>
  <c r="F284" i="42" l="1"/>
  <c r="G283" i="42"/>
  <c r="H283" i="42" s="1"/>
  <c r="G284" i="42" l="1"/>
  <c r="H284" i="42" s="1"/>
  <c r="F285" i="42" l="1"/>
  <c r="G285" i="42" l="1"/>
  <c r="H285" i="42" s="1"/>
  <c r="F286" i="42" l="1"/>
  <c r="G286" i="42" l="1"/>
  <c r="H286" i="42" s="1"/>
  <c r="F287" i="42" l="1"/>
  <c r="G287" i="42" l="1"/>
  <c r="H287" i="42" s="1"/>
  <c r="F288" i="42" l="1"/>
  <c r="G288" i="42" l="1"/>
  <c r="H288" i="42" s="1"/>
  <c r="F289" i="42" l="1"/>
  <c r="G289" i="42" l="1"/>
  <c r="H289" i="42" s="1"/>
  <c r="F290" i="42" l="1"/>
  <c r="G290" i="42" l="1"/>
  <c r="H290" i="42" s="1"/>
  <c r="F291" i="42" l="1"/>
  <c r="G291" i="42" l="1"/>
  <c r="H291" i="42" s="1"/>
  <c r="F292" i="42" l="1"/>
  <c r="G292" i="42" l="1"/>
  <c r="H292" i="42" s="1"/>
  <c r="F293" i="42" l="1"/>
  <c r="G293" i="42" l="1"/>
  <c r="H293" i="42" s="1"/>
  <c r="F294" i="42" l="1"/>
  <c r="G294" i="42" l="1"/>
  <c r="H294" i="42" s="1"/>
  <c r="F295" i="42" l="1"/>
  <c r="G295" i="42" l="1"/>
  <c r="H295" i="42" s="1"/>
  <c r="F296" i="42" l="1"/>
  <c r="G296" i="42" l="1"/>
  <c r="H296" i="42" s="1"/>
  <c r="F297" i="42" l="1"/>
  <c r="G297" i="42" l="1"/>
  <c r="H297" i="42" s="1"/>
  <c r="F298" i="42" l="1"/>
  <c r="G298" i="42" l="1"/>
  <c r="H298" i="42" s="1"/>
  <c r="F299" i="42" l="1"/>
  <c r="G299" i="42" l="1"/>
  <c r="H299" i="42" s="1"/>
  <c r="F300" i="42" l="1"/>
  <c r="F301" i="42" l="1"/>
  <c r="G300" i="42"/>
  <c r="H300" i="42" s="1"/>
  <c r="G301" i="42" l="1"/>
  <c r="H301" i="42" s="1"/>
  <c r="F302" i="42" l="1"/>
  <c r="G302" i="42" l="1"/>
  <c r="H302" i="42" s="1"/>
  <c r="F303" i="42" l="1"/>
  <c r="G303" i="42" l="1"/>
  <c r="H303" i="42" s="1"/>
  <c r="F304" i="42" l="1"/>
  <c r="G304" i="42" l="1"/>
  <c r="H304" i="42" s="1"/>
  <c r="F305" i="42" l="1"/>
  <c r="G305" i="42" l="1"/>
  <c r="H305" i="42" s="1"/>
  <c r="F306" i="42" l="1"/>
  <c r="G306" i="42" l="1"/>
  <c r="H306" i="42" s="1"/>
  <c r="F307" i="42" l="1"/>
  <c r="G307" i="42" l="1"/>
  <c r="H307" i="42" s="1"/>
  <c r="F308" i="42" l="1"/>
  <c r="G308" i="42" l="1"/>
  <c r="H308" i="42" s="1"/>
  <c r="F309" i="42" l="1"/>
  <c r="G309" i="42" l="1"/>
  <c r="H309" i="42" s="1"/>
  <c r="F310" i="42" l="1"/>
  <c r="G310" i="42" l="1"/>
  <c r="H310" i="42" s="1"/>
  <c r="F311" i="42" l="1"/>
  <c r="G311" i="42" l="1"/>
  <c r="H311" i="42" s="1"/>
  <c r="F312" i="42" l="1"/>
  <c r="G312" i="42" l="1"/>
  <c r="H312" i="42" s="1"/>
  <c r="F313" i="42" l="1"/>
  <c r="G313" i="42" l="1"/>
  <c r="H313" i="42" s="1"/>
  <c r="F314" i="42" l="1"/>
  <c r="G314" i="42" l="1"/>
  <c r="H314" i="42" s="1"/>
  <c r="F315" i="42" l="1"/>
  <c r="G315" i="42" l="1"/>
  <c r="H315" i="42" s="1"/>
  <c r="F316" i="42" l="1"/>
  <c r="G316" i="42" l="1"/>
  <c r="H316" i="42" s="1"/>
  <c r="F317" i="42" l="1"/>
  <c r="G317" i="42" l="1"/>
  <c r="H317" i="42" s="1"/>
  <c r="F318" i="42" l="1"/>
  <c r="G318" i="42" l="1"/>
  <c r="H318" i="42" s="1"/>
  <c r="F319" i="42" l="1"/>
  <c r="G319" i="42" l="1"/>
  <c r="H319" i="42" s="1"/>
  <c r="F320" i="42" l="1"/>
  <c r="G320" i="42" l="1"/>
  <c r="H320" i="42" s="1"/>
  <c r="F321" i="42" l="1"/>
  <c r="G321" i="42" l="1"/>
  <c r="H321" i="42" s="1"/>
  <c r="F322" i="42" l="1"/>
  <c r="G322" i="42" l="1"/>
  <c r="H322" i="42" s="1"/>
  <c r="F323" i="42" l="1"/>
  <c r="G323" i="42" l="1"/>
  <c r="H323" i="42" s="1"/>
  <c r="F324" i="42" l="1"/>
  <c r="G324" i="42" l="1"/>
  <c r="H324" i="42" s="1"/>
  <c r="F325" i="42" l="1"/>
  <c r="G325" i="42" l="1"/>
  <c r="H325" i="42" s="1"/>
  <c r="F326" i="42" l="1"/>
  <c r="G326" i="42" l="1"/>
  <c r="H326" i="42" s="1"/>
  <c r="F327" i="42" l="1"/>
  <c r="G327" i="42" l="1"/>
  <c r="H327" i="42" s="1"/>
  <c r="F328" i="42" l="1"/>
  <c r="G328" i="42" l="1"/>
  <c r="H328" i="42" s="1"/>
  <c r="F329" i="42" l="1"/>
  <c r="G329" i="42" l="1"/>
  <c r="H329" i="42" s="1"/>
  <c r="F330" i="42" l="1"/>
  <c r="G330" i="42" l="1"/>
  <c r="H330" i="42" s="1"/>
  <c r="F331" i="42" l="1"/>
  <c r="G331" i="42" l="1"/>
  <c r="H331" i="42" s="1"/>
  <c r="F332" i="42" l="1"/>
  <c r="G332" i="42" l="1"/>
  <c r="H332" i="42" s="1"/>
  <c r="F333" i="42" l="1"/>
  <c r="G333" i="42" l="1"/>
  <c r="H333" i="42" s="1"/>
  <c r="F334" i="42" l="1"/>
  <c r="G334" i="42" l="1"/>
  <c r="H334" i="42" s="1"/>
  <c r="F335" i="42" l="1"/>
  <c r="F336" i="42" l="1"/>
  <c r="G335" i="42"/>
  <c r="H335" i="42" s="1"/>
  <c r="G336" i="42" l="1"/>
  <c r="H336" i="42" s="1"/>
  <c r="F337" i="42" l="1"/>
  <c r="G337" i="42" l="1"/>
  <c r="H337" i="42" s="1"/>
  <c r="F338" i="42" l="1"/>
  <c r="G338" i="42" l="1"/>
  <c r="H338" i="42" s="1"/>
  <c r="F339" i="42" l="1"/>
  <c r="G339" i="42" l="1"/>
  <c r="H339" i="42" s="1"/>
  <c r="F340" i="42" l="1"/>
  <c r="G340" i="42" l="1"/>
  <c r="H340" i="42" s="1"/>
  <c r="F341" i="42" l="1"/>
  <c r="G341" i="42" l="1"/>
  <c r="H341" i="42" s="1"/>
  <c r="F342" i="42" l="1"/>
  <c r="G342" i="42" l="1"/>
  <c r="H342" i="42" s="1"/>
  <c r="F343" i="42" l="1"/>
  <c r="G343" i="42" l="1"/>
  <c r="H343" i="42" s="1"/>
  <c r="F344" i="42" l="1"/>
  <c r="G344" i="42" l="1"/>
  <c r="H344" i="42" s="1"/>
  <c r="F345" i="42" l="1"/>
  <c r="G345" i="42" l="1"/>
  <c r="H345" i="42" s="1"/>
  <c r="F346" i="42" l="1"/>
  <c r="F347" i="42" l="1"/>
  <c r="G346" i="42"/>
  <c r="H346" i="42" s="1"/>
  <c r="G347" i="42" l="1"/>
  <c r="H347" i="42" s="1"/>
  <c r="F348" i="42" l="1"/>
  <c r="F349" i="42" l="1"/>
  <c r="G348" i="42"/>
  <c r="H348" i="42" s="1"/>
  <c r="G349" i="42" l="1"/>
  <c r="H349" i="42" s="1"/>
  <c r="F350" i="42" l="1"/>
  <c r="G350" i="42" l="1"/>
  <c r="H350" i="42" s="1"/>
  <c r="F351" i="42" l="1"/>
  <c r="G351" i="42" l="1"/>
  <c r="H351" i="42" s="1"/>
  <c r="F352" i="42" l="1"/>
  <c r="G352" i="42" l="1"/>
  <c r="H352" i="42" s="1"/>
  <c r="F353" i="42" l="1"/>
  <c r="G353" i="42" l="1"/>
  <c r="H353" i="42" s="1"/>
  <c r="F354" i="42" l="1"/>
  <c r="G354" i="42" l="1"/>
  <c r="H354" i="42" s="1"/>
  <c r="F355" i="42" l="1"/>
  <c r="G355" i="42" l="1"/>
  <c r="H355" i="42" s="1"/>
  <c r="F356" i="42" l="1"/>
  <c r="G356" i="42" l="1"/>
  <c r="H356" i="42" s="1"/>
  <c r="F357" i="42" l="1"/>
  <c r="G357" i="42" l="1"/>
  <c r="H357" i="42" s="1"/>
  <c r="F358" i="42" l="1"/>
  <c r="G358" i="42" l="1"/>
  <c r="H358" i="42" s="1"/>
  <c r="F359" i="42" l="1"/>
  <c r="G359" i="42" l="1"/>
  <c r="H359" i="42" s="1"/>
  <c r="F360" i="42" l="1"/>
  <c r="G360" i="42" l="1"/>
  <c r="H360" i="42" s="1"/>
  <c r="F361" i="42" l="1"/>
  <c r="F362" i="42" l="1"/>
  <c r="G361" i="42"/>
  <c r="H361" i="42" s="1"/>
  <c r="G362" i="42" l="1"/>
  <c r="H362" i="42" s="1"/>
  <c r="F363" i="42" l="1"/>
  <c r="G363" i="42" l="1"/>
  <c r="H363" i="42" s="1"/>
  <c r="F364" i="42" l="1"/>
  <c r="G364" i="42" l="1"/>
  <c r="H364" i="42" s="1"/>
  <c r="F365" i="42" l="1"/>
  <c r="G365" i="42" l="1"/>
  <c r="H365" i="42" s="1"/>
  <c r="F366" i="42" l="1"/>
  <c r="G366" i="42" l="1"/>
  <c r="H366" i="42" s="1"/>
  <c r="F367" i="42" l="1"/>
  <c r="G367" i="42" l="1"/>
  <c r="H367" i="42" s="1"/>
  <c r="F368" i="42" l="1"/>
  <c r="G368" i="42" l="1"/>
  <c r="H368" i="42" s="1"/>
  <c r="F369" i="42" l="1"/>
  <c r="G369" i="42" l="1"/>
  <c r="H369" i="42" s="1"/>
  <c r="F370" i="42" l="1"/>
  <c r="G370" i="42" l="1"/>
  <c r="H370" i="42" s="1"/>
  <c r="F371" i="42" l="1"/>
  <c r="G371" i="42" l="1"/>
  <c r="H371" i="42" s="1"/>
  <c r="F372" i="42" l="1"/>
  <c r="G372" i="42" l="1"/>
  <c r="H372" i="42" s="1"/>
  <c r="F373" i="42" l="1"/>
  <c r="G373" i="42" l="1"/>
  <c r="H373" i="42" s="1"/>
  <c r="F374" i="42" l="1"/>
  <c r="G374" i="42" l="1"/>
  <c r="H374" i="42" s="1"/>
  <c r="F375" i="42" l="1"/>
  <c r="G375" i="42" l="1"/>
  <c r="H375" i="42" s="1"/>
  <c r="F376" i="42" l="1"/>
  <c r="G376" i="42" l="1"/>
  <c r="H376" i="42" s="1"/>
  <c r="F377" i="42" l="1"/>
  <c r="G377" i="42" l="1"/>
  <c r="H377" i="42" s="1"/>
  <c r="F378" i="42" l="1"/>
  <c r="G378" i="42" l="1"/>
  <c r="H378" i="42" s="1"/>
  <c r="F379" i="42" l="1"/>
  <c r="G379" i="42" l="1"/>
  <c r="H379" i="42" s="1"/>
  <c r="F380" i="42" l="1"/>
  <c r="G380" i="42" l="1"/>
  <c r="H380" i="42" s="1"/>
  <c r="F381" i="42" l="1"/>
  <c r="G381" i="42" l="1"/>
  <c r="H381" i="42" s="1"/>
  <c r="F382" i="42" l="1"/>
  <c r="G382" i="42" l="1"/>
  <c r="H382" i="42" s="1"/>
  <c r="F383" i="42" l="1"/>
  <c r="G383" i="42" l="1"/>
  <c r="H383" i="42" s="1"/>
  <c r="F384" i="42" l="1"/>
  <c r="G384" i="42" l="1"/>
  <c r="H384" i="42" s="1"/>
  <c r="F385" i="42" l="1"/>
  <c r="G385" i="42" l="1"/>
  <c r="H385" i="42" s="1"/>
  <c r="F386" i="42" l="1"/>
  <c r="G386" i="42" l="1"/>
  <c r="H386" i="42" s="1"/>
  <c r="F387" i="42" l="1"/>
  <c r="G387" i="42" l="1"/>
  <c r="H387" i="42" s="1"/>
  <c r="F388" i="42" l="1"/>
  <c r="G388" i="42" l="1"/>
  <c r="H388" i="42" s="1"/>
  <c r="F389" i="42" l="1"/>
  <c r="G389" i="42" l="1"/>
  <c r="H389" i="42" s="1"/>
  <c r="F390" i="42" l="1"/>
  <c r="G390" i="42" l="1"/>
  <c r="H390" i="42" s="1"/>
  <c r="F391" i="42" l="1"/>
  <c r="G391" i="42" l="1"/>
  <c r="H391" i="42" s="1"/>
  <c r="F392" i="42" l="1"/>
  <c r="G392" i="42" l="1"/>
  <c r="H392" i="42" s="1"/>
  <c r="F393" i="42" l="1"/>
  <c r="G393" i="42" l="1"/>
  <c r="H393" i="42" s="1"/>
  <c r="F394" i="42" l="1"/>
  <c r="G394" i="42" l="1"/>
  <c r="H394" i="42" s="1"/>
  <c r="F395" i="42" l="1"/>
  <c r="G395" i="42" l="1"/>
  <c r="H395" i="42" s="1"/>
  <c r="F396" i="42" l="1"/>
  <c r="G396" i="42" l="1"/>
  <c r="H396" i="42" s="1"/>
  <c r="F397" i="42" l="1"/>
  <c r="G397" i="42" l="1"/>
  <c r="H397" i="42" s="1"/>
  <c r="F398" i="42" l="1"/>
  <c r="G398" i="42" l="1"/>
  <c r="H398" i="42" s="1"/>
  <c r="F399" i="42" l="1"/>
  <c r="G399" i="42" l="1"/>
  <c r="H399" i="42" s="1"/>
  <c r="F400" i="42" l="1"/>
  <c r="G400" i="42" l="1"/>
  <c r="H400" i="42" s="1"/>
  <c r="F401" i="42" l="1"/>
  <c r="G401" i="42" l="1"/>
  <c r="H401" i="42" s="1"/>
  <c r="F402" i="42" l="1"/>
  <c r="G402" i="42" l="1"/>
  <c r="H402" i="42" s="1"/>
  <c r="F403" i="42" l="1"/>
  <c r="G403" i="42" l="1"/>
  <c r="H403" i="42" s="1"/>
  <c r="F404" i="42" l="1"/>
  <c r="G404" i="42" l="1"/>
  <c r="H404" i="42" s="1"/>
  <c r="F405" i="42" l="1"/>
  <c r="G405" i="42" l="1"/>
  <c r="H405" i="42" s="1"/>
  <c r="F406" i="42" l="1"/>
  <c r="G406" i="42" l="1"/>
  <c r="H406" i="42" s="1"/>
  <c r="F407" i="42" l="1"/>
  <c r="G407" i="42" l="1"/>
  <c r="H407" i="42" s="1"/>
  <c r="F408" i="42" l="1"/>
  <c r="G408" i="42" l="1"/>
  <c r="H408" i="42" s="1"/>
  <c r="F409" i="42" l="1"/>
  <c r="G409" i="42" l="1"/>
  <c r="H409" i="42" s="1"/>
  <c r="F410" i="42" l="1"/>
  <c r="G410" i="42" l="1"/>
  <c r="H410" i="42" s="1"/>
  <c r="F411" i="42" l="1"/>
  <c r="G411" i="42" l="1"/>
  <c r="H411" i="42" s="1"/>
  <c r="F412" i="42" l="1"/>
  <c r="G412" i="42" l="1"/>
  <c r="H412" i="42" s="1"/>
  <c r="F413" i="42" l="1"/>
  <c r="G413" i="42" l="1"/>
  <c r="H413" i="42" s="1"/>
  <c r="F414" i="42" l="1"/>
  <c r="G414" i="42" l="1"/>
  <c r="H414" i="42" s="1"/>
  <c r="F415" i="42" l="1"/>
  <c r="G415" i="42" l="1"/>
  <c r="H415" i="42" s="1"/>
  <c r="F416" i="42" l="1"/>
  <c r="G416" i="42" l="1"/>
  <c r="H416" i="42" s="1"/>
  <c r="F417" i="42" l="1"/>
  <c r="G417" i="42" l="1"/>
  <c r="H417" i="42" s="1"/>
  <c r="F418" i="42" l="1"/>
  <c r="G418" i="42" l="1"/>
  <c r="H418" i="42" s="1"/>
  <c r="F419" i="42" l="1"/>
  <c r="G419" i="42" l="1"/>
  <c r="H419" i="42" s="1"/>
  <c r="F420" i="42" l="1"/>
  <c r="F421" i="42" l="1"/>
  <c r="G420" i="42"/>
  <c r="H420" i="42" s="1"/>
  <c r="G421" i="42" l="1"/>
  <c r="H421" i="42" s="1"/>
  <c r="F422" i="42" l="1"/>
  <c r="G422" i="42" l="1"/>
  <c r="H422" i="42" s="1"/>
  <c r="F423" i="42" l="1"/>
  <c r="G423" i="42" l="1"/>
  <c r="H423" i="42" s="1"/>
  <c r="F424" i="42" l="1"/>
  <c r="G424" i="42" l="1"/>
  <c r="H424" i="42" s="1"/>
  <c r="F425" i="42" l="1"/>
  <c r="G425" i="42" l="1"/>
  <c r="H425" i="42" s="1"/>
  <c r="F426" i="42" l="1"/>
  <c r="G426" i="42" l="1"/>
  <c r="H426" i="42" s="1"/>
  <c r="F427" i="42" l="1"/>
  <c r="F428" i="42" l="1"/>
  <c r="G427" i="42"/>
  <c r="H427" i="42" s="1"/>
  <c r="G428" i="42" l="1"/>
  <c r="H428" i="42" s="1"/>
  <c r="F429" i="42" l="1"/>
  <c r="G429" i="42" l="1"/>
  <c r="H429" i="42" s="1"/>
  <c r="F430" i="42" l="1"/>
  <c r="F431" i="42" l="1"/>
  <c r="G430" i="42"/>
  <c r="H430" i="42" s="1"/>
  <c r="G431" i="42" l="1"/>
  <c r="H431" i="42" s="1"/>
  <c r="F432" i="42" l="1"/>
  <c r="G432" i="42" l="1"/>
  <c r="H432" i="42" s="1"/>
  <c r="F433" i="42" l="1"/>
  <c r="G433" i="42" l="1"/>
  <c r="H433" i="42" s="1"/>
  <c r="F434" i="42" l="1"/>
  <c r="G434" i="42" l="1"/>
  <c r="H434" i="42" s="1"/>
  <c r="F435" i="42" l="1"/>
  <c r="G435" i="42" l="1"/>
  <c r="H435" i="42" s="1"/>
  <c r="F436" i="42" l="1"/>
  <c r="G436" i="42" l="1"/>
  <c r="H436" i="42" s="1"/>
  <c r="F437" i="42" l="1"/>
  <c r="G437" i="42" l="1"/>
  <c r="H437" i="42" s="1"/>
  <c r="F438" i="42" l="1"/>
  <c r="G438" i="42" l="1"/>
  <c r="H438" i="42" s="1"/>
  <c r="F439" i="42" l="1"/>
  <c r="G439" i="42" l="1"/>
  <c r="H439" i="42" s="1"/>
  <c r="F440" i="42" l="1"/>
  <c r="G440" i="42" l="1"/>
  <c r="H440" i="42" s="1"/>
  <c r="F441" i="42" l="1"/>
  <c r="G441" i="42" l="1"/>
  <c r="H441" i="42" s="1"/>
  <c r="F442" i="42" l="1"/>
  <c r="G442" i="42" l="1"/>
  <c r="H442" i="42" s="1"/>
  <c r="F443" i="42" l="1"/>
  <c r="G443" i="42" l="1"/>
  <c r="H443" i="42" s="1"/>
  <c r="F444" i="42" l="1"/>
  <c r="G444" i="42" l="1"/>
  <c r="H444" i="42" s="1"/>
  <c r="F445" i="42" l="1"/>
  <c r="G445" i="42" l="1"/>
  <c r="H445" i="42" s="1"/>
  <c r="F446" i="42" l="1"/>
  <c r="G446" i="42" l="1"/>
  <c r="H446" i="42" s="1"/>
  <c r="F447" i="42" l="1"/>
  <c r="G447" i="42" l="1"/>
  <c r="H447" i="42" s="1"/>
  <c r="F448" i="42" l="1"/>
  <c r="G448" i="42" l="1"/>
  <c r="H448" i="42" s="1"/>
  <c r="F449" i="42" l="1"/>
  <c r="G449" i="42" l="1"/>
  <c r="H449" i="42" s="1"/>
  <c r="F450" i="42" l="1"/>
  <c r="G450" i="42" l="1"/>
  <c r="H450" i="42" s="1"/>
  <c r="F451" i="42" l="1"/>
  <c r="G451" i="42" l="1"/>
  <c r="H451" i="42" s="1"/>
  <c r="F452" i="42" l="1"/>
  <c r="G452" i="42" l="1"/>
  <c r="H452" i="42" s="1"/>
  <c r="F453" i="42" l="1"/>
  <c r="G453" i="42" l="1"/>
  <c r="H453" i="42" s="1"/>
  <c r="F454" i="42" l="1"/>
  <c r="G454" i="42" l="1"/>
  <c r="H454" i="42" s="1"/>
  <c r="F455" i="42" l="1"/>
  <c r="G455" i="42" l="1"/>
  <c r="H455" i="42" s="1"/>
  <c r="F456" i="42" l="1"/>
  <c r="G456" i="42" l="1"/>
  <c r="H456" i="42" s="1"/>
  <c r="F457" i="42" l="1"/>
  <c r="G457" i="42" l="1"/>
  <c r="H457" i="42" s="1"/>
  <c r="F458" i="42" l="1"/>
  <c r="G458" i="42" l="1"/>
  <c r="H458" i="42" s="1"/>
  <c r="F459" i="42" l="1"/>
  <c r="G459" i="42" l="1"/>
  <c r="H459" i="42" s="1"/>
  <c r="F460" i="42" l="1"/>
  <c r="G460" i="42" l="1"/>
  <c r="H460" i="42" s="1"/>
  <c r="F461" i="42" l="1"/>
  <c r="G461" i="42" l="1"/>
  <c r="H461" i="42" s="1"/>
  <c r="F462" i="42" l="1"/>
  <c r="G462" i="42" l="1"/>
  <c r="H462" i="42" s="1"/>
  <c r="F463" i="42" l="1"/>
  <c r="G463" i="42" l="1"/>
  <c r="H463" i="42" s="1"/>
  <c r="F464" i="42" l="1"/>
  <c r="G464" i="42" l="1"/>
  <c r="H464" i="42" s="1"/>
  <c r="F465" i="42" l="1"/>
  <c r="G465" i="42" l="1"/>
  <c r="H465" i="42" s="1"/>
  <c r="F466" i="42" l="1"/>
  <c r="G466" i="42" l="1"/>
  <c r="H466" i="42" s="1"/>
  <c r="F467" i="42" l="1"/>
  <c r="G467" i="42" l="1"/>
  <c r="H467" i="42" s="1"/>
  <c r="F468" i="42" l="1"/>
  <c r="F469" i="42" l="1"/>
  <c r="G468" i="42"/>
  <c r="H468" i="42" s="1"/>
  <c r="G469" i="42" l="1"/>
  <c r="H469" i="42" s="1"/>
  <c r="F470" i="42" l="1"/>
  <c r="G470" i="42" l="1"/>
  <c r="H470" i="42" s="1"/>
  <c r="F471" i="42" l="1"/>
  <c r="G471" i="42" l="1"/>
  <c r="H471" i="42" s="1"/>
  <c r="F472" i="42" l="1"/>
  <c r="G472" i="42" l="1"/>
  <c r="H472" i="42" s="1"/>
  <c r="F473" i="42" l="1"/>
  <c r="G473" i="42" l="1"/>
  <c r="H473" i="42" s="1"/>
  <c r="F474" i="42" l="1"/>
  <c r="G474" i="42" l="1"/>
  <c r="H474" i="42" s="1"/>
  <c r="F475" i="42" l="1"/>
  <c r="G475" i="42" l="1"/>
  <c r="H475" i="42" s="1"/>
  <c r="F476" i="42" l="1"/>
  <c r="G476" i="42" l="1"/>
  <c r="H476" i="42" s="1"/>
  <c r="F477" i="42" l="1"/>
  <c r="G477" i="42" l="1"/>
  <c r="H477" i="42" s="1"/>
  <c r="F478" i="42" l="1"/>
  <c r="G478" i="42" l="1"/>
  <c r="H478" i="42" s="1"/>
  <c r="F479" i="42" l="1"/>
  <c r="G479" i="42" l="1"/>
  <c r="H479" i="42" s="1"/>
  <c r="F480" i="42" l="1"/>
  <c r="G480" i="42" l="1"/>
  <c r="H480" i="42" s="1"/>
  <c r="F481" i="42" l="1"/>
  <c r="G481" i="42" l="1"/>
  <c r="H481" i="42" s="1"/>
  <c r="F482" i="42" l="1"/>
  <c r="G482" i="42" l="1"/>
  <c r="H482" i="42" s="1"/>
  <c r="F483" i="42" l="1"/>
  <c r="G483" i="42" l="1"/>
  <c r="H483" i="42" s="1"/>
  <c r="F484" i="42" l="1"/>
  <c r="G484" i="42" l="1"/>
  <c r="H484" i="42" s="1"/>
  <c r="F485" i="42" l="1"/>
  <c r="G485" i="42" l="1"/>
  <c r="H485" i="42" s="1"/>
  <c r="F486" i="42" l="1"/>
  <c r="F487" i="42" l="1"/>
  <c r="G486" i="42"/>
  <c r="H486" i="42" s="1"/>
  <c r="G487" i="42" l="1"/>
  <c r="H487" i="42" s="1"/>
  <c r="F488" i="42" l="1"/>
  <c r="G488" i="42" l="1"/>
  <c r="H488" i="42" s="1"/>
  <c r="F489" i="42" l="1"/>
  <c r="G489" i="42" l="1"/>
  <c r="H489" i="42" s="1"/>
  <c r="F490" i="42" l="1"/>
  <c r="G490" i="42" l="1"/>
  <c r="H490" i="42" s="1"/>
  <c r="F491" i="42" l="1"/>
  <c r="G491" i="42" l="1"/>
  <c r="H491" i="42" s="1"/>
  <c r="F492" i="42" l="1"/>
  <c r="G492" i="42" l="1"/>
  <c r="H492" i="42" s="1"/>
  <c r="F493" i="42" l="1"/>
  <c r="G493" i="42" l="1"/>
  <c r="H493" i="42" s="1"/>
  <c r="F494" i="42" l="1"/>
  <c r="G494" i="42" l="1"/>
  <c r="H494" i="42" s="1"/>
  <c r="F495" i="42" l="1"/>
  <c r="G495" i="42" l="1"/>
  <c r="H495" i="42" s="1"/>
  <c r="F496" i="42" l="1"/>
  <c r="G496" i="42" l="1"/>
  <c r="H496" i="42" s="1"/>
  <c r="F497" i="42" l="1"/>
  <c r="G497" i="42" l="1"/>
  <c r="H497" i="42" s="1"/>
  <c r="F498" i="42" l="1"/>
  <c r="G498" i="42" l="1"/>
  <c r="H498" i="42" s="1"/>
  <c r="F499" i="42" l="1"/>
  <c r="G499" i="42" l="1"/>
  <c r="H499" i="42" s="1"/>
  <c r="F500" i="42" l="1"/>
  <c r="G500" i="42" l="1"/>
  <c r="H500" i="42" s="1"/>
  <c r="F501" i="42" l="1"/>
  <c r="G501" i="42" l="1"/>
  <c r="H501" i="42" s="1"/>
  <c r="F502" i="42" l="1"/>
  <c r="G502" i="42" l="1"/>
  <c r="H502" i="42" s="1"/>
  <c r="F503" i="42" l="1"/>
  <c r="G503" i="42" l="1"/>
  <c r="H503" i="42" s="1"/>
  <c r="F504" i="42" l="1"/>
  <c r="G504" i="42" l="1"/>
  <c r="H504" i="42" s="1"/>
  <c r="F505" i="42" l="1"/>
  <c r="G505" i="42" l="1"/>
  <c r="H505" i="42" s="1"/>
  <c r="F506" i="42" l="1"/>
  <c r="G506" i="42" l="1"/>
  <c r="H506" i="42" s="1"/>
  <c r="F507" i="42" l="1"/>
  <c r="G507" i="42" l="1"/>
  <c r="H507" i="42" s="1"/>
  <c r="F508" i="42" l="1"/>
  <c r="F509" i="42" l="1"/>
  <c r="G508" i="42"/>
  <c r="H508" i="42" s="1"/>
  <c r="G509" i="42" l="1"/>
  <c r="H509" i="42" s="1"/>
  <c r="F510" i="42" l="1"/>
  <c r="G510" i="42" l="1"/>
  <c r="H510" i="42" s="1"/>
  <c r="F511" i="42" l="1"/>
  <c r="G511" i="42" l="1"/>
  <c r="H511" i="42" s="1"/>
  <c r="F512" i="42" l="1"/>
  <c r="G512" i="42" l="1"/>
  <c r="H512" i="42" s="1"/>
  <c r="F513" i="42" l="1"/>
  <c r="G513" i="42" l="1"/>
  <c r="H513" i="42" s="1"/>
  <c r="F514" i="42" l="1"/>
  <c r="G514" i="42" l="1"/>
  <c r="H514" i="42" s="1"/>
  <c r="F515" i="42" l="1"/>
  <c r="G515" i="42" l="1"/>
  <c r="H515" i="42" s="1"/>
  <c r="F516" i="42" l="1"/>
  <c r="G516" i="42" l="1"/>
  <c r="H516" i="42" s="1"/>
  <c r="F517" i="42" l="1"/>
  <c r="G517" i="42" l="1"/>
  <c r="H517" i="42" s="1"/>
  <c r="F518" i="42" l="1"/>
  <c r="G518" i="42" l="1"/>
  <c r="H518" i="42" s="1"/>
  <c r="F519" i="42" l="1"/>
  <c r="G519" i="42" l="1"/>
  <c r="H519" i="42" s="1"/>
  <c r="F520" i="42" l="1"/>
  <c r="G520" i="42" l="1"/>
  <c r="H520" i="42" s="1"/>
  <c r="F521" i="42" l="1"/>
  <c r="G521" i="42" l="1"/>
  <c r="H521" i="42" s="1"/>
  <c r="F522" i="42" l="1"/>
  <c r="G522" i="42" l="1"/>
  <c r="H522" i="42" s="1"/>
  <c r="F523" i="42" l="1"/>
  <c r="G523" i="42" l="1"/>
  <c r="H523" i="42" s="1"/>
  <c r="F524" i="42" l="1"/>
  <c r="G524" i="42" l="1"/>
  <c r="H524" i="42" s="1"/>
  <c r="F525" i="42" l="1"/>
  <c r="G525" i="42" l="1"/>
  <c r="H525" i="42" s="1"/>
  <c r="F526" i="42" l="1"/>
  <c r="G526" i="42" l="1"/>
  <c r="H526" i="42" s="1"/>
  <c r="F527" i="42" l="1"/>
  <c r="G527" i="42" l="1"/>
  <c r="H527" i="42" s="1"/>
  <c r="F528" i="42" l="1"/>
  <c r="G528" i="42" l="1"/>
  <c r="H528" i="42" s="1"/>
  <c r="F529" i="42" l="1"/>
  <c r="G529" i="42" l="1"/>
  <c r="H529" i="42" s="1"/>
  <c r="F530" i="42" l="1"/>
  <c r="G530" i="42" l="1"/>
  <c r="H530" i="42" s="1"/>
  <c r="F531" i="42" l="1"/>
  <c r="G531" i="42" l="1"/>
  <c r="H531" i="42" s="1"/>
  <c r="F532" i="42" l="1"/>
  <c r="G532" i="42" l="1"/>
  <c r="H532" i="42" s="1"/>
  <c r="F533" i="42" l="1"/>
  <c r="G533" i="42" l="1"/>
  <c r="H533" i="42" s="1"/>
  <c r="F534" i="42" l="1"/>
  <c r="G534" i="42" l="1"/>
  <c r="H534" i="42" s="1"/>
  <c r="F535" i="42" l="1"/>
  <c r="G535" i="42" l="1"/>
  <c r="H535" i="42" s="1"/>
  <c r="F536" i="42" l="1"/>
  <c r="G536" i="42" l="1"/>
  <c r="H536" i="42" s="1"/>
  <c r="F537" i="42" l="1"/>
  <c r="G537" i="42" l="1"/>
  <c r="H537" i="42" s="1"/>
  <c r="F538" i="42" l="1"/>
  <c r="G538" i="42" l="1"/>
  <c r="H538" i="42" s="1"/>
  <c r="F539" i="42" l="1"/>
  <c r="G539" i="42" l="1"/>
  <c r="H539" i="42" s="1"/>
  <c r="F540" i="42" l="1"/>
  <c r="G540" i="42" l="1"/>
  <c r="H540" i="42" s="1"/>
  <c r="F541" i="42" l="1"/>
  <c r="G541" i="42" l="1"/>
  <c r="H541" i="42" s="1"/>
  <c r="F542" i="42" l="1"/>
  <c r="G542" i="42" l="1"/>
  <c r="H542" i="42" s="1"/>
  <c r="F543" i="42" l="1"/>
  <c r="G543" i="42" l="1"/>
  <c r="H543" i="42" s="1"/>
  <c r="F544" i="42" l="1"/>
  <c r="G544" i="42" l="1"/>
  <c r="H544" i="42" s="1"/>
  <c r="F545" i="42" l="1"/>
  <c r="G545" i="42" l="1"/>
  <c r="H545" i="42" s="1"/>
  <c r="F546" i="42" l="1"/>
  <c r="G546" i="42" l="1"/>
  <c r="H546" i="42" s="1"/>
  <c r="F547" i="42" l="1"/>
  <c r="G547" i="42" l="1"/>
  <c r="H547" i="42" s="1"/>
  <c r="F548" i="42" l="1"/>
  <c r="G548" i="42" l="1"/>
  <c r="H548" i="42" s="1"/>
  <c r="F549" i="42" l="1"/>
  <c r="G549" i="42" l="1"/>
  <c r="H549" i="42" s="1"/>
  <c r="F550" i="42" l="1"/>
  <c r="G550" i="42" l="1"/>
  <c r="H550" i="42" s="1"/>
  <c r="F551" i="42" l="1"/>
  <c r="G551" i="42" l="1"/>
  <c r="H551" i="42" s="1"/>
  <c r="F552" i="42" l="1"/>
  <c r="G552" i="42" l="1"/>
  <c r="H552" i="42" s="1"/>
  <c r="F553" i="42" l="1"/>
  <c r="G553" i="42" l="1"/>
  <c r="H553" i="42" s="1"/>
  <c r="F554" i="42" l="1"/>
  <c r="G554" i="42" l="1"/>
  <c r="H554" i="42" s="1"/>
  <c r="F555" i="42" l="1"/>
  <c r="G555" i="42" l="1"/>
  <c r="H555" i="42" s="1"/>
  <c r="F556" i="42" l="1"/>
  <c r="G556" i="42" l="1"/>
  <c r="H556" i="42" s="1"/>
  <c r="F557" i="42" l="1"/>
  <c r="G557" i="42" l="1"/>
  <c r="H557" i="42" s="1"/>
  <c r="F558" i="42" l="1"/>
  <c r="G558" i="42" l="1"/>
  <c r="H558" i="42" s="1"/>
  <c r="F559" i="42" l="1"/>
  <c r="G559" i="42" l="1"/>
  <c r="H559" i="42" s="1"/>
  <c r="F560" i="42" l="1"/>
  <c r="G560" i="42" l="1"/>
  <c r="H560" i="42" s="1"/>
  <c r="F561" i="42" l="1"/>
  <c r="F562" i="42" l="1"/>
  <c r="G561" i="42"/>
  <c r="H561" i="42" s="1"/>
  <c r="G562" i="42" l="1"/>
  <c r="H562" i="42" s="1"/>
  <c r="F563" i="42" l="1"/>
  <c r="G563" i="42" l="1"/>
  <c r="H563" i="42" s="1"/>
  <c r="F564" i="42" l="1"/>
  <c r="G564" i="42" l="1"/>
  <c r="H564" i="42" s="1"/>
  <c r="F565" i="42" l="1"/>
  <c r="G565" i="42" l="1"/>
  <c r="H565" i="42" s="1"/>
  <c r="F566" i="42" l="1"/>
  <c r="G566" i="42" l="1"/>
  <c r="H566" i="42" s="1"/>
  <c r="F567" i="42" l="1"/>
  <c r="G567" i="42" l="1"/>
  <c r="H567" i="42" s="1"/>
  <c r="F568" i="42" l="1"/>
  <c r="G568" i="42" l="1"/>
  <c r="H568" i="42" s="1"/>
  <c r="F569" i="42" l="1"/>
  <c r="G569" i="42" l="1"/>
  <c r="H569" i="42" s="1"/>
  <c r="F570" i="42" l="1"/>
  <c r="G570" i="42" l="1"/>
  <c r="H570" i="42" s="1"/>
  <c r="F571" i="42" l="1"/>
  <c r="F572" i="42" l="1"/>
  <c r="G571" i="42"/>
  <c r="H571" i="42" s="1"/>
  <c r="F573" i="42" l="1"/>
  <c r="G572" i="42"/>
  <c r="H572" i="42" s="1"/>
  <c r="G573" i="42" l="1"/>
  <c r="H573" i="42" s="1"/>
  <c r="F574" i="42" l="1"/>
  <c r="G574" i="42" l="1"/>
  <c r="H574" i="42" s="1"/>
  <c r="F575" i="42" l="1"/>
  <c r="G575" i="42" l="1"/>
  <c r="H575" i="42" s="1"/>
  <c r="F576" i="42" l="1"/>
  <c r="G576" i="42" l="1"/>
  <c r="H576" i="42" s="1"/>
  <c r="F577" i="42" l="1"/>
  <c r="G577" i="42" l="1"/>
  <c r="H577" i="42" s="1"/>
  <c r="F578" i="42" l="1"/>
  <c r="G578" i="42" l="1"/>
  <c r="H578" i="42" s="1"/>
  <c r="F579" i="42" l="1"/>
  <c r="G579" i="42" l="1"/>
  <c r="H579" i="42" s="1"/>
  <c r="F580" i="42" l="1"/>
  <c r="G580" i="42" l="1"/>
  <c r="H580" i="42" s="1"/>
  <c r="F581" i="42" l="1"/>
  <c r="G581" i="42" l="1"/>
  <c r="H581" i="42" s="1"/>
  <c r="F582" i="42" l="1"/>
  <c r="F583" i="42" l="1"/>
  <c r="G582" i="42"/>
  <c r="H582" i="42" s="1"/>
  <c r="G583" i="42" l="1"/>
  <c r="H583" i="42" s="1"/>
  <c r="F584" i="42" l="1"/>
  <c r="G584" i="42" l="1"/>
  <c r="H584" i="42" s="1"/>
  <c r="F585" i="42" l="1"/>
  <c r="G585" i="42" l="1"/>
  <c r="H585" i="42" s="1"/>
  <c r="F586" i="42" l="1"/>
  <c r="G586" i="42" l="1"/>
  <c r="H586" i="42" s="1"/>
  <c r="F587" i="42" l="1"/>
  <c r="G587" i="42" l="1"/>
  <c r="H587" i="42" s="1"/>
  <c r="F588" i="42" l="1"/>
  <c r="G588" i="42" l="1"/>
  <c r="H588" i="42" s="1"/>
  <c r="F589" i="42" l="1"/>
  <c r="G589" i="42" l="1"/>
  <c r="H589" i="42" s="1"/>
  <c r="F590" i="42" l="1"/>
  <c r="G590" i="42" l="1"/>
  <c r="H590" i="42" s="1"/>
  <c r="F591" i="42" l="1"/>
  <c r="G591" i="42" l="1"/>
  <c r="H591" i="42" s="1"/>
  <c r="F592" i="42" l="1"/>
  <c r="G592" i="42" l="1"/>
  <c r="H592" i="42" s="1"/>
  <c r="F593" i="42" l="1"/>
  <c r="G593" i="42" l="1"/>
  <c r="H593" i="42" s="1"/>
  <c r="F594" i="42" l="1"/>
  <c r="G594" i="42" l="1"/>
  <c r="H594" i="42" s="1"/>
  <c r="F595" i="42" l="1"/>
  <c r="G595" i="42" l="1"/>
  <c r="H595" i="42" s="1"/>
  <c r="F596" i="42" l="1"/>
  <c r="G596" i="42" l="1"/>
  <c r="H596" i="42" s="1"/>
  <c r="F597" i="42" l="1"/>
  <c r="G597" i="42" l="1"/>
  <c r="H597" i="42" s="1"/>
  <c r="F598" i="42" l="1"/>
  <c r="G598" i="42" l="1"/>
  <c r="H598" i="42" s="1"/>
  <c r="F599" i="42" l="1"/>
  <c r="G599" i="42" l="1"/>
  <c r="H599" i="42" s="1"/>
  <c r="F600" i="42" l="1"/>
  <c r="G600" i="42" l="1"/>
  <c r="H600" i="42" s="1"/>
  <c r="F601" i="42" l="1"/>
  <c r="G601" i="42" l="1"/>
  <c r="H601" i="42" s="1"/>
  <c r="F602" i="42" l="1"/>
  <c r="G602" i="42" l="1"/>
  <c r="H602" i="42" s="1"/>
  <c r="F603" i="42" l="1"/>
  <c r="G603" i="42" l="1"/>
  <c r="H603" i="42" s="1"/>
  <c r="F604" i="42" l="1"/>
  <c r="G604" i="42" l="1"/>
  <c r="H604" i="42" s="1"/>
  <c r="F605" i="42" l="1"/>
  <c r="G605" i="42" l="1"/>
  <c r="H605" i="42" s="1"/>
  <c r="F606" i="42" l="1"/>
  <c r="G606" i="42" l="1"/>
  <c r="H606" i="42" s="1"/>
  <c r="F607" i="42" l="1"/>
  <c r="G607" i="42" l="1"/>
  <c r="H607" i="42" s="1"/>
  <c r="F608" i="42" l="1"/>
  <c r="G608" i="42" l="1"/>
  <c r="H608" i="42" s="1"/>
  <c r="F609" i="42" l="1"/>
  <c r="G609" i="42" l="1"/>
  <c r="H609" i="42" s="1"/>
  <c r="F610" i="42" l="1"/>
  <c r="G610" i="42" l="1"/>
  <c r="H610" i="42" s="1"/>
  <c r="F611" i="42" l="1"/>
  <c r="G611" i="42" l="1"/>
  <c r="H611" i="42" s="1"/>
  <c r="F612" i="42" l="1"/>
  <c r="G612" i="42" l="1"/>
  <c r="H612" i="42" s="1"/>
  <c r="F613" i="42" l="1"/>
  <c r="G613" i="42" l="1"/>
  <c r="H613" i="42" s="1"/>
  <c r="F614" i="42" l="1"/>
  <c r="G614" i="42" l="1"/>
  <c r="H614" i="42" s="1"/>
  <c r="F615" i="42" l="1"/>
  <c r="G615" i="42" l="1"/>
  <c r="H615" i="42" s="1"/>
  <c r="F616" i="42" l="1"/>
  <c r="G616" i="42" l="1"/>
  <c r="H616" i="42" s="1"/>
  <c r="F617" i="42" l="1"/>
  <c r="G617" i="42" l="1"/>
  <c r="H617" i="42" s="1"/>
  <c r="F618" i="42" l="1"/>
  <c r="G618" i="42" l="1"/>
  <c r="H618" i="42" s="1"/>
  <c r="F619" i="42" l="1"/>
  <c r="G619" i="42" l="1"/>
  <c r="H619" i="42" s="1"/>
  <c r="F620" i="42" l="1"/>
  <c r="G620" i="42" l="1"/>
  <c r="H620" i="42" s="1"/>
  <c r="F621" i="42" l="1"/>
  <c r="G621" i="42" l="1"/>
  <c r="H621" i="42" s="1"/>
  <c r="F622" i="42" l="1"/>
  <c r="G622" i="42" l="1"/>
  <c r="H622" i="42" s="1"/>
  <c r="F623" i="42" l="1"/>
  <c r="G623" i="42" l="1"/>
  <c r="H623" i="42" s="1"/>
  <c r="F624" i="42" l="1"/>
  <c r="G624" i="42" l="1"/>
  <c r="H624" i="42" s="1"/>
  <c r="F625" i="42" l="1"/>
  <c r="G625" i="42" l="1"/>
  <c r="H625" i="42" s="1"/>
  <c r="F626" i="42" l="1"/>
  <c r="G626" i="42" l="1"/>
  <c r="H626" i="42" s="1"/>
  <c r="F627" i="42" l="1"/>
  <c r="G627" i="42" l="1"/>
  <c r="H627" i="42" s="1"/>
  <c r="F628" i="42" l="1"/>
  <c r="G628" i="42" l="1"/>
  <c r="H628" i="42" s="1"/>
  <c r="F629" i="42" l="1"/>
  <c r="G629" i="42" l="1"/>
  <c r="H629" i="42" s="1"/>
  <c r="F630" i="42" l="1"/>
  <c r="G630" i="42" l="1"/>
  <c r="H630" i="42" s="1"/>
  <c r="F631" i="42" l="1"/>
  <c r="G631" i="42" l="1"/>
  <c r="H631" i="42" s="1"/>
  <c r="F632" i="42" l="1"/>
  <c r="G632" i="42" l="1"/>
  <c r="H632" i="42" s="1"/>
  <c r="F633" i="42" l="1"/>
  <c r="G633" i="42" l="1"/>
  <c r="H633" i="42" s="1"/>
  <c r="F634" i="42" l="1"/>
  <c r="F635" i="42" l="1"/>
  <c r="G634" i="42"/>
  <c r="H634" i="42" s="1"/>
  <c r="G635" i="42" l="1"/>
  <c r="H635" i="42" s="1"/>
  <c r="F636" i="42" l="1"/>
  <c r="G636" i="42" l="1"/>
  <c r="H636" i="42" s="1"/>
  <c r="F637" i="42" l="1"/>
  <c r="G637" i="42" l="1"/>
  <c r="H637" i="42" s="1"/>
  <c r="F638" i="42" l="1"/>
  <c r="G638" i="42" l="1"/>
  <c r="H638" i="42" s="1"/>
  <c r="F639" i="42" l="1"/>
  <c r="G639" i="42" l="1"/>
  <c r="H639" i="42" s="1"/>
  <c r="F640" i="42" l="1"/>
  <c r="G640" i="42" l="1"/>
  <c r="H640" i="42" s="1"/>
  <c r="F641" i="42" l="1"/>
  <c r="G641" i="42" l="1"/>
  <c r="H641" i="42" s="1"/>
  <c r="F642" i="42" l="1"/>
  <c r="G642" i="42" l="1"/>
  <c r="H642" i="42" s="1"/>
  <c r="F643" i="42" l="1"/>
  <c r="G643" i="42" l="1"/>
  <c r="H643" i="42" s="1"/>
  <c r="F644" i="42" l="1"/>
  <c r="G644" i="42" l="1"/>
  <c r="H644" i="42" s="1"/>
  <c r="F645" i="42" l="1"/>
  <c r="G645" i="42" l="1"/>
  <c r="H645" i="42" s="1"/>
  <c r="F646" i="42" l="1"/>
  <c r="G646" i="42" l="1"/>
  <c r="H646" i="42" s="1"/>
  <c r="F647" i="42" l="1"/>
  <c r="G647" i="42" l="1"/>
  <c r="H647" i="42" s="1"/>
  <c r="F648" i="42" l="1"/>
  <c r="G648" i="42" l="1"/>
  <c r="H648" i="42" s="1"/>
  <c r="F649" i="42" l="1"/>
  <c r="G649" i="42" l="1"/>
  <c r="H649" i="42" s="1"/>
  <c r="F650" i="42" l="1"/>
  <c r="G650" i="42" l="1"/>
  <c r="H650" i="42" s="1"/>
  <c r="F651" i="42" l="1"/>
  <c r="G651" i="42" l="1"/>
  <c r="H651" i="42" s="1"/>
  <c r="F652" i="42" l="1"/>
  <c r="G652" i="42" l="1"/>
  <c r="H652" i="42" s="1"/>
  <c r="F653" i="42" l="1"/>
  <c r="G653" i="42" l="1"/>
  <c r="H653" i="42" s="1"/>
  <c r="F654" i="42" l="1"/>
  <c r="G654" i="42" l="1"/>
  <c r="H654" i="42" s="1"/>
  <c r="F655" i="42" l="1"/>
  <c r="G655" i="42" l="1"/>
  <c r="H655" i="42" s="1"/>
  <c r="F656" i="42" l="1"/>
  <c r="G656" i="42" l="1"/>
  <c r="H656" i="42" s="1"/>
  <c r="F657" i="42" l="1"/>
  <c r="G657" i="42" l="1"/>
  <c r="H657" i="42" s="1"/>
  <c r="F658" i="42" l="1"/>
  <c r="G658" i="42" l="1"/>
  <c r="H658" i="42" s="1"/>
  <c r="F659" i="42" l="1"/>
  <c r="G659" i="42" l="1"/>
  <c r="H659" i="42" s="1"/>
  <c r="F660" i="42" l="1"/>
  <c r="G660" i="42" l="1"/>
  <c r="H660" i="42" s="1"/>
  <c r="F661" i="42" l="1"/>
  <c r="G661" i="42" l="1"/>
  <c r="H661" i="42" s="1"/>
  <c r="F662" i="42" l="1"/>
  <c r="F663" i="42" l="1"/>
  <c r="G662" i="42"/>
  <c r="H662" i="42" s="1"/>
  <c r="G663" i="42" l="1"/>
  <c r="H663" i="42" s="1"/>
  <c r="F664" i="42" l="1"/>
  <c r="G664" i="42" l="1"/>
  <c r="H664" i="42" s="1"/>
  <c r="F665" i="42" l="1"/>
  <c r="G665" i="42" l="1"/>
  <c r="H665" i="42" s="1"/>
  <c r="F666" i="42" l="1"/>
  <c r="G666" i="42" l="1"/>
  <c r="H666" i="42" s="1"/>
  <c r="F667" i="42" l="1"/>
  <c r="G667" i="42" l="1"/>
  <c r="H667" i="42" s="1"/>
  <c r="F668" i="42" l="1"/>
  <c r="G668" i="42" l="1"/>
  <c r="H668" i="42" s="1"/>
  <c r="F669" i="42" l="1"/>
  <c r="G669" i="42" l="1"/>
  <c r="H669" i="42" s="1"/>
  <c r="F670" i="42" l="1"/>
  <c r="G670" i="42" l="1"/>
  <c r="H670" i="42" s="1"/>
  <c r="F671" i="42" l="1"/>
  <c r="G671" i="42" l="1"/>
  <c r="H671" i="42" s="1"/>
  <c r="F672" i="42" l="1"/>
  <c r="G672" i="42" l="1"/>
  <c r="H672" i="42" s="1"/>
  <c r="F673" i="42" l="1"/>
  <c r="G673" i="42" l="1"/>
  <c r="H673" i="42" s="1"/>
  <c r="F674" i="42" l="1"/>
  <c r="G674" i="42" l="1"/>
  <c r="H674" i="42" s="1"/>
  <c r="F675" i="42" l="1"/>
  <c r="G675" i="42" l="1"/>
  <c r="H675" i="42" s="1"/>
  <c r="F676" i="42" l="1"/>
  <c r="G676" i="42" l="1"/>
  <c r="H676" i="42" s="1"/>
  <c r="F677" i="42" l="1"/>
  <c r="G677" i="42" l="1"/>
  <c r="H677" i="42" s="1"/>
  <c r="F678" i="42" l="1"/>
  <c r="G678" i="42" l="1"/>
  <c r="H678" i="42" s="1"/>
  <c r="F679" i="42" l="1"/>
  <c r="G679" i="42" l="1"/>
  <c r="H679" i="42" s="1"/>
  <c r="F680" i="42" l="1"/>
  <c r="G680" i="42" l="1"/>
  <c r="H680" i="42" s="1"/>
  <c r="F681" i="42" l="1"/>
  <c r="G681" i="42" l="1"/>
  <c r="H681" i="42" s="1"/>
  <c r="F682" i="42" l="1"/>
  <c r="G682" i="42" l="1"/>
  <c r="H682" i="42" s="1"/>
  <c r="F683" i="42" l="1"/>
  <c r="G683" i="42" l="1"/>
  <c r="H683" i="42" s="1"/>
  <c r="F684" i="42" l="1"/>
  <c r="G684" i="42" l="1"/>
  <c r="H684" i="42" s="1"/>
  <c r="F685" i="42" l="1"/>
  <c r="G685" i="42" l="1"/>
  <c r="H685" i="42" s="1"/>
  <c r="F686" i="42" l="1"/>
  <c r="G686" i="42" l="1"/>
  <c r="H686" i="42" s="1"/>
  <c r="F687" i="42" l="1"/>
  <c r="G687" i="42" l="1"/>
  <c r="H687" i="42" s="1"/>
  <c r="F688" i="42" l="1"/>
  <c r="G688" i="42" l="1"/>
  <c r="H688" i="42" s="1"/>
  <c r="F689" i="42" l="1"/>
  <c r="G689" i="42" l="1"/>
  <c r="H689" i="42" s="1"/>
  <c r="F690" i="42" l="1"/>
  <c r="G690" i="42" l="1"/>
  <c r="H690" i="42" s="1"/>
  <c r="F691" i="42" l="1"/>
  <c r="G691" i="42" l="1"/>
  <c r="H691" i="42" s="1"/>
  <c r="F692" i="42" l="1"/>
  <c r="G692" i="42" l="1"/>
  <c r="H692" i="42" s="1"/>
  <c r="F693" i="42" l="1"/>
  <c r="G693" i="42" l="1"/>
  <c r="H693" i="42" s="1"/>
  <c r="F694" i="42" l="1"/>
  <c r="G694" i="42" l="1"/>
  <c r="H694" i="42" s="1"/>
  <c r="F695" i="42" l="1"/>
  <c r="G695" i="42" l="1"/>
  <c r="H695" i="42" s="1"/>
  <c r="F696" i="42" l="1"/>
  <c r="G696" i="42" l="1"/>
  <c r="H696" i="42" s="1"/>
  <c r="F697" i="42" l="1"/>
  <c r="G697" i="42" l="1"/>
  <c r="H697" i="42" s="1"/>
  <c r="F698" i="42" l="1"/>
  <c r="G698" i="42" l="1"/>
  <c r="H698" i="42" s="1"/>
  <c r="F699" i="42" l="1"/>
  <c r="G699" i="42" l="1"/>
  <c r="H699" i="42" s="1"/>
  <c r="F700" i="42" l="1"/>
  <c r="G700" i="42" l="1"/>
  <c r="H700" i="42" s="1"/>
  <c r="F701" i="42" l="1"/>
  <c r="G701" i="42" l="1"/>
  <c r="H701" i="42" s="1"/>
  <c r="F702" i="42" l="1"/>
  <c r="G702" i="42" l="1"/>
  <c r="H702" i="42" s="1"/>
  <c r="F703" i="42" l="1"/>
  <c r="G703" i="42" l="1"/>
  <c r="H703" i="42" s="1"/>
  <c r="F704" i="42" l="1"/>
  <c r="G704" i="42" l="1"/>
  <c r="H704" i="42" s="1"/>
  <c r="F705" i="42" l="1"/>
  <c r="G705" i="42" l="1"/>
  <c r="H705" i="42" s="1"/>
  <c r="F706" i="42" l="1"/>
  <c r="G706" i="42" l="1"/>
  <c r="H706" i="42" s="1"/>
  <c r="F707" i="42" l="1"/>
  <c r="G707" i="42" l="1"/>
  <c r="H707" i="42" s="1"/>
  <c r="F708" i="42" l="1"/>
  <c r="G708" i="42" l="1"/>
  <c r="H708" i="42" s="1"/>
  <c r="F709" i="42" l="1"/>
  <c r="G709" i="42" l="1"/>
  <c r="H709" i="42" s="1"/>
  <c r="F710" i="42" l="1"/>
  <c r="G710" i="42" l="1"/>
  <c r="H710" i="42" s="1"/>
  <c r="F711" i="42" l="1"/>
  <c r="G711" i="42" l="1"/>
  <c r="H711" i="42" s="1"/>
  <c r="F712" i="42" l="1"/>
  <c r="G712" i="42" l="1"/>
  <c r="H712" i="42" s="1"/>
  <c r="F713" i="42" l="1"/>
  <c r="G713" i="42" l="1"/>
  <c r="H713" i="42" s="1"/>
  <c r="F714" i="42" l="1"/>
  <c r="G714" i="42" l="1"/>
  <c r="H714" i="42" s="1"/>
  <c r="F715" i="42" l="1"/>
  <c r="G715" i="42" l="1"/>
  <c r="H715" i="42" s="1"/>
  <c r="F716" i="42" l="1"/>
  <c r="G716" i="42" l="1"/>
  <c r="H716" i="42" s="1"/>
  <c r="F717" i="42" l="1"/>
  <c r="G717" i="42" l="1"/>
  <c r="H717" i="42" s="1"/>
  <c r="F718" i="42" l="1"/>
  <c r="G718" i="42" l="1"/>
  <c r="H718" i="42" s="1"/>
  <c r="F719" i="42" l="1"/>
  <c r="G719" i="42" l="1"/>
  <c r="H719" i="42" s="1"/>
  <c r="F720" i="42" l="1"/>
  <c r="G720" i="42" l="1"/>
  <c r="H720" i="42" s="1"/>
  <c r="F721" i="42" l="1"/>
  <c r="G721" i="42" l="1"/>
  <c r="H721" i="42" s="1"/>
  <c r="F722" i="42" l="1"/>
  <c r="G722" i="42" l="1"/>
  <c r="H722" i="42" s="1"/>
  <c r="F723" i="42" l="1"/>
  <c r="G723" i="42" l="1"/>
  <c r="H723" i="42" s="1"/>
  <c r="F724" i="42" l="1"/>
  <c r="G724" i="42" l="1"/>
  <c r="H724" i="42" s="1"/>
  <c r="F725" i="42" l="1"/>
  <c r="G725" i="42" l="1"/>
  <c r="H725" i="42" s="1"/>
  <c r="F726" i="42" l="1"/>
  <c r="G726" i="42" l="1"/>
  <c r="H726" i="42" s="1"/>
  <c r="F727" i="42" l="1"/>
  <c r="G727" i="42" l="1"/>
  <c r="H727" i="42" s="1"/>
  <c r="F728" i="42" l="1"/>
  <c r="G728" i="42" l="1"/>
  <c r="H728" i="42" s="1"/>
  <c r="F729" i="42" l="1"/>
  <c r="G729" i="42" l="1"/>
  <c r="H729" i="42" s="1"/>
  <c r="F730" i="42" l="1"/>
  <c r="G730" i="42" l="1"/>
  <c r="H730" i="42" s="1"/>
  <c r="F731" i="42" l="1"/>
  <c r="G731" i="42" l="1"/>
  <c r="H731" i="42" s="1"/>
  <c r="F732" i="42" l="1"/>
  <c r="G732" i="42" l="1"/>
  <c r="H732" i="42" s="1"/>
  <c r="F733" i="42" l="1"/>
  <c r="G733" i="42" l="1"/>
  <c r="H733" i="42" s="1"/>
  <c r="F734" i="42" l="1"/>
  <c r="G734" i="42" l="1"/>
  <c r="H734" i="42" s="1"/>
  <c r="F735" i="42" l="1"/>
  <c r="G735" i="42" s="1"/>
  <c r="H735" i="42" l="1"/>
  <c r="O11" i="42" s="1"/>
  <c r="O12" i="42"/>
</calcChain>
</file>

<file path=xl/sharedStrings.xml><?xml version="1.0" encoding="utf-8"?>
<sst xmlns="http://schemas.openxmlformats.org/spreadsheetml/2006/main" count="93" uniqueCount="53">
  <si>
    <t xml:space="preserve">Sigma² 0 </t>
  </si>
  <si>
    <t>Alpha 0</t>
  </si>
  <si>
    <t>Alpha 1</t>
  </si>
  <si>
    <t>Eta 1</t>
  </si>
  <si>
    <t>Eta 2</t>
  </si>
  <si>
    <t>Log-likelihood</t>
  </si>
  <si>
    <t>Epsilon variance</t>
  </si>
  <si>
    <t>CAC 40</t>
  </si>
  <si>
    <t>Residual AR part</t>
  </si>
  <si>
    <t>Sigma</t>
  </si>
  <si>
    <t>Beta 1</t>
  </si>
  <si>
    <t>Epsilon</t>
  </si>
  <si>
    <t>Date</t>
  </si>
  <si>
    <t>Prediction</t>
  </si>
  <si>
    <t>W1</t>
  </si>
  <si>
    <t>W2</t>
  </si>
  <si>
    <t>Learning rate</t>
  </si>
  <si>
    <t>Weigth</t>
  </si>
  <si>
    <t>Nb OK</t>
  </si>
  <si>
    <t>Nb Total</t>
  </si>
  <si>
    <t>Total</t>
  </si>
  <si>
    <t>Date Learn</t>
  </si>
  <si>
    <t>Date learn</t>
  </si>
  <si>
    <t>N</t>
  </si>
  <si>
    <t>P</t>
  </si>
  <si>
    <t>Sens prediction</t>
  </si>
  <si>
    <t>Method</t>
  </si>
  <si>
    <t>backpropagation</t>
  </si>
  <si>
    <t>ORANGE</t>
  </si>
  <si>
    <t>Factor</t>
  </si>
  <si>
    <t>ORANGE 8.125% 28/01/2033</t>
  </si>
  <si>
    <t>CDS 5Y</t>
  </si>
  <si>
    <t xml:space="preserve">Weight </t>
  </si>
  <si>
    <t>Méthode</t>
  </si>
  <si>
    <t>AR(2)-GARCH(1,1)</t>
  </si>
  <si>
    <t>Monkey</t>
  </si>
  <si>
    <t>SP</t>
  </si>
  <si>
    <t>MultiLayer</t>
  </si>
  <si>
    <t>A1</t>
  </si>
  <si>
    <t>Rendement réalisé</t>
  </si>
  <si>
    <t>C1</t>
  </si>
  <si>
    <t>Prédiction</t>
  </si>
  <si>
    <t>D1</t>
  </si>
  <si>
    <t>E1</t>
  </si>
  <si>
    <t>Date début</t>
  </si>
  <si>
    <t>P&amp;L</t>
  </si>
  <si>
    <t>Date fin</t>
  </si>
  <si>
    <t>Output</t>
  </si>
  <si>
    <t>Direction</t>
  </si>
  <si>
    <t>Prediction OK</t>
  </si>
  <si>
    <t>Return</t>
  </si>
  <si>
    <t>Success rate</t>
  </si>
  <si>
    <t>Expected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</si>
</sst>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64" fontId="0" fillId="0" borderId="0" xfId="1" applyNumberFormat="1" applyFont="1"/>
    <xf numFmtId="11" fontId="0" fillId="0" borderId="0" xfId="0" applyNumberFormat="1"/>
    <xf numFmtId="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447675</xdr:colOff>
          <xdr:row>4</xdr:row>
          <xdr:rowOff>161925</xdr:rowOff>
        </xdr:from>
        <xdr:to>
          <xdr:col>13</xdr:col>
          <xdr:colOff>657225</xdr:colOff>
          <xdr:row>7</xdr:row>
          <xdr:rowOff>161925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514350</xdr:colOff>
          <xdr:row>2</xdr:row>
          <xdr:rowOff>142875</xdr:rowOff>
        </xdr:from>
        <xdr:to>
          <xdr:col>14</xdr:col>
          <xdr:colOff>504825</xdr:colOff>
          <xdr:row>4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Learn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13</xdr:row>
          <xdr:rowOff>152400</xdr:rowOff>
        </xdr:from>
        <xdr:to>
          <xdr:col>16</xdr:col>
          <xdr:colOff>19050</xdr:colOff>
          <xdr:row>15</xdr:row>
          <xdr:rowOff>104775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Learn bis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5</xdr:row>
          <xdr:rowOff>28575</xdr:rowOff>
        </xdr:from>
        <xdr:to>
          <xdr:col>10</xdr:col>
          <xdr:colOff>114300</xdr:colOff>
          <xdr:row>8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P735"/>
  <sheetViews>
    <sheetView workbookViewId="0">
      <selection activeCell="G25" sqref="G25"/>
    </sheetView>
  </sheetViews>
  <sheetFormatPr defaultColWidth="10.6640625" defaultRowHeight="14.25" x14ac:dyDescent="0.45"/>
  <cols>
    <col min="1" max="1" width="11.3984375" style="3"/>
    <col min="7" max="7" width="12" bestFit="1" customWidth="1"/>
    <col min="15" max="16" width="12" bestFit="1" customWidth="1"/>
  </cols>
  <sheetData>
    <row r="1" spans="1:16" x14ac:dyDescent="0.45">
      <c r="A1" s="3" t="s">
        <v>12</v>
      </c>
      <c r="B1" t="s">
        <v>7</v>
      </c>
      <c r="C1" t="s">
        <v>50</v>
      </c>
      <c r="D1" t="s">
        <v>52</v>
      </c>
      <c r="E1" t="s">
        <v>8</v>
      </c>
      <c r="F1" t="s">
        <v>9</v>
      </c>
      <c r="G1" t="s">
        <v>11</v>
      </c>
      <c r="H1" t="s">
        <v>5</v>
      </c>
    </row>
    <row r="2" spans="1:16" x14ac:dyDescent="0.45">
      <c r="A2" s="2">
        <v>42373</v>
      </c>
      <c r="B2">
        <v>4522.45</v>
      </c>
      <c r="N2" t="s">
        <v>0</v>
      </c>
      <c r="O2">
        <f>P2^2</f>
        <v>4.0000000000000008E-2</v>
      </c>
      <c r="P2">
        <v>0.2</v>
      </c>
    </row>
    <row r="3" spans="1:16" x14ac:dyDescent="0.45">
      <c r="A3" s="2">
        <v>42374</v>
      </c>
      <c r="B3">
        <v>4537.63</v>
      </c>
      <c r="C3">
        <f>B3/B2-1</f>
        <v>3.356587690300783E-3</v>
      </c>
    </row>
    <row r="4" spans="1:16" x14ac:dyDescent="0.45">
      <c r="A4" s="2">
        <v>42375</v>
      </c>
      <c r="B4">
        <v>4480.47</v>
      </c>
      <c r="C4">
        <f t="shared" ref="C4:C67" si="0">B4/B3-1</f>
        <v>-1.2596884276593667E-2</v>
      </c>
      <c r="N4" t="s">
        <v>1</v>
      </c>
      <c r="O4">
        <v>6.8828591612716931E-5</v>
      </c>
    </row>
    <row r="5" spans="1:16" x14ac:dyDescent="0.45">
      <c r="A5" s="2">
        <v>42376</v>
      </c>
      <c r="B5">
        <v>4403.58</v>
      </c>
      <c r="C5">
        <f t="shared" si="0"/>
        <v>-1.7161146040482467E-2</v>
      </c>
      <c r="D5">
        <f>SUMPRODUCT(C3:C4,$O$8:$O$9)</f>
        <v>-1.1655898223270809E-2</v>
      </c>
      <c r="E5">
        <f>C5-D5</f>
        <v>-5.5052478172116573E-3</v>
      </c>
      <c r="F5">
        <f>SQRT(O2)</f>
        <v>0.2</v>
      </c>
      <c r="G5">
        <f>E5/F5</f>
        <v>-2.7526239086058286E-2</v>
      </c>
      <c r="H5">
        <f>-(G5^2)/2-LN(2*PI())/2</f>
        <v>-0.91931738012378406</v>
      </c>
      <c r="N5" t="s">
        <v>10</v>
      </c>
      <c r="O5">
        <v>5.0185689697198874E-2</v>
      </c>
    </row>
    <row r="6" spans="1:16" x14ac:dyDescent="0.45">
      <c r="A6" s="2">
        <v>42377</v>
      </c>
      <c r="B6">
        <v>4333.76</v>
      </c>
      <c r="C6">
        <f t="shared" si="0"/>
        <v>-1.58552813846915E-2</v>
      </c>
      <c r="D6">
        <f t="shared" ref="D6:D69" si="1">SUMPRODUCT(C4:C5,$O$8:$O$9)</f>
        <v>-3.0859351160625346E-2</v>
      </c>
      <c r="E6">
        <f t="shared" ref="E6:E69" si="2">C6-D6</f>
        <v>1.5004069775933847E-2</v>
      </c>
      <c r="F6">
        <f>SQRT($O$4+$O$5*F5^2+$O$6*G5^2)</f>
        <v>4.5572954542154251E-2</v>
      </c>
      <c r="G6">
        <f t="shared" ref="G6:G69" si="3">E6/F6</f>
        <v>0.32923188603133735</v>
      </c>
      <c r="H6">
        <f t="shared" ref="H6:H69" si="4">-(G6^2)/2-LN(2*PI())/2</f>
        <v>-0.97313535059454837</v>
      </c>
      <c r="N6" t="s">
        <v>2</v>
      </c>
      <c r="O6">
        <v>8.4203693946049854E-4</v>
      </c>
      <c r="P6">
        <f>SUMPRODUCT(O4:O6,O4:O6)</f>
        <v>2.5193172139659726E-3</v>
      </c>
    </row>
    <row r="7" spans="1:16" x14ac:dyDescent="0.45">
      <c r="A7" s="2">
        <v>42380</v>
      </c>
      <c r="B7">
        <v>4312.74</v>
      </c>
      <c r="C7">
        <f t="shared" si="0"/>
        <v>-4.8502916635901894E-3</v>
      </c>
      <c r="D7">
        <f t="shared" si="1"/>
        <v>-3.3329657267066048E-2</v>
      </c>
      <c r="E7">
        <f t="shared" si="2"/>
        <v>2.8479365603475859E-2</v>
      </c>
      <c r="F7">
        <f t="shared" ref="F7:F70" si="5">SQRT($O$4+$O$5*F6^2+$O$6*G6^2)</f>
        <v>1.6258241086820484E-2</v>
      </c>
      <c r="G7">
        <f t="shared" si="3"/>
        <v>1.7516879871194835</v>
      </c>
      <c r="H7">
        <f t="shared" si="4"/>
        <v>-2.4531439353140265</v>
      </c>
    </row>
    <row r="8" spans="1:16" x14ac:dyDescent="0.45">
      <c r="A8" s="2">
        <v>42381</v>
      </c>
      <c r="B8">
        <v>4378.75</v>
      </c>
      <c r="C8">
        <f t="shared" si="0"/>
        <v>1.5305814864795986E-2</v>
      </c>
      <c r="D8">
        <f t="shared" si="1"/>
        <v>-1.944894413948399E-2</v>
      </c>
      <c r="E8">
        <f t="shared" si="2"/>
        <v>3.4754759004279975E-2</v>
      </c>
      <c r="F8">
        <f t="shared" si="5"/>
        <v>5.1631477199465842E-2</v>
      </c>
      <c r="G8">
        <f t="shared" si="3"/>
        <v>0.67313121547952792</v>
      </c>
      <c r="H8">
        <f t="shared" si="4"/>
        <v>-1.1454913498311461</v>
      </c>
      <c r="N8" t="s">
        <v>4</v>
      </c>
      <c r="O8">
        <v>0.87247677983530714</v>
      </c>
    </row>
    <row r="9" spans="1:16" x14ac:dyDescent="0.45">
      <c r="A9" s="2">
        <v>42382</v>
      </c>
      <c r="B9">
        <v>4391.9399999999996</v>
      </c>
      <c r="C9">
        <f t="shared" si="0"/>
        <v>3.0122751926919822E-3</v>
      </c>
      <c r="D9">
        <f t="shared" si="1"/>
        <v>1.3489026656531733E-2</v>
      </c>
      <c r="E9">
        <f t="shared" si="2"/>
        <v>-1.0476751463839751E-2</v>
      </c>
      <c r="F9">
        <f t="shared" si="5"/>
        <v>2.4169107503724297E-2</v>
      </c>
      <c r="G9">
        <f t="shared" si="3"/>
        <v>-0.43347696898718141</v>
      </c>
      <c r="H9">
        <f t="shared" si="4"/>
        <v>-1.0128896745258296</v>
      </c>
      <c r="N9" t="s">
        <v>3</v>
      </c>
      <c r="O9">
        <v>1.1577817754219346</v>
      </c>
      <c r="P9">
        <f>SUMPRODUCT(O8:O9,O8:O9)</f>
        <v>2.101674370850954</v>
      </c>
    </row>
    <row r="10" spans="1:16" x14ac:dyDescent="0.45">
      <c r="A10" s="2">
        <v>42383</v>
      </c>
      <c r="B10">
        <v>4312.8900000000003</v>
      </c>
      <c r="C10">
        <f t="shared" si="0"/>
        <v>-1.7998879766116804E-2</v>
      </c>
      <c r="D10">
        <f t="shared" si="1"/>
        <v>1.6841525386646954E-2</v>
      </c>
      <c r="E10">
        <f t="shared" si="2"/>
        <v>-3.4840405152763758E-2</v>
      </c>
      <c r="F10">
        <f t="shared" si="5"/>
        <v>1.6011402572281314E-2</v>
      </c>
      <c r="G10">
        <f t="shared" si="3"/>
        <v>-2.175974590325954</v>
      </c>
      <c r="H10">
        <f t="shared" si="4"/>
        <v>-3.2863712420767741</v>
      </c>
    </row>
    <row r="11" spans="1:16" x14ac:dyDescent="0.45">
      <c r="A11" s="2">
        <v>42384</v>
      </c>
      <c r="B11">
        <v>4210.16</v>
      </c>
      <c r="C11">
        <f t="shared" si="0"/>
        <v>-2.3819295182580746E-2</v>
      </c>
      <c r="D11">
        <f t="shared" si="1"/>
        <v>-1.8210634811122971E-2</v>
      </c>
      <c r="E11">
        <f t="shared" si="2"/>
        <v>-5.6086603714577757E-3</v>
      </c>
      <c r="F11">
        <f t="shared" si="5"/>
        <v>6.3785782363199831E-2</v>
      </c>
      <c r="G11">
        <f t="shared" si="3"/>
        <v>-8.792963202241133E-2</v>
      </c>
      <c r="H11">
        <f t="shared" si="4"/>
        <v>-0.92280434329847105</v>
      </c>
      <c r="N11" t="s">
        <v>5</v>
      </c>
      <c r="O11">
        <f>SUM(H5:H735)</f>
        <v>-1000.2442207017721</v>
      </c>
    </row>
    <row r="12" spans="1:16" x14ac:dyDescent="0.45">
      <c r="A12" s="2">
        <v>42387</v>
      </c>
      <c r="B12">
        <v>4189.57</v>
      </c>
      <c r="C12">
        <f t="shared" si="0"/>
        <v>-4.8905504778916642E-3</v>
      </c>
      <c r="D12">
        <f t="shared" si="1"/>
        <v>-4.3281150524771925E-2</v>
      </c>
      <c r="E12">
        <f t="shared" si="2"/>
        <v>3.8390600046880261E-2</v>
      </c>
      <c r="F12">
        <f t="shared" si="5"/>
        <v>1.671902224810607E-2</v>
      </c>
      <c r="G12">
        <f t="shared" si="3"/>
        <v>2.2962227980304974</v>
      </c>
      <c r="H12">
        <f t="shared" si="4"/>
        <v>-3.5552581023021759</v>
      </c>
      <c r="N12" t="s">
        <v>6</v>
      </c>
      <c r="O12">
        <f>VAR(G5:G735)</f>
        <v>0.89999991277091085</v>
      </c>
    </row>
    <row r="13" spans="1:16" x14ac:dyDescent="0.45">
      <c r="A13" s="2">
        <v>42388</v>
      </c>
      <c r="B13">
        <v>4272.26</v>
      </c>
      <c r="C13">
        <f t="shared" si="0"/>
        <v>1.9737109058925117E-2</v>
      </c>
      <c r="D13">
        <f t="shared" si="1"/>
        <v>-2.6443972173928694E-2</v>
      </c>
      <c r="E13">
        <f t="shared" si="2"/>
        <v>4.6181081232853811E-2</v>
      </c>
      <c r="F13">
        <f t="shared" si="5"/>
        <v>6.7250380703072765E-2</v>
      </c>
      <c r="G13">
        <f t="shared" si="3"/>
        <v>0.68670364018837049</v>
      </c>
      <c r="H13">
        <f t="shared" si="4"/>
        <v>-1.1547194779286523</v>
      </c>
    </row>
    <row r="14" spans="1:16" x14ac:dyDescent="0.45">
      <c r="A14" s="2">
        <v>42389</v>
      </c>
      <c r="B14">
        <v>4124.95</v>
      </c>
      <c r="C14">
        <f t="shared" si="0"/>
        <v>-3.4480579365488095E-2</v>
      </c>
      <c r="D14">
        <f t="shared" si="1"/>
        <v>1.8584373435365731E-2</v>
      </c>
      <c r="E14">
        <f t="shared" si="2"/>
        <v>-5.3064952800853826E-2</v>
      </c>
      <c r="F14">
        <f t="shared" si="5"/>
        <v>2.6322454478533572E-2</v>
      </c>
      <c r="G14">
        <f t="shared" si="3"/>
        <v>-2.015957624473403</v>
      </c>
      <c r="H14">
        <f t="shared" si="4"/>
        <v>-2.9509811050408956</v>
      </c>
      <c r="N14" t="s">
        <v>18</v>
      </c>
      <c r="O14">
        <f>SUMPRODUCT((C5:C735*D5:D735&gt;=0)*1)</f>
        <v>369</v>
      </c>
      <c r="P14">
        <f>O14/O15</f>
        <v>0.50478796169630646</v>
      </c>
    </row>
    <row r="15" spans="1:16" x14ac:dyDescent="0.45">
      <c r="A15" s="2">
        <v>42390</v>
      </c>
      <c r="B15">
        <v>4206.3999999999996</v>
      </c>
      <c r="C15">
        <f t="shared" si="0"/>
        <v>1.974569388719849E-2</v>
      </c>
      <c r="D15">
        <f t="shared" si="1"/>
        <v>-2.2700817040362472E-2</v>
      </c>
      <c r="E15">
        <f t="shared" si="2"/>
        <v>4.2446510927560965E-2</v>
      </c>
      <c r="F15">
        <f t="shared" si="5"/>
        <v>5.9377694863523324E-2</v>
      </c>
      <c r="G15">
        <f t="shared" si="3"/>
        <v>0.71485615979404649</v>
      </c>
      <c r="H15">
        <f t="shared" si="4"/>
        <v>-1.1744481978024184</v>
      </c>
      <c r="N15" t="s">
        <v>19</v>
      </c>
      <c r="O15">
        <f>COUNT(D5:D735)</f>
        <v>731</v>
      </c>
    </row>
    <row r="16" spans="1:16" x14ac:dyDescent="0.45">
      <c r="A16" s="2">
        <v>42391</v>
      </c>
      <c r="B16">
        <v>4336.6899999999996</v>
      </c>
      <c r="C16">
        <f t="shared" si="0"/>
        <v>3.0974229745150295E-2</v>
      </c>
      <c r="D16">
        <f t="shared" si="1"/>
        <v>-7.2223003259980802E-3</v>
      </c>
      <c r="E16">
        <f t="shared" si="2"/>
        <v>3.8196530071148371E-2</v>
      </c>
      <c r="F16">
        <f t="shared" si="5"/>
        <v>2.6001268509083141E-2</v>
      </c>
      <c r="G16">
        <f t="shared" si="3"/>
        <v>1.4690256384147182</v>
      </c>
      <c r="H16">
        <f t="shared" si="4"/>
        <v>-1.9979566963645579</v>
      </c>
    </row>
    <row r="17" spans="1:8" x14ac:dyDescent="0.45">
      <c r="A17" s="2">
        <v>42394</v>
      </c>
      <c r="B17">
        <v>4311.33</v>
      </c>
      <c r="C17">
        <f t="shared" si="0"/>
        <v>-5.8477779135699404E-3</v>
      </c>
      <c r="D17">
        <f t="shared" si="1"/>
        <v>5.3089058124983657E-2</v>
      </c>
      <c r="E17">
        <f t="shared" si="2"/>
        <v>-5.8936836038553597E-2</v>
      </c>
      <c r="F17">
        <f t="shared" si="5"/>
        <v>4.3816706080669995E-2</v>
      </c>
      <c r="G17">
        <f t="shared" si="3"/>
        <v>-1.3450768282318222</v>
      </c>
      <c r="H17">
        <f t="shared" si="4"/>
        <v>-1.8235543701277621</v>
      </c>
    </row>
    <row r="18" spans="1:8" x14ac:dyDescent="0.45">
      <c r="A18" s="2">
        <v>42395</v>
      </c>
      <c r="B18">
        <v>4356.8100000000004</v>
      </c>
      <c r="C18">
        <f t="shared" si="0"/>
        <v>1.0548948932232127E-2</v>
      </c>
      <c r="D18">
        <f t="shared" si="1"/>
        <v>2.0253845530881533E-2</v>
      </c>
      <c r="E18">
        <f t="shared" si="2"/>
        <v>-9.7048965986494054E-3</v>
      </c>
      <c r="F18">
        <f t="shared" si="5"/>
        <v>4.109282402030482E-2</v>
      </c>
      <c r="G18">
        <f t="shared" si="3"/>
        <v>-0.23617010585239928</v>
      </c>
      <c r="H18">
        <f t="shared" si="4"/>
        <v>-0.94682669265383945</v>
      </c>
    </row>
    <row r="19" spans="1:8" x14ac:dyDescent="0.45">
      <c r="A19" s="2">
        <v>42396</v>
      </c>
      <c r="B19">
        <v>4380.3599999999997</v>
      </c>
      <c r="C19">
        <f t="shared" si="0"/>
        <v>5.405330964627586E-3</v>
      </c>
      <c r="D19">
        <f t="shared" si="1"/>
        <v>7.1113303803715007E-3</v>
      </c>
      <c r="E19">
        <f t="shared" si="2"/>
        <v>-1.7059994157439147E-3</v>
      </c>
      <c r="F19">
        <f t="shared" si="5"/>
        <v>1.4161175132786296E-2</v>
      </c>
      <c r="G19">
        <f t="shared" si="3"/>
        <v>-0.1204701869546224</v>
      </c>
      <c r="H19">
        <f t="shared" si="4"/>
        <v>-0.92619506617711356</v>
      </c>
    </row>
    <row r="20" spans="1:8" x14ac:dyDescent="0.45">
      <c r="A20" s="2">
        <v>42397</v>
      </c>
      <c r="B20">
        <v>4322.16</v>
      </c>
      <c r="C20">
        <f t="shared" si="0"/>
        <v>-1.3286579185272429E-2</v>
      </c>
      <c r="D20">
        <f t="shared" si="1"/>
        <v>1.5461906676010672E-2</v>
      </c>
      <c r="E20">
        <f t="shared" si="2"/>
        <v>-2.8748485861283101E-2</v>
      </c>
      <c r="F20">
        <f t="shared" si="5"/>
        <v>9.5453292926080593E-3</v>
      </c>
      <c r="G20">
        <f t="shared" si="3"/>
        <v>-3.0117856576772097</v>
      </c>
      <c r="H20">
        <f t="shared" si="4"/>
        <v>-5.4543649570997434</v>
      </c>
    </row>
    <row r="21" spans="1:8" x14ac:dyDescent="0.45">
      <c r="A21" s="2">
        <v>42398</v>
      </c>
      <c r="B21">
        <v>4417.0200000000004</v>
      </c>
      <c r="C21">
        <f t="shared" si="0"/>
        <v>2.1947359653506693E-2</v>
      </c>
      <c r="D21">
        <f t="shared" si="1"/>
        <v>-1.0666933484446483E-2</v>
      </c>
      <c r="E21">
        <f t="shared" si="2"/>
        <v>3.2614293137953179E-2</v>
      </c>
      <c r="F21">
        <f t="shared" si="5"/>
        <v>8.781454518603897E-2</v>
      </c>
      <c r="G21">
        <f t="shared" si="3"/>
        <v>0.37139967039467514</v>
      </c>
      <c r="H21">
        <f t="shared" si="4"/>
        <v>-0.98790739078930934</v>
      </c>
    </row>
    <row r="22" spans="1:8" x14ac:dyDescent="0.45">
      <c r="A22" s="2">
        <v>42401</v>
      </c>
      <c r="B22">
        <v>4392.33</v>
      </c>
      <c r="C22">
        <f t="shared" si="0"/>
        <v>-5.5897414999254158E-3</v>
      </c>
      <c r="D22">
        <f t="shared" si="1"/>
        <v>1.3818021202867407E-2</v>
      </c>
      <c r="E22">
        <f t="shared" si="2"/>
        <v>-1.9407762702792822E-2</v>
      </c>
      <c r="F22">
        <f t="shared" si="5"/>
        <v>2.3916080091074762E-2</v>
      </c>
      <c r="G22">
        <f t="shared" si="3"/>
        <v>-0.81149430127705591</v>
      </c>
      <c r="H22">
        <f t="shared" si="4"/>
        <v>-1.2482000337072412</v>
      </c>
    </row>
    <row r="23" spans="1:8" x14ac:dyDescent="0.45">
      <c r="A23" s="2">
        <v>42402</v>
      </c>
      <c r="B23">
        <v>4283.99</v>
      </c>
      <c r="C23">
        <f t="shared" si="0"/>
        <v>-2.4665724114536047E-2</v>
      </c>
      <c r="D23">
        <f t="shared" si="1"/>
        <v>1.2676860838445544E-2</v>
      </c>
      <c r="E23">
        <f t="shared" si="2"/>
        <v>-3.7342584952981595E-2</v>
      </c>
      <c r="F23">
        <f t="shared" si="5"/>
        <v>2.5534965025938012E-2</v>
      </c>
      <c r="G23">
        <f t="shared" si="3"/>
        <v>-1.4624098727000248</v>
      </c>
      <c r="H23">
        <f t="shared" si="4"/>
        <v>-1.9882598510899241</v>
      </c>
    </row>
    <row r="24" spans="1:8" x14ac:dyDescent="0.45">
      <c r="A24" s="2">
        <v>42404</v>
      </c>
      <c r="B24">
        <v>4228.53</v>
      </c>
      <c r="C24">
        <f t="shared" si="0"/>
        <v>-1.294587522379842E-2</v>
      </c>
      <c r="D24">
        <f t="shared" si="1"/>
        <v>-3.3434445521361877E-2</v>
      </c>
      <c r="E24">
        <f t="shared" si="2"/>
        <v>2.0488570297563458E-2</v>
      </c>
      <c r="F24">
        <f t="shared" si="5"/>
        <v>4.3616137945237159E-2</v>
      </c>
      <c r="G24">
        <f t="shared" si="3"/>
        <v>0.46974746648334992</v>
      </c>
      <c r="H24">
        <f t="shared" si="4"/>
        <v>-1.0292698743384356</v>
      </c>
    </row>
    <row r="25" spans="1:8" x14ac:dyDescent="0.45">
      <c r="A25" s="2">
        <v>42405</v>
      </c>
      <c r="B25">
        <v>4200.67</v>
      </c>
      <c r="C25">
        <f t="shared" si="0"/>
        <v>-6.5885780637714442E-3</v>
      </c>
      <c r="D25">
        <f t="shared" si="1"/>
        <v>-3.6508769948756667E-2</v>
      </c>
      <c r="E25">
        <f t="shared" si="2"/>
        <v>2.9920191884985223E-2</v>
      </c>
      <c r="F25">
        <f t="shared" si="5"/>
        <v>1.8711128927682265E-2</v>
      </c>
      <c r="G25">
        <f t="shared" si="3"/>
        <v>1.5990586137600526</v>
      </c>
      <c r="H25">
        <f t="shared" si="4"/>
        <v>-2.1974327583247835</v>
      </c>
    </row>
    <row r="26" spans="1:8" x14ac:dyDescent="0.45">
      <c r="A26" s="2">
        <v>42408</v>
      </c>
      <c r="B26">
        <v>4066.31</v>
      </c>
      <c r="C26">
        <f t="shared" si="0"/>
        <v>-3.1985373761804659E-2</v>
      </c>
      <c r="D26">
        <f t="shared" si="1"/>
        <v>-1.8923111135588647E-2</v>
      </c>
      <c r="E26">
        <f t="shared" si="2"/>
        <v>-1.3062262626216011E-2</v>
      </c>
      <c r="F26">
        <f t="shared" si="5"/>
        <v>4.7323119602553497E-2</v>
      </c>
      <c r="G26">
        <f t="shared" si="3"/>
        <v>-0.27602285597230974</v>
      </c>
      <c r="H26">
        <f t="shared" si="4"/>
        <v>-0.95703284171422787</v>
      </c>
    </row>
    <row r="27" spans="1:8" x14ac:dyDescent="0.45">
      <c r="A27" s="2">
        <v>42409</v>
      </c>
      <c r="B27">
        <v>3997.54</v>
      </c>
      <c r="C27">
        <f t="shared" si="0"/>
        <v>-1.6912139015471062E-2</v>
      </c>
      <c r="D27">
        <f t="shared" si="1"/>
        <v>-4.2780464194249211E-2</v>
      </c>
      <c r="E27">
        <f t="shared" si="2"/>
        <v>2.586832517877815E-2</v>
      </c>
      <c r="F27">
        <f t="shared" si="5"/>
        <v>1.5664352903379284E-2</v>
      </c>
      <c r="G27">
        <f t="shared" si="3"/>
        <v>1.6514135846107982</v>
      </c>
      <c r="H27">
        <f t="shared" si="4"/>
        <v>-2.2825219469232154</v>
      </c>
    </row>
    <row r="28" spans="1:8" x14ac:dyDescent="0.45">
      <c r="A28" s="2">
        <v>42410</v>
      </c>
      <c r="B28">
        <v>4061.2</v>
      </c>
      <c r="C28">
        <f t="shared" si="0"/>
        <v>1.5924793748155031E-2</v>
      </c>
      <c r="D28">
        <f t="shared" si="1"/>
        <v>-4.7487062237042708E-2</v>
      </c>
      <c r="E28">
        <f t="shared" si="2"/>
        <v>6.3411855985197746E-2</v>
      </c>
      <c r="F28">
        <f t="shared" si="5"/>
        <v>4.875979861549435E-2</v>
      </c>
      <c r="G28">
        <f t="shared" si="3"/>
        <v>1.3004946243778666</v>
      </c>
      <c r="H28">
        <f t="shared" si="4"/>
        <v>-1.7645816672225367</v>
      </c>
    </row>
    <row r="29" spans="1:8" x14ac:dyDescent="0.45">
      <c r="A29" s="2">
        <v>42411</v>
      </c>
      <c r="B29">
        <v>3896.71</v>
      </c>
      <c r="C29">
        <f t="shared" si="0"/>
        <v>-4.0502807052102741E-2</v>
      </c>
      <c r="D29">
        <f t="shared" si="1"/>
        <v>3.6819873906218017E-3</v>
      </c>
      <c r="E29">
        <f t="shared" si="2"/>
        <v>-4.4184794442724544E-2</v>
      </c>
      <c r="F29">
        <f t="shared" si="5"/>
        <v>4.015310054208187E-2</v>
      </c>
      <c r="G29">
        <f t="shared" si="3"/>
        <v>-1.1004080344036524</v>
      </c>
      <c r="H29">
        <f t="shared" si="4"/>
        <v>-1.5243874542947276</v>
      </c>
    </row>
    <row r="30" spans="1:8" x14ac:dyDescent="0.45">
      <c r="A30" s="2">
        <v>42412</v>
      </c>
      <c r="B30">
        <v>3995.06</v>
      </c>
      <c r="C30">
        <f t="shared" si="0"/>
        <v>2.5239240282186826E-2</v>
      </c>
      <c r="D30">
        <f t="shared" si="1"/>
        <v>-3.2999399089423828E-2</v>
      </c>
      <c r="E30">
        <f t="shared" si="2"/>
        <v>5.8238639371610654E-2</v>
      </c>
      <c r="F30">
        <f t="shared" si="5"/>
        <v>3.4195939247255842E-2</v>
      </c>
      <c r="G30">
        <f t="shared" si="3"/>
        <v>1.7030864089011444</v>
      </c>
      <c r="H30">
        <f t="shared" si="4"/>
        <v>-2.3691901912965707</v>
      </c>
    </row>
    <row r="31" spans="1:8" x14ac:dyDescent="0.45">
      <c r="A31" s="2">
        <v>42415</v>
      </c>
      <c r="B31">
        <v>4115.25</v>
      </c>
      <c r="C31">
        <f t="shared" si="0"/>
        <v>3.0084654548367284E-2</v>
      </c>
      <c r="D31">
        <f t="shared" si="1"/>
        <v>-6.1162262468982924E-3</v>
      </c>
      <c r="E31">
        <f t="shared" si="2"/>
        <v>3.620088079526558E-2</v>
      </c>
      <c r="F31">
        <f t="shared" si="5"/>
        <v>5.0693636468904152E-2</v>
      </c>
      <c r="G31">
        <f t="shared" si="3"/>
        <v>0.71411094797808528</v>
      </c>
      <c r="H31">
        <f t="shared" si="4"/>
        <v>-1.1739157562157525</v>
      </c>
    </row>
    <row r="32" spans="1:8" x14ac:dyDescent="0.45">
      <c r="A32" s="2">
        <v>42416</v>
      </c>
      <c r="B32">
        <v>4110.66</v>
      </c>
      <c r="C32">
        <f t="shared" si="0"/>
        <v>-1.1153635866594236E-3</v>
      </c>
      <c r="D32">
        <f t="shared" si="1"/>
        <v>5.6852115842856182E-2</v>
      </c>
      <c r="E32">
        <f t="shared" si="2"/>
        <v>-5.7967479429515606E-2</v>
      </c>
      <c r="F32">
        <f t="shared" si="5"/>
        <v>2.5043931504983751E-2</v>
      </c>
      <c r="G32">
        <f t="shared" si="3"/>
        <v>-2.3146317669004985</v>
      </c>
      <c r="H32">
        <f t="shared" si="4"/>
        <v>-3.5976986413771348</v>
      </c>
    </row>
    <row r="33" spans="1:8" x14ac:dyDescent="0.45">
      <c r="A33" s="2">
        <v>42417</v>
      </c>
      <c r="B33">
        <v>4233.47</v>
      </c>
      <c r="C33">
        <f t="shared" si="0"/>
        <v>2.9875980986021844E-2</v>
      </c>
      <c r="D33">
        <f t="shared" si="1"/>
        <v>2.4956814889213589E-2</v>
      </c>
      <c r="E33">
        <f t="shared" si="2"/>
        <v>4.919166096808255E-3</v>
      </c>
      <c r="F33">
        <f t="shared" si="5"/>
        <v>6.7908283053272525E-2</v>
      </c>
      <c r="G33">
        <f t="shared" si="3"/>
        <v>7.2438381234720364E-2</v>
      </c>
      <c r="H33">
        <f t="shared" si="4"/>
        <v>-0.92156219274262596</v>
      </c>
    </row>
    <row r="34" spans="1:8" x14ac:dyDescent="0.45">
      <c r="A34" s="2">
        <v>42418</v>
      </c>
      <c r="B34">
        <v>4239.76</v>
      </c>
      <c r="C34">
        <f t="shared" si="0"/>
        <v>1.485778805566218E-3</v>
      </c>
      <c r="D34">
        <f t="shared" si="1"/>
        <v>3.3616737478034162E-2</v>
      </c>
      <c r="E34">
        <f t="shared" si="2"/>
        <v>-3.2130958672467944E-2</v>
      </c>
      <c r="F34">
        <f t="shared" si="5"/>
        <v>1.7455087739409479E-2</v>
      </c>
      <c r="G34">
        <f t="shared" si="3"/>
        <v>-1.840778983878941</v>
      </c>
      <c r="H34">
        <f t="shared" si="4"/>
        <v>-2.613172166949866</v>
      </c>
    </row>
    <row r="35" spans="1:8" x14ac:dyDescent="0.45">
      <c r="A35" s="2">
        <v>42419</v>
      </c>
      <c r="B35">
        <v>4223.04</v>
      </c>
      <c r="C35">
        <f t="shared" si="0"/>
        <v>-3.9436194501576427E-3</v>
      </c>
      <c r="D35">
        <f t="shared" si="1"/>
        <v>2.7786307308497942E-2</v>
      </c>
      <c r="E35">
        <f t="shared" si="2"/>
        <v>-3.1729926758655588E-2</v>
      </c>
      <c r="F35">
        <f t="shared" si="5"/>
        <v>5.4197175012589041E-2</v>
      </c>
      <c r="G35">
        <f t="shared" si="3"/>
        <v>-0.58545351766554787</v>
      </c>
      <c r="H35">
        <f t="shared" si="4"/>
        <v>-1.0903164438781547</v>
      </c>
    </row>
    <row r="36" spans="1:8" x14ac:dyDescent="0.45">
      <c r="A36" s="2">
        <v>42422</v>
      </c>
      <c r="B36">
        <v>4298.7</v>
      </c>
      <c r="C36">
        <f t="shared" si="0"/>
        <v>1.7916003637190148E-2</v>
      </c>
      <c r="D36">
        <f t="shared" si="1"/>
        <v>-3.2695432207640266E-3</v>
      </c>
      <c r="E36">
        <f t="shared" si="2"/>
        <v>2.1185546857954173E-2</v>
      </c>
      <c r="F36">
        <f t="shared" si="5"/>
        <v>2.2468951377162729E-2</v>
      </c>
      <c r="G36">
        <f t="shared" si="3"/>
        <v>0.94288097839256535</v>
      </c>
      <c r="H36">
        <f t="shared" si="4"/>
        <v>-1.3634508029119332</v>
      </c>
    </row>
    <row r="37" spans="1:8" x14ac:dyDescent="0.45">
      <c r="A37" s="2">
        <v>42423</v>
      </c>
      <c r="B37">
        <v>4238.42</v>
      </c>
      <c r="C37">
        <f t="shared" si="0"/>
        <v>-1.4022844115662791E-2</v>
      </c>
      <c r="D37">
        <f t="shared" si="1"/>
        <v>1.7302106100762424E-2</v>
      </c>
      <c r="E37">
        <f t="shared" si="2"/>
        <v>-3.1324950216425215E-2</v>
      </c>
      <c r="F37">
        <f t="shared" si="5"/>
        <v>2.9030269182886648E-2</v>
      </c>
      <c r="G37">
        <f t="shared" si="3"/>
        <v>-1.079044428388948</v>
      </c>
      <c r="H37">
        <f t="shared" si="4"/>
        <v>-1.5011069724232884</v>
      </c>
    </row>
    <row r="38" spans="1:8" x14ac:dyDescent="0.45">
      <c r="A38" s="2">
        <v>42424</v>
      </c>
      <c r="B38">
        <v>4155.34</v>
      </c>
      <c r="C38">
        <f t="shared" si="0"/>
        <v>-1.9601644008852337E-2</v>
      </c>
      <c r="D38">
        <f t="shared" si="1"/>
        <v>-6.0409619580378479E-4</v>
      </c>
      <c r="E38">
        <f t="shared" si="2"/>
        <v>-1.8997547813048552E-2</v>
      </c>
      <c r="F38">
        <f t="shared" si="5"/>
        <v>3.3038425671923104E-2</v>
      </c>
      <c r="G38">
        <f t="shared" si="3"/>
        <v>-0.57501371287171088</v>
      </c>
      <c r="H38">
        <f t="shared" si="4"/>
        <v>-1.0842589181999278</v>
      </c>
    </row>
    <row r="39" spans="1:8" x14ac:dyDescent="0.45">
      <c r="A39" s="2">
        <v>42425</v>
      </c>
      <c r="B39">
        <v>4248.45</v>
      </c>
      <c r="C39">
        <f t="shared" si="0"/>
        <v>2.2407312037041383E-2</v>
      </c>
      <c r="D39">
        <f t="shared" si="1"/>
        <v>-3.4929032079923747E-2</v>
      </c>
      <c r="E39">
        <f t="shared" si="2"/>
        <v>5.7336344116965129E-2</v>
      </c>
      <c r="F39">
        <f t="shared" si="5"/>
        <v>2.0050433897084774E-2</v>
      </c>
      <c r="G39">
        <f t="shared" si="3"/>
        <v>2.8596061517302891</v>
      </c>
      <c r="H39">
        <f t="shared" si="4"/>
        <v>-5.0076122047115295</v>
      </c>
    </row>
    <row r="40" spans="1:8" x14ac:dyDescent="0.45">
      <c r="A40" s="2">
        <v>42426</v>
      </c>
      <c r="B40">
        <v>4314.57</v>
      </c>
      <c r="C40">
        <f t="shared" si="0"/>
        <v>1.5563323094304859E-2</v>
      </c>
      <c r="D40">
        <f t="shared" si="1"/>
        <v>8.840798268357531E-3</v>
      </c>
      <c r="E40">
        <f t="shared" si="2"/>
        <v>6.7225248259473284E-3</v>
      </c>
      <c r="F40">
        <f t="shared" si="5"/>
        <v>8.3514266847981661E-2</v>
      </c>
      <c r="G40">
        <f t="shared" si="3"/>
        <v>8.0495525850500779E-2</v>
      </c>
      <c r="H40">
        <f t="shared" si="4"/>
        <v>-0.92217829804564699</v>
      </c>
    </row>
    <row r="41" spans="1:8" x14ac:dyDescent="0.45">
      <c r="A41" s="2">
        <v>42429</v>
      </c>
      <c r="B41">
        <v>4353.55</v>
      </c>
      <c r="C41">
        <f t="shared" si="0"/>
        <v>9.0345040177817193E-3</v>
      </c>
      <c r="D41">
        <f t="shared" si="1"/>
        <v>3.7568791294432261E-2</v>
      </c>
      <c r="E41">
        <f t="shared" si="2"/>
        <v>-2.8534287276650541E-2</v>
      </c>
      <c r="F41">
        <f t="shared" si="5"/>
        <v>2.0598819159351085E-2</v>
      </c>
      <c r="G41">
        <f t="shared" si="3"/>
        <v>-1.3852389817062427</v>
      </c>
      <c r="H41">
        <f t="shared" si="4"/>
        <v>-1.8783820514239467</v>
      </c>
    </row>
    <row r="42" spans="1:8" x14ac:dyDescent="0.45">
      <c r="A42" s="2">
        <v>42430</v>
      </c>
      <c r="B42">
        <v>4406.84</v>
      </c>
      <c r="C42">
        <f t="shared" si="0"/>
        <v>1.2240585269492676E-2</v>
      </c>
      <c r="D42">
        <f t="shared" si="1"/>
        <v>2.4038622118619492E-2</v>
      </c>
      <c r="E42">
        <f t="shared" si="2"/>
        <v>-1.1798036849126815E-2</v>
      </c>
      <c r="F42">
        <f t="shared" si="5"/>
        <v>4.1302502548030688E-2</v>
      </c>
      <c r="G42">
        <f t="shared" si="3"/>
        <v>-0.28564944304299422</v>
      </c>
      <c r="H42">
        <f t="shared" si="4"/>
        <v>-0.95973633536005909</v>
      </c>
    </row>
    <row r="43" spans="1:8" x14ac:dyDescent="0.45">
      <c r="A43" s="2">
        <v>42431</v>
      </c>
      <c r="B43">
        <v>4424.8900000000003</v>
      </c>
      <c r="C43">
        <f t="shared" si="0"/>
        <v>4.0959054560638641E-3</v>
      </c>
      <c r="D43">
        <f t="shared" si="1"/>
        <v>2.2054321518360148E-2</v>
      </c>
      <c r="E43">
        <f t="shared" si="2"/>
        <v>-1.7958416062296284E-2</v>
      </c>
      <c r="F43">
        <f t="shared" si="5"/>
        <v>1.4938095856610245E-2</v>
      </c>
      <c r="G43">
        <f t="shared" si="3"/>
        <v>-1.2021891032617467</v>
      </c>
      <c r="H43">
        <f t="shared" si="4"/>
        <v>-1.641567853205314</v>
      </c>
    </row>
    <row r="44" spans="1:8" x14ac:dyDescent="0.45">
      <c r="A44" s="2">
        <v>42432</v>
      </c>
      <c r="B44">
        <v>4416.08</v>
      </c>
      <c r="C44">
        <f t="shared" si="0"/>
        <v>-1.9910099460100916E-3</v>
      </c>
      <c r="D44">
        <f t="shared" si="1"/>
        <v>1.5421791110108475E-2</v>
      </c>
      <c r="E44">
        <f t="shared" si="2"/>
        <v>-1.7412801056118567E-2</v>
      </c>
      <c r="F44">
        <f t="shared" si="5"/>
        <v>3.6013726896891821E-2</v>
      </c>
      <c r="G44">
        <f t="shared" si="3"/>
        <v>-0.48350455663674691</v>
      </c>
      <c r="H44">
        <f t="shared" si="4"/>
        <v>-1.0358268613489212</v>
      </c>
    </row>
    <row r="45" spans="1:8" x14ac:dyDescent="0.45">
      <c r="A45" s="2">
        <v>42433</v>
      </c>
      <c r="B45">
        <v>4456.62</v>
      </c>
      <c r="C45">
        <f t="shared" si="0"/>
        <v>9.1800873172587227E-3</v>
      </c>
      <c r="D45">
        <f t="shared" si="1"/>
        <v>1.2684273726421709E-3</v>
      </c>
      <c r="E45">
        <f t="shared" si="2"/>
        <v>7.9116599446165514E-3</v>
      </c>
      <c r="F45">
        <f t="shared" si="5"/>
        <v>1.8187012823657048E-2</v>
      </c>
      <c r="G45">
        <f t="shared" si="3"/>
        <v>0.43501701028798601</v>
      </c>
      <c r="H45">
        <f t="shared" si="4"/>
        <v>-1.0135584328246214</v>
      </c>
    </row>
    <row r="46" spans="1:8" x14ac:dyDescent="0.45">
      <c r="A46" s="2">
        <v>42436</v>
      </c>
      <c r="B46">
        <v>4442.29</v>
      </c>
      <c r="C46">
        <f t="shared" si="0"/>
        <v>-3.2154412985625491E-3</v>
      </c>
      <c r="D46">
        <f t="shared" si="1"/>
        <v>8.8914278463892351E-3</v>
      </c>
      <c r="E46">
        <f t="shared" si="2"/>
        <v>-1.2106869144951784E-2</v>
      </c>
      <c r="F46">
        <f t="shared" si="5"/>
        <v>1.5645295934117846E-2</v>
      </c>
      <c r="G46">
        <f t="shared" si="3"/>
        <v>-0.7738344609097626</v>
      </c>
      <c r="H46">
        <f t="shared" si="4"/>
        <v>-1.2183484196504242</v>
      </c>
    </row>
    <row r="47" spans="1:8" x14ac:dyDescent="0.45">
      <c r="A47" s="2">
        <v>42437</v>
      </c>
      <c r="B47">
        <v>4404.0200000000004</v>
      </c>
      <c r="C47">
        <f t="shared" si="0"/>
        <v>-8.6149260854198051E-3</v>
      </c>
      <c r="D47">
        <f t="shared" si="1"/>
        <v>4.2866336857540748E-3</v>
      </c>
      <c r="E47">
        <f t="shared" si="2"/>
        <v>-1.290155977117388E-2</v>
      </c>
      <c r="F47">
        <f t="shared" si="5"/>
        <v>2.4193825182441567E-2</v>
      </c>
      <c r="G47">
        <f t="shared" si="3"/>
        <v>-0.53325836959990358</v>
      </c>
      <c r="H47">
        <f t="shared" si="4"/>
        <v>-1.0611207775788463</v>
      </c>
    </row>
    <row r="48" spans="1:8" x14ac:dyDescent="0.45">
      <c r="A48" s="2">
        <v>42438</v>
      </c>
      <c r="B48">
        <v>4425.6499999999996</v>
      </c>
      <c r="C48">
        <f t="shared" si="0"/>
        <v>4.9114218373211838E-3</v>
      </c>
      <c r="D48">
        <f t="shared" si="1"/>
        <v>-1.2779602288225391E-2</v>
      </c>
      <c r="E48">
        <f t="shared" si="2"/>
        <v>1.7691024125546573E-2</v>
      </c>
      <c r="F48">
        <f t="shared" si="5"/>
        <v>1.8375248191071034E-2</v>
      </c>
      <c r="G48">
        <f t="shared" si="3"/>
        <v>0.96276381911092002</v>
      </c>
      <c r="H48">
        <f t="shared" si="4"/>
        <v>-1.3823956188991948</v>
      </c>
    </row>
    <row r="49" spans="1:8" x14ac:dyDescent="0.45">
      <c r="A49" s="2">
        <v>42439</v>
      </c>
      <c r="B49">
        <v>4350.3500000000004</v>
      </c>
      <c r="C49">
        <f t="shared" si="0"/>
        <v>-1.7014449854823477E-2</v>
      </c>
      <c r="D49">
        <f t="shared" si="1"/>
        <v>-1.8299682748664789E-3</v>
      </c>
      <c r="E49">
        <f t="shared" si="2"/>
        <v>-1.5184481579956999E-2</v>
      </c>
      <c r="F49">
        <f t="shared" si="5"/>
        <v>2.9432460804611534E-2</v>
      </c>
      <c r="G49">
        <f t="shared" si="3"/>
        <v>-0.51590934515328957</v>
      </c>
      <c r="H49">
        <f t="shared" si="4"/>
        <v>-1.0520197594129206</v>
      </c>
    </row>
    <row r="50" spans="1:8" x14ac:dyDescent="0.45">
      <c r="A50" s="2">
        <v>42440</v>
      </c>
      <c r="B50">
        <v>4492.79</v>
      </c>
      <c r="C50">
        <f t="shared" si="0"/>
        <v>3.2742193156872323E-2</v>
      </c>
      <c r="D50">
        <f t="shared" si="1"/>
        <v>-1.5413918451706209E-2</v>
      </c>
      <c r="E50">
        <f t="shared" si="2"/>
        <v>4.8156111608578536E-2</v>
      </c>
      <c r="F50">
        <f t="shared" si="5"/>
        <v>1.8341797983375041E-2</v>
      </c>
      <c r="G50">
        <f t="shared" si="3"/>
        <v>2.6254847890172552</v>
      </c>
      <c r="H50">
        <f t="shared" si="4"/>
        <v>-4.3655237218851628</v>
      </c>
    </row>
    <row r="51" spans="1:8" x14ac:dyDescent="0.45">
      <c r="A51" s="2">
        <v>42443</v>
      </c>
      <c r="B51">
        <v>4506.59</v>
      </c>
      <c r="C51">
        <f t="shared" si="0"/>
        <v>3.0715880332712331E-3</v>
      </c>
      <c r="D51">
        <f t="shared" si="1"/>
        <v>2.3063602104365862E-2</v>
      </c>
      <c r="E51">
        <f t="shared" si="2"/>
        <v>-1.9992014071094629E-2</v>
      </c>
      <c r="F51">
        <f t="shared" si="5"/>
        <v>7.6746441135892629E-2</v>
      </c>
      <c r="G51">
        <f t="shared" si="3"/>
        <v>-0.260494347036827</v>
      </c>
      <c r="H51">
        <f t="shared" si="4"/>
        <v>-0.95286718562374406</v>
      </c>
    </row>
    <row r="52" spans="1:8" x14ac:dyDescent="0.45">
      <c r="A52" s="2">
        <v>42444</v>
      </c>
      <c r="B52">
        <v>4472.63</v>
      </c>
      <c r="C52">
        <f t="shared" si="0"/>
        <v>-7.5356311534885423E-3</v>
      </c>
      <c r="D52">
        <f t="shared" si="1"/>
        <v>3.2123031896779133E-2</v>
      </c>
      <c r="E52">
        <f t="shared" si="2"/>
        <v>-3.9658663050267676E-2</v>
      </c>
      <c r="F52">
        <f t="shared" si="5"/>
        <v>2.0531962292474851E-2</v>
      </c>
      <c r="G52">
        <f t="shared" si="3"/>
        <v>-1.9315573682308453</v>
      </c>
      <c r="H52">
        <f t="shared" si="4"/>
        <v>-2.7843954665881077</v>
      </c>
    </row>
    <row r="53" spans="1:8" x14ac:dyDescent="0.45">
      <c r="A53" s="2">
        <v>42445</v>
      </c>
      <c r="B53">
        <v>4463</v>
      </c>
      <c r="C53">
        <f t="shared" si="0"/>
        <v>-2.1530956059410133E-3</v>
      </c>
      <c r="D53">
        <f t="shared" si="1"/>
        <v>-6.0447271795616552E-3</v>
      </c>
      <c r="E53">
        <f t="shared" si="2"/>
        <v>3.8916315736206419E-3</v>
      </c>
      <c r="F53">
        <f t="shared" si="5"/>
        <v>5.6846743431594723E-2</v>
      </c>
      <c r="G53">
        <f t="shared" si="3"/>
        <v>6.8458302775136995E-2</v>
      </c>
      <c r="H53">
        <f t="shared" si="4"/>
        <v>-0.92128180281409888</v>
      </c>
    </row>
    <row r="54" spans="1:8" x14ac:dyDescent="0.45">
      <c r="A54" s="2">
        <v>42446</v>
      </c>
      <c r="B54">
        <v>4442.8900000000003</v>
      </c>
      <c r="C54">
        <f t="shared" si="0"/>
        <v>-4.5059377100604703E-3</v>
      </c>
      <c r="D54">
        <f t="shared" si="1"/>
        <v>-9.0674780561218575E-3</v>
      </c>
      <c r="E54">
        <f t="shared" si="2"/>
        <v>4.5615403460613872E-3</v>
      </c>
      <c r="F54">
        <f t="shared" si="5"/>
        <v>1.532816064140769E-2</v>
      </c>
      <c r="G54">
        <f t="shared" si="3"/>
        <v>0.2975921542561854</v>
      </c>
      <c r="H54">
        <f t="shared" si="4"/>
        <v>-0.96321907834209131</v>
      </c>
    </row>
    <row r="55" spans="1:8" x14ac:dyDescent="0.45">
      <c r="A55" s="2">
        <v>42447</v>
      </c>
      <c r="B55">
        <v>4462.51</v>
      </c>
      <c r="C55">
        <f t="shared" si="0"/>
        <v>4.4160445115679625E-3</v>
      </c>
      <c r="D55">
        <f t="shared" si="1"/>
        <v>-7.0954184828434224E-3</v>
      </c>
      <c r="E55">
        <f t="shared" si="2"/>
        <v>1.1511462994411385E-2</v>
      </c>
      <c r="F55">
        <f t="shared" si="5"/>
        <v>1.2457590245133805E-2</v>
      </c>
      <c r="G55">
        <f t="shared" si="3"/>
        <v>0.92405214555102289</v>
      </c>
      <c r="H55">
        <f t="shared" si="4"/>
        <v>-1.3458747170533971</v>
      </c>
    </row>
    <row r="56" spans="1:8" x14ac:dyDescent="0.45">
      <c r="A56" s="2">
        <v>42450</v>
      </c>
      <c r="B56">
        <v>4427.8</v>
      </c>
      <c r="C56">
        <f t="shared" si="0"/>
        <v>-7.7781338305124015E-3</v>
      </c>
      <c r="D56">
        <f t="shared" si="1"/>
        <v>1.1814898315334089E-3</v>
      </c>
      <c r="E56">
        <f t="shared" si="2"/>
        <v>-8.9596236620458104E-3</v>
      </c>
      <c r="F56">
        <f t="shared" si="5"/>
        <v>2.8206542893576159E-2</v>
      </c>
      <c r="G56">
        <f t="shared" si="3"/>
        <v>-0.31764345229582536</v>
      </c>
      <c r="H56">
        <f t="shared" si="4"/>
        <v>-0.9693872145978778</v>
      </c>
    </row>
    <row r="57" spans="1:8" x14ac:dyDescent="0.45">
      <c r="A57" s="2">
        <v>42451</v>
      </c>
      <c r="B57">
        <v>4431.97</v>
      </c>
      <c r="C57">
        <f t="shared" si="0"/>
        <v>9.4177695469532807E-4</v>
      </c>
      <c r="D57">
        <f t="shared" si="1"/>
        <v>-5.1524853006978634E-3</v>
      </c>
      <c r="E57">
        <f t="shared" si="2"/>
        <v>6.0942622553931914E-3</v>
      </c>
      <c r="F57">
        <f t="shared" si="5"/>
        <v>1.3918192687241825E-2</v>
      </c>
      <c r="G57">
        <f t="shared" si="3"/>
        <v>0.43786304675746618</v>
      </c>
      <c r="H57">
        <f t="shared" si="4"/>
        <v>-1.0148005570625382</v>
      </c>
    </row>
    <row r="58" spans="1:8" x14ac:dyDescent="0.45">
      <c r="A58" s="2">
        <v>42452</v>
      </c>
      <c r="B58">
        <v>4423.9799999999996</v>
      </c>
      <c r="C58">
        <f t="shared" si="0"/>
        <v>-1.8028100370717226E-3</v>
      </c>
      <c r="D58">
        <f t="shared" si="1"/>
        <v>-5.695868962914903E-3</v>
      </c>
      <c r="E58">
        <f t="shared" si="2"/>
        <v>3.8930589258431804E-3</v>
      </c>
      <c r="F58">
        <f t="shared" si="5"/>
        <v>1.5491581502153772E-2</v>
      </c>
      <c r="G58">
        <f t="shared" si="3"/>
        <v>0.25130158113953271</v>
      </c>
      <c r="H58">
        <f t="shared" si="4"/>
        <v>-0.95051477554628727</v>
      </c>
    </row>
    <row r="59" spans="1:8" x14ac:dyDescent="0.45">
      <c r="A59" s="2">
        <v>42453</v>
      </c>
      <c r="B59">
        <v>4329.68</v>
      </c>
      <c r="C59">
        <f t="shared" si="0"/>
        <v>-2.1315647900758905E-2</v>
      </c>
      <c r="D59">
        <f t="shared" si="1"/>
        <v>-1.2655820807137008E-3</v>
      </c>
      <c r="E59">
        <f t="shared" si="2"/>
        <v>-2.0050065820045204E-2</v>
      </c>
      <c r="F59">
        <f t="shared" si="5"/>
        <v>1.1577967650215522E-2</v>
      </c>
      <c r="G59">
        <f t="shared" si="3"/>
        <v>-1.7317431198446971</v>
      </c>
      <c r="H59">
        <f t="shared" si="4"/>
        <v>-2.4184056497693951</v>
      </c>
    </row>
    <row r="60" spans="1:8" x14ac:dyDescent="0.45">
      <c r="A60" s="2">
        <v>42458</v>
      </c>
      <c r="B60">
        <v>4366.67</v>
      </c>
      <c r="C60">
        <f t="shared" si="0"/>
        <v>8.5433565529091648E-3</v>
      </c>
      <c r="D60">
        <f t="shared" si="1"/>
        <v>-2.6251778566608583E-2</v>
      </c>
      <c r="E60">
        <f t="shared" si="2"/>
        <v>3.4795135119517748E-2</v>
      </c>
      <c r="F60">
        <f t="shared" si="5"/>
        <v>5.0997738707184194E-2</v>
      </c>
      <c r="G60">
        <f t="shared" si="3"/>
        <v>0.68228780337305539</v>
      </c>
      <c r="H60">
        <f t="shared" si="4"/>
        <v>-1.1516968565204873</v>
      </c>
    </row>
    <row r="61" spans="1:8" x14ac:dyDescent="0.45">
      <c r="A61" s="2">
        <v>42459</v>
      </c>
      <c r="B61">
        <v>4444.42</v>
      </c>
      <c r="C61">
        <f t="shared" si="0"/>
        <v>1.7805329919595492E-2</v>
      </c>
      <c r="D61">
        <f t="shared" si="1"/>
        <v>-8.70606532266756E-3</v>
      </c>
      <c r="E61">
        <f t="shared" si="2"/>
        <v>2.651139524226305E-2</v>
      </c>
      <c r="F61">
        <f t="shared" si="5"/>
        <v>2.4317323202736118E-2</v>
      </c>
      <c r="G61">
        <f t="shared" si="3"/>
        <v>1.0902267088048598</v>
      </c>
      <c r="H61">
        <f t="shared" si="4"/>
        <v>-1.5132356715004109</v>
      </c>
    </row>
    <row r="62" spans="1:8" x14ac:dyDescent="0.45">
      <c r="A62" s="2">
        <v>42460</v>
      </c>
      <c r="B62">
        <v>4385.0600000000004</v>
      </c>
      <c r="C62">
        <f t="shared" si="0"/>
        <v>-1.335607345840395E-2</v>
      </c>
      <c r="D62">
        <f t="shared" si="1"/>
        <v>2.8068566700549618E-2</v>
      </c>
      <c r="E62">
        <f t="shared" si="2"/>
        <v>-4.1424640158953571E-2</v>
      </c>
      <c r="F62">
        <f t="shared" si="5"/>
        <v>3.3156376358401803E-2</v>
      </c>
      <c r="G62">
        <f t="shared" si="3"/>
        <v>-1.2493717561646811</v>
      </c>
      <c r="H62">
        <f t="shared" si="4"/>
        <v>-1.6994034257556825</v>
      </c>
    </row>
    <row r="63" spans="1:8" x14ac:dyDescent="0.45">
      <c r="A63" s="2">
        <v>42461</v>
      </c>
      <c r="B63">
        <v>4322.24</v>
      </c>
      <c r="C63">
        <f t="shared" si="0"/>
        <v>-1.432591572293207E-2</v>
      </c>
      <c r="D63">
        <f t="shared" si="1"/>
        <v>7.1318470817219315E-5</v>
      </c>
      <c r="E63">
        <f t="shared" si="2"/>
        <v>-1.4397234193749289E-2</v>
      </c>
      <c r="F63">
        <f t="shared" si="5"/>
        <v>3.7925723886675776E-2</v>
      </c>
      <c r="G63">
        <f t="shared" si="3"/>
        <v>-0.37961659576410578</v>
      </c>
      <c r="H63">
        <f t="shared" si="4"/>
        <v>-0.99099291309443693</v>
      </c>
    </row>
    <row r="64" spans="1:8" x14ac:dyDescent="0.45">
      <c r="A64" s="2">
        <v>42464</v>
      </c>
      <c r="B64">
        <v>4345.22</v>
      </c>
      <c r="C64">
        <f t="shared" si="0"/>
        <v>5.3166876434442845E-3</v>
      </c>
      <c r="D64">
        <f t="shared" si="1"/>
        <v>-2.8239148102473393E-2</v>
      </c>
      <c r="E64">
        <f t="shared" si="2"/>
        <v>3.3555835745917681E-2</v>
      </c>
      <c r="F64">
        <f t="shared" si="5"/>
        <v>1.6197487644540702E-2</v>
      </c>
      <c r="G64">
        <f>E64/F64</f>
        <v>2.07166916760869</v>
      </c>
      <c r="H64">
        <f>-(G64^2)/2-LN(2*PI())/2</f>
        <v>-3.064845103214914</v>
      </c>
    </row>
    <row r="65" spans="1:8" x14ac:dyDescent="0.45">
      <c r="A65" s="2">
        <v>42466</v>
      </c>
      <c r="B65">
        <v>4284.6400000000003</v>
      </c>
      <c r="C65">
        <f t="shared" si="0"/>
        <v>-1.3941756688959361E-2</v>
      </c>
      <c r="D65">
        <f t="shared" si="1"/>
        <v>-6.3434647589449824E-3</v>
      </c>
      <c r="E65">
        <f t="shared" si="2"/>
        <v>-7.5982919300143789E-3</v>
      </c>
      <c r="F65">
        <f t="shared" si="5"/>
        <v>6.0793588809690893E-2</v>
      </c>
      <c r="G65">
        <f t="shared" si="3"/>
        <v>-0.1249850860721544</v>
      </c>
      <c r="H65">
        <f t="shared" si="4"/>
        <v>-0.92674916907490457</v>
      </c>
    </row>
    <row r="66" spans="1:8" x14ac:dyDescent="0.45">
      <c r="A66" s="2">
        <v>42467</v>
      </c>
      <c r="B66">
        <v>4245.91</v>
      </c>
      <c r="C66">
        <f t="shared" si="0"/>
        <v>-9.0392658426380335E-3</v>
      </c>
      <c r="D66">
        <f t="shared" si="1"/>
        <v>-1.1502825297301567E-2</v>
      </c>
      <c r="E66">
        <f t="shared" si="2"/>
        <v>2.4635594546635331E-3</v>
      </c>
      <c r="F66">
        <f t="shared" si="5"/>
        <v>1.6354252801142787E-2</v>
      </c>
      <c r="G66">
        <f t="shared" si="3"/>
        <v>0.15063723696941916</v>
      </c>
      <c r="H66">
        <f t="shared" si="4"/>
        <v>-0.9302843217855632</v>
      </c>
    </row>
    <row r="67" spans="1:8" x14ac:dyDescent="0.45">
      <c r="A67" s="2">
        <v>42468</v>
      </c>
      <c r="B67">
        <v>4303.12</v>
      </c>
      <c r="C67">
        <f t="shared" si="0"/>
        <v>1.3474143352072865E-2</v>
      </c>
      <c r="D67">
        <f t="shared" si="1"/>
        <v>-2.2629356237030929E-2</v>
      </c>
      <c r="E67">
        <f t="shared" si="2"/>
        <v>3.6103499589103791E-2</v>
      </c>
      <c r="F67">
        <f t="shared" si="5"/>
        <v>1.0067694964211584E-2</v>
      </c>
      <c r="G67">
        <f t="shared" si="3"/>
        <v>3.5860740435068506</v>
      </c>
      <c r="H67">
        <f t="shared" si="4"/>
        <v>-7.3489020559614584</v>
      </c>
    </row>
    <row r="68" spans="1:8" x14ac:dyDescent="0.45">
      <c r="A68" s="2">
        <v>42471</v>
      </c>
      <c r="B68">
        <v>4312.63</v>
      </c>
      <c r="C68">
        <f t="shared" ref="C68:C131" si="6">B68/B67-1</f>
        <v>2.2100243544218579E-3</v>
      </c>
      <c r="D68">
        <f t="shared" si="1"/>
        <v>7.713568057992462E-3</v>
      </c>
      <c r="E68">
        <f t="shared" si="2"/>
        <v>-5.5035437035706042E-3</v>
      </c>
      <c r="F68">
        <f t="shared" si="5"/>
        <v>0.10441479276435255</v>
      </c>
      <c r="G68">
        <f t="shared" si="3"/>
        <v>-5.2708467429430431E-2</v>
      </c>
      <c r="H68">
        <f t="shared" si="4"/>
        <v>-0.92032762447405236</v>
      </c>
    </row>
    <row r="69" spans="1:8" x14ac:dyDescent="0.45">
      <c r="A69" s="2">
        <v>42472</v>
      </c>
      <c r="B69">
        <v>4345.91</v>
      </c>
      <c r="C69">
        <f t="shared" si="6"/>
        <v>7.7168688248236972E-3</v>
      </c>
      <c r="D69">
        <f t="shared" si="1"/>
        <v>1.4314603123644097E-2</v>
      </c>
      <c r="E69">
        <f t="shared" si="2"/>
        <v>-6.5977342988203999E-3</v>
      </c>
      <c r="F69">
        <f t="shared" si="5"/>
        <v>2.4865937420092077E-2</v>
      </c>
      <c r="G69">
        <f t="shared" si="3"/>
        <v>-0.26533221681356461</v>
      </c>
      <c r="H69">
        <f t="shared" si="4"/>
        <v>-0.95413912584427285</v>
      </c>
    </row>
    <row r="70" spans="1:8" x14ac:dyDescent="0.45">
      <c r="A70" s="2">
        <v>42473</v>
      </c>
      <c r="B70">
        <v>4490.3100000000004</v>
      </c>
      <c r="C70">
        <f t="shared" si="6"/>
        <v>3.3226642981562193E-2</v>
      </c>
      <c r="D70">
        <f t="shared" ref="D70:D133" si="7">SUMPRODUCT(C68:C69,$O$8:$O$9)</f>
        <v>1.0862645020806144E-2</v>
      </c>
      <c r="E70">
        <f t="shared" ref="E70:E133" si="8">C70-D70</f>
        <v>2.2363997960756048E-2</v>
      </c>
      <c r="F70">
        <f t="shared" si="5"/>
        <v>1.2615052401187965E-2</v>
      </c>
      <c r="G70">
        <f t="shared" ref="G70:G133" si="9">E70/F70</f>
        <v>1.7728026209903036</v>
      </c>
      <c r="H70">
        <f t="shared" ref="H70:H133" si="10">-(G70^2)/2-LN(2*PI())/2</f>
        <v>-2.4903530996997176</v>
      </c>
    </row>
    <row r="71" spans="1:8" x14ac:dyDescent="0.45">
      <c r="A71" s="2">
        <v>42474</v>
      </c>
      <c r="B71">
        <v>4511.51</v>
      </c>
      <c r="C71">
        <f t="shared" si="6"/>
        <v>4.7212775955334241E-3</v>
      </c>
      <c r="D71">
        <f t="shared" si="7"/>
        <v>4.520199056519749E-2</v>
      </c>
      <c r="E71">
        <f t="shared" si="8"/>
        <v>-4.0480712969664066E-2</v>
      </c>
      <c r="F71">
        <f t="shared" ref="F71:F134" si="11">SQRT($O$4+$O$5*F70^2+$O$6*G70^2)</f>
        <v>5.2184225048682392E-2</v>
      </c>
      <c r="G71">
        <f t="shared" si="9"/>
        <v>-0.77572701198302396</v>
      </c>
      <c r="H71">
        <f t="shared" si="10"/>
        <v>-1.2198147317647279</v>
      </c>
    </row>
    <row r="72" spans="1:8" x14ac:dyDescent="0.45">
      <c r="A72" s="2">
        <v>42475</v>
      </c>
      <c r="B72">
        <v>4495.17</v>
      </c>
      <c r="C72">
        <f t="shared" si="6"/>
        <v>-3.621847230749875E-3</v>
      </c>
      <c r="D72">
        <f t="shared" si="7"/>
        <v>3.445568363010728E-2</v>
      </c>
      <c r="E72">
        <f t="shared" si="8"/>
        <v>-3.8077530860857155E-2</v>
      </c>
      <c r="F72">
        <f t="shared" si="11"/>
        <v>2.6686919540118873E-2</v>
      </c>
      <c r="G72">
        <f t="shared" si="9"/>
        <v>-1.4268237592433475</v>
      </c>
      <c r="H72">
        <f t="shared" si="10"/>
        <v>-1.9368515531753316</v>
      </c>
    </row>
    <row r="73" spans="1:8" x14ac:dyDescent="0.45">
      <c r="A73" s="2">
        <v>42478</v>
      </c>
      <c r="B73">
        <v>4506.84</v>
      </c>
      <c r="C73">
        <f t="shared" si="6"/>
        <v>2.5961198352899562E-3</v>
      </c>
      <c r="D73">
        <f t="shared" si="7"/>
        <v>-7.4103643865024507E-5</v>
      </c>
      <c r="E73">
        <f t="shared" si="8"/>
        <v>2.6702234791549807E-3</v>
      </c>
      <c r="F73">
        <f t="shared" si="11"/>
        <v>4.2647522201674538E-2</v>
      </c>
      <c r="G73">
        <f t="shared" si="9"/>
        <v>6.2611456452917574E-2</v>
      </c>
      <c r="H73">
        <f t="shared" si="10"/>
        <v>-0.92089863044425047</v>
      </c>
    </row>
    <row r="74" spans="1:8" x14ac:dyDescent="0.45">
      <c r="A74" s="2">
        <v>42479</v>
      </c>
      <c r="B74">
        <v>4566.4799999999996</v>
      </c>
      <c r="C74">
        <f t="shared" si="6"/>
        <v>1.3233218840695393E-2</v>
      </c>
      <c r="D74">
        <f t="shared" si="7"/>
        <v>-1.5423737682996935E-4</v>
      </c>
      <c r="E74">
        <f t="shared" si="8"/>
        <v>1.3387456217525363E-2</v>
      </c>
      <c r="F74">
        <f t="shared" si="11"/>
        <v>1.278310729685259E-2</v>
      </c>
      <c r="G74">
        <f t="shared" si="9"/>
        <v>1.0472771530926268</v>
      </c>
      <c r="H74">
        <f t="shared" si="10"/>
        <v>-1.4673332508995713</v>
      </c>
    </row>
    <row r="75" spans="1:8" x14ac:dyDescent="0.45">
      <c r="A75" s="2">
        <v>42480</v>
      </c>
      <c r="B75">
        <v>4591.92</v>
      </c>
      <c r="C75">
        <f t="shared" si="6"/>
        <v>5.5710306406686616E-3</v>
      </c>
      <c r="D75">
        <f t="shared" si="7"/>
        <v>1.7586233877887658E-2</v>
      </c>
      <c r="E75">
        <f t="shared" si="8"/>
        <v>-1.2015203237218997E-2</v>
      </c>
      <c r="F75">
        <f t="shared" si="11"/>
        <v>3.163173320859871E-2</v>
      </c>
      <c r="G75">
        <f t="shared" si="9"/>
        <v>-0.37984650281359883</v>
      </c>
      <c r="H75">
        <f t="shared" si="10"/>
        <v>-0.99108021605453334</v>
      </c>
    </row>
    <row r="76" spans="1:8" x14ac:dyDescent="0.45">
      <c r="A76" s="2">
        <v>42481</v>
      </c>
      <c r="B76">
        <v>4582.83</v>
      </c>
      <c r="C76">
        <f t="shared" si="6"/>
        <v>-1.9795641039043188E-3</v>
      </c>
      <c r="D76">
        <f t="shared" si="7"/>
        <v>1.7995713907069194E-2</v>
      </c>
      <c r="E76">
        <f t="shared" si="8"/>
        <v>-1.9975278010973513E-2</v>
      </c>
      <c r="F76">
        <f t="shared" si="11"/>
        <v>1.5509179135901477E-2</v>
      </c>
      <c r="G76">
        <f t="shared" si="9"/>
        <v>-1.2879648778273294</v>
      </c>
      <c r="H76">
        <f t="shared" si="10"/>
        <v>-1.7483652964630565</v>
      </c>
    </row>
    <row r="77" spans="1:8" x14ac:dyDescent="0.45">
      <c r="A77" s="2">
        <v>42482</v>
      </c>
      <c r="B77">
        <v>4569.66</v>
      </c>
      <c r="C77">
        <f t="shared" si="6"/>
        <v>-2.8737701376660985E-3</v>
      </c>
      <c r="D77">
        <f t="shared" si="7"/>
        <v>2.5686916309545487E-3</v>
      </c>
      <c r="E77">
        <f t="shared" si="8"/>
        <v>-5.4424617686206472E-3</v>
      </c>
      <c r="F77">
        <f t="shared" si="11"/>
        <v>3.8441070936845949E-2</v>
      </c>
      <c r="G77">
        <f t="shared" si="9"/>
        <v>-0.14157934823309051</v>
      </c>
      <c r="H77">
        <f t="shared" si="10"/>
        <v>-0.92896088912772601</v>
      </c>
    </row>
    <row r="78" spans="1:8" x14ac:dyDescent="0.45">
      <c r="A78" s="2">
        <v>42485</v>
      </c>
      <c r="B78">
        <v>4546.12</v>
      </c>
      <c r="C78">
        <f t="shared" si="6"/>
        <v>-5.1513679354699971E-3</v>
      </c>
      <c r="D78">
        <f t="shared" si="7"/>
        <v>-5.0543224069935985E-3</v>
      </c>
      <c r="E78">
        <f t="shared" si="8"/>
        <v>-9.7045528476398524E-5</v>
      </c>
      <c r="F78">
        <f t="shared" si="11"/>
        <v>1.264385909408338E-2</v>
      </c>
      <c r="G78">
        <f t="shared" si="9"/>
        <v>-7.6753092354382851E-3</v>
      </c>
      <c r="H78">
        <f t="shared" si="10"/>
        <v>-0.91896798839060245</v>
      </c>
    </row>
    <row r="79" spans="1:8" x14ac:dyDescent="0.45">
      <c r="A79" s="2">
        <v>42486</v>
      </c>
      <c r="B79">
        <v>4533.18</v>
      </c>
      <c r="C79">
        <f t="shared" si="6"/>
        <v>-2.8463832894862762E-3</v>
      </c>
      <c r="D79">
        <f t="shared" si="7"/>
        <v>-8.4714576298778634E-3</v>
      </c>
      <c r="E79">
        <f t="shared" si="8"/>
        <v>5.6250743403915872E-3</v>
      </c>
      <c r="F79">
        <f t="shared" si="11"/>
        <v>8.7693352455245673E-3</v>
      </c>
      <c r="G79">
        <f t="shared" si="9"/>
        <v>0.64144820364375343</v>
      </c>
      <c r="H79">
        <f t="shared" si="10"/>
        <v>-1.1246664321835718</v>
      </c>
    </row>
    <row r="80" spans="1:8" x14ac:dyDescent="0.45">
      <c r="A80" s="2">
        <v>42487</v>
      </c>
      <c r="B80">
        <v>4559.3999999999996</v>
      </c>
      <c r="C80">
        <f t="shared" si="6"/>
        <v>5.7840191653539819E-3</v>
      </c>
      <c r="D80">
        <f t="shared" si="7"/>
        <v>-7.7899396065184649E-3</v>
      </c>
      <c r="E80">
        <f t="shared" si="8"/>
        <v>1.3573958771872447E-2</v>
      </c>
      <c r="F80">
        <f t="shared" si="11"/>
        <v>2.0473126635882678E-2</v>
      </c>
      <c r="G80">
        <f t="shared" si="9"/>
        <v>0.66301347191795068</v>
      </c>
      <c r="H80">
        <f t="shared" si="10"/>
        <v>-1.1387319651770202</v>
      </c>
    </row>
    <row r="81" spans="1:8" x14ac:dyDescent="0.45">
      <c r="A81" s="2">
        <v>42488</v>
      </c>
      <c r="B81">
        <v>4557.3599999999997</v>
      </c>
      <c r="C81">
        <f t="shared" si="6"/>
        <v>-4.4742729306490592E-4</v>
      </c>
      <c r="D81">
        <f t="shared" si="7"/>
        <v>4.2132286517500145E-3</v>
      </c>
      <c r="E81">
        <f t="shared" si="8"/>
        <v>-4.6606559448149204E-3</v>
      </c>
      <c r="F81">
        <f t="shared" si="11"/>
        <v>2.1447896085704049E-2</v>
      </c>
      <c r="G81">
        <f t="shared" si="9"/>
        <v>-0.21730131133568151</v>
      </c>
      <c r="H81">
        <f t="shared" si="10"/>
        <v>-0.94254846315877605</v>
      </c>
    </row>
    <row r="82" spans="1:8" x14ac:dyDescent="0.45">
      <c r="A82" s="2">
        <v>42489</v>
      </c>
      <c r="B82">
        <v>4428.96</v>
      </c>
      <c r="C82">
        <f t="shared" si="6"/>
        <v>-2.817420611933219E-2</v>
      </c>
      <c r="D82">
        <f t="shared" si="7"/>
        <v>4.5283992501568265E-3</v>
      </c>
      <c r="E82">
        <f t="shared" si="8"/>
        <v>-3.2702605369489018E-2</v>
      </c>
      <c r="F82">
        <f t="shared" si="11"/>
        <v>1.1474994108560394E-2</v>
      </c>
      <c r="G82">
        <f t="shared" si="9"/>
        <v>-2.849901713247307</v>
      </c>
      <c r="H82">
        <f t="shared" si="10"/>
        <v>-4.9799084207896414</v>
      </c>
    </row>
    <row r="83" spans="1:8" x14ac:dyDescent="0.45">
      <c r="A83" s="2">
        <v>42492</v>
      </c>
      <c r="B83">
        <v>4442.75</v>
      </c>
      <c r="C83">
        <f t="shared" si="6"/>
        <v>3.1135977746468146E-3</v>
      </c>
      <c r="D83">
        <f t="shared" si="7"/>
        <v>-3.3009952305807652E-2</v>
      </c>
      <c r="E83">
        <f t="shared" si="8"/>
        <v>3.6123550080454467E-2</v>
      </c>
      <c r="F83">
        <f t="shared" si="11"/>
        <v>8.3152932165081836E-2</v>
      </c>
      <c r="G83">
        <f t="shared" si="9"/>
        <v>0.43442304606576126</v>
      </c>
      <c r="H83">
        <f t="shared" si="10"/>
        <v>-1.0133002246812</v>
      </c>
    </row>
    <row r="84" spans="1:8" x14ac:dyDescent="0.45">
      <c r="A84" s="2">
        <v>42493</v>
      </c>
      <c r="B84">
        <v>4371.9799999999996</v>
      </c>
      <c r="C84">
        <f t="shared" si="6"/>
        <v>-1.5929323054414635E-2</v>
      </c>
      <c r="D84">
        <f t="shared" si="7"/>
        <v>-2.0976473869930783E-2</v>
      </c>
      <c r="E84">
        <f t="shared" si="8"/>
        <v>5.0471508155161479E-3</v>
      </c>
      <c r="F84">
        <f t="shared" si="11"/>
        <v>2.39738418386496E-2</v>
      </c>
      <c r="G84">
        <f t="shared" si="9"/>
        <v>0.21052740939415673</v>
      </c>
      <c r="H84">
        <f t="shared" si="10"/>
        <v>-0.94109942825778015</v>
      </c>
    </row>
    <row r="85" spans="1:8" x14ac:dyDescent="0.45">
      <c r="A85" s="2">
        <v>42494</v>
      </c>
      <c r="B85">
        <v>4324.2299999999996</v>
      </c>
      <c r="C85">
        <f t="shared" si="6"/>
        <v>-1.0921824893983967E-2</v>
      </c>
      <c r="D85">
        <f t="shared" si="7"/>
        <v>-1.5726138167083497E-2</v>
      </c>
      <c r="E85">
        <f t="shared" si="8"/>
        <v>4.8043132730995301E-3</v>
      </c>
      <c r="F85">
        <f t="shared" si="11"/>
        <v>1.1618655471808591E-2</v>
      </c>
      <c r="G85">
        <f t="shared" si="9"/>
        <v>0.41349993420122283</v>
      </c>
      <c r="H85">
        <f t="shared" si="10"/>
        <v>-1.0044296309968805</v>
      </c>
    </row>
    <row r="86" spans="1:8" x14ac:dyDescent="0.45">
      <c r="A86" s="2">
        <v>42495</v>
      </c>
      <c r="B86">
        <v>4319.46</v>
      </c>
      <c r="C86">
        <f t="shared" si="6"/>
        <v>-1.1030865610754947E-3</v>
      </c>
      <c r="D86">
        <f t="shared" si="7"/>
        <v>-2.6543054300076238E-2</v>
      </c>
      <c r="E86">
        <f t="shared" si="8"/>
        <v>2.5439967739000743E-2</v>
      </c>
      <c r="F86">
        <f t="shared" si="11"/>
        <v>1.4818118668425988E-2</v>
      </c>
      <c r="G86">
        <f t="shared" si="9"/>
        <v>1.7168149552754952</v>
      </c>
      <c r="H86">
        <f t="shared" si="10"/>
        <v>-2.3926653285334729</v>
      </c>
    </row>
    <row r="87" spans="1:8" x14ac:dyDescent="0.45">
      <c r="A87" s="2">
        <v>42496</v>
      </c>
      <c r="B87">
        <v>4301.24</v>
      </c>
      <c r="C87">
        <f t="shared" si="6"/>
        <v>-4.2181198575748091E-3</v>
      </c>
      <c r="D87">
        <f t="shared" si="7"/>
        <v>-1.0806172130554289E-2</v>
      </c>
      <c r="E87">
        <f t="shared" si="8"/>
        <v>6.5880522729794798E-3</v>
      </c>
      <c r="F87">
        <f t="shared" si="11"/>
        <v>5.0613367774288973E-2</v>
      </c>
      <c r="G87">
        <f t="shared" si="9"/>
        <v>0.13016427403841199</v>
      </c>
      <c r="H87">
        <f t="shared" si="10"/>
        <v>-0.92740990232264608</v>
      </c>
    </row>
    <row r="88" spans="1:8" x14ac:dyDescent="0.45">
      <c r="A88" s="2">
        <v>42499</v>
      </c>
      <c r="B88">
        <v>4322.8100000000004</v>
      </c>
      <c r="C88">
        <f t="shared" si="6"/>
        <v>5.0148329318988605E-3</v>
      </c>
      <c r="D88">
        <f t="shared" si="7"/>
        <v>-5.8460797083322311E-3</v>
      </c>
      <c r="E88">
        <f t="shared" si="8"/>
        <v>1.0860912640231091E-2</v>
      </c>
      <c r="F88">
        <f t="shared" si="11"/>
        <v>1.4548413543977004E-2</v>
      </c>
      <c r="G88">
        <f t="shared" si="9"/>
        <v>0.74653587536542587</v>
      </c>
      <c r="H88">
        <f t="shared" si="10"/>
        <v>-1.197596439808484</v>
      </c>
    </row>
    <row r="89" spans="1:8" x14ac:dyDescent="0.45">
      <c r="A89" s="2">
        <v>42500</v>
      </c>
      <c r="B89">
        <v>4338.21</v>
      </c>
      <c r="C89">
        <f t="shared" si="6"/>
        <v>3.5624975421080229E-3</v>
      </c>
      <c r="D89">
        <f t="shared" si="7"/>
        <v>2.1258705450420143E-3</v>
      </c>
      <c r="E89">
        <f t="shared" si="8"/>
        <v>1.4366269970660086E-3</v>
      </c>
      <c r="F89">
        <f t="shared" si="11"/>
        <v>2.3425012540282519E-2</v>
      </c>
      <c r="G89">
        <f t="shared" si="9"/>
        <v>6.1328761066638988E-2</v>
      </c>
      <c r="H89">
        <f t="shared" si="10"/>
        <v>-0.92081914167165713</v>
      </c>
    </row>
    <row r="90" spans="1:8" x14ac:dyDescent="0.45">
      <c r="A90" s="2">
        <v>42501</v>
      </c>
      <c r="B90">
        <v>4316.67</v>
      </c>
      <c r="C90">
        <f t="shared" si="6"/>
        <v>-4.9651814919056125E-3</v>
      </c>
      <c r="D90">
        <f t="shared" si="7"/>
        <v>8.4999200170732744E-3</v>
      </c>
      <c r="E90">
        <f t="shared" si="8"/>
        <v>-1.3465101508978887E-2</v>
      </c>
      <c r="F90">
        <f t="shared" si="11"/>
        <v>9.9766792855517702E-3</v>
      </c>
      <c r="G90">
        <f t="shared" si="9"/>
        <v>-1.3496576489613183</v>
      </c>
      <c r="H90">
        <f t="shared" si="10"/>
        <v>-1.8297264179045691</v>
      </c>
    </row>
    <row r="91" spans="1:8" x14ac:dyDescent="0.45">
      <c r="A91" s="2">
        <v>42502</v>
      </c>
      <c r="B91">
        <v>4293.2700000000004</v>
      </c>
      <c r="C91">
        <f t="shared" si="6"/>
        <v>-5.42084523486841E-3</v>
      </c>
      <c r="D91">
        <f t="shared" si="7"/>
        <v>-2.6404002592810062E-3</v>
      </c>
      <c r="E91">
        <f t="shared" si="8"/>
        <v>-2.7804449755874038E-3</v>
      </c>
      <c r="F91">
        <f t="shared" si="11"/>
        <v>4.0095609066508019E-2</v>
      </c>
      <c r="G91">
        <f t="shared" si="9"/>
        <v>-6.9345373229656657E-2</v>
      </c>
      <c r="H91">
        <f t="shared" si="10"/>
        <v>-0.92134292359885284</v>
      </c>
    </row>
    <row r="92" spans="1:8" x14ac:dyDescent="0.45">
      <c r="A92" s="2">
        <v>42503</v>
      </c>
      <c r="B92">
        <v>4319.99</v>
      </c>
      <c r="C92">
        <f t="shared" si="6"/>
        <v>6.2236942936269024E-3</v>
      </c>
      <c r="D92">
        <f t="shared" si="7"/>
        <v>-1.0608161379669155E-2</v>
      </c>
      <c r="E92">
        <f t="shared" si="8"/>
        <v>1.6831855673296058E-2</v>
      </c>
      <c r="F92">
        <f t="shared" si="11"/>
        <v>1.2391899833899973E-2</v>
      </c>
      <c r="G92">
        <f t="shared" si="9"/>
        <v>1.35829500713441</v>
      </c>
      <c r="H92">
        <f t="shared" si="10"/>
        <v>-1.841421196407806</v>
      </c>
    </row>
    <row r="93" spans="1:8" x14ac:dyDescent="0.45">
      <c r="A93" s="2">
        <v>42506</v>
      </c>
      <c r="B93">
        <v>4312.28</v>
      </c>
      <c r="C93">
        <f t="shared" si="6"/>
        <v>-1.784726353533217E-3</v>
      </c>
      <c r="D93">
        <f t="shared" si="7"/>
        <v>2.4761182344551587E-3</v>
      </c>
      <c r="E93">
        <f t="shared" si="8"/>
        <v>-4.2608445879883756E-3</v>
      </c>
      <c r="F93">
        <f t="shared" si="11"/>
        <v>4.0374051343693186E-2</v>
      </c>
      <c r="G93">
        <f t="shared" si="9"/>
        <v>-0.10553423414749682</v>
      </c>
      <c r="H93">
        <f t="shared" si="10"/>
        <v>-0.92450727049322201</v>
      </c>
    </row>
    <row r="94" spans="1:8" x14ac:dyDescent="0.45">
      <c r="A94" s="2">
        <v>42507</v>
      </c>
      <c r="B94">
        <v>4297.57</v>
      </c>
      <c r="C94">
        <f t="shared" si="6"/>
        <v>-3.4111885128053077E-3</v>
      </c>
      <c r="D94">
        <f t="shared" si="7"/>
        <v>3.3637051097469735E-3</v>
      </c>
      <c r="E94">
        <f t="shared" si="8"/>
        <v>-6.7748936225522811E-3</v>
      </c>
      <c r="F94">
        <f t="shared" si="11"/>
        <v>1.2649610421223924E-2</v>
      </c>
      <c r="G94">
        <f t="shared" si="9"/>
        <v>-0.53558120740107107</v>
      </c>
      <c r="H94">
        <f t="shared" si="10"/>
        <v>-1.0623621480652672</v>
      </c>
    </row>
    <row r="95" spans="1:8" x14ac:dyDescent="0.45">
      <c r="A95" s="2">
        <v>42508</v>
      </c>
      <c r="B95">
        <v>4319.3</v>
      </c>
      <c r="C95">
        <f t="shared" si="6"/>
        <v>5.0563457954146962E-3</v>
      </c>
      <c r="D95">
        <f t="shared" si="7"/>
        <v>-5.5065441944725088E-3</v>
      </c>
      <c r="E95">
        <f t="shared" si="8"/>
        <v>1.0562889989887206E-2</v>
      </c>
      <c r="F95">
        <f t="shared" si="11"/>
        <v>1.7843623508404429E-2</v>
      </c>
      <c r="G95">
        <f t="shared" si="9"/>
        <v>0.59197001017825979</v>
      </c>
      <c r="H95">
        <f t="shared" si="10"/>
        <v>-1.0941527796798971</v>
      </c>
    </row>
    <row r="96" spans="1:8" x14ac:dyDescent="0.45">
      <c r="A96" s="2">
        <v>42509</v>
      </c>
      <c r="B96">
        <v>4282.54</v>
      </c>
      <c r="C96">
        <f t="shared" si="6"/>
        <v>-8.5106382978723527E-3</v>
      </c>
      <c r="D96">
        <f t="shared" si="7"/>
        <v>2.8779622430988956E-3</v>
      </c>
      <c r="E96">
        <f t="shared" si="8"/>
        <v>-1.1388600540971249E-2</v>
      </c>
      <c r="F96">
        <f t="shared" si="11"/>
        <v>1.9490541166537832E-2</v>
      </c>
      <c r="G96">
        <f t="shared" si="9"/>
        <v>-0.58431422933108035</v>
      </c>
      <c r="H96">
        <f t="shared" si="10"/>
        <v>-1.0896500925040598</v>
      </c>
    </row>
    <row r="97" spans="1:8" x14ac:dyDescent="0.45">
      <c r="A97" s="2">
        <v>42510</v>
      </c>
      <c r="B97">
        <v>4353.8999999999996</v>
      </c>
      <c r="C97">
        <f t="shared" si="6"/>
        <v>1.666300840155599E-2</v>
      </c>
      <c r="D97">
        <f t="shared" si="7"/>
        <v>-5.4419176211673546E-3</v>
      </c>
      <c r="E97">
        <f t="shared" si="8"/>
        <v>2.2104926022723344E-2</v>
      </c>
      <c r="F97">
        <f t="shared" si="11"/>
        <v>1.9374830818125289E-2</v>
      </c>
      <c r="G97">
        <f t="shared" si="9"/>
        <v>1.1409093700082291</v>
      </c>
      <c r="H97">
        <f t="shared" si="10"/>
        <v>-1.5697756284909596</v>
      </c>
    </row>
    <row r="98" spans="1:8" x14ac:dyDescent="0.45">
      <c r="A98" s="2">
        <v>42513</v>
      </c>
      <c r="B98">
        <v>4325.1000000000004</v>
      </c>
      <c r="C98">
        <f t="shared" si="6"/>
        <v>-6.6147591814234019E-3</v>
      </c>
      <c r="D98">
        <f t="shared" si="7"/>
        <v>1.1866793154553397E-2</v>
      </c>
      <c r="E98">
        <f t="shared" si="8"/>
        <v>-1.84815523359768E-2</v>
      </c>
      <c r="F98">
        <f t="shared" si="11"/>
        <v>3.4405308480420095E-2</v>
      </c>
      <c r="G98">
        <f t="shared" si="9"/>
        <v>-0.53717153405250151</v>
      </c>
      <c r="H98">
        <f t="shared" si="10"/>
        <v>-1.0632151617028316</v>
      </c>
    </row>
    <row r="99" spans="1:8" x14ac:dyDescent="0.45">
      <c r="A99" s="2">
        <v>42514</v>
      </c>
      <c r="B99">
        <v>4431.5200000000004</v>
      </c>
      <c r="C99">
        <f t="shared" si="6"/>
        <v>2.4605211440198005E-2</v>
      </c>
      <c r="D99">
        <f t="shared" si="7"/>
        <v>6.8796402835013095E-3</v>
      </c>
      <c r="E99">
        <f t="shared" si="8"/>
        <v>1.7725571156696696E-2</v>
      </c>
      <c r="F99">
        <f t="shared" si="11"/>
        <v>1.9266737169807469E-2</v>
      </c>
      <c r="G99">
        <f t="shared" si="9"/>
        <v>0.92000897715437235</v>
      </c>
      <c r="H99">
        <f t="shared" si="10"/>
        <v>-1.3421467922269898</v>
      </c>
    </row>
    <row r="100" spans="1:8" x14ac:dyDescent="0.45">
      <c r="A100" s="2">
        <v>42515</v>
      </c>
      <c r="B100">
        <v>4481.6400000000003</v>
      </c>
      <c r="C100">
        <f t="shared" si="6"/>
        <v>1.1309889157670394E-2</v>
      </c>
      <c r="D100">
        <f t="shared" si="7"/>
        <v>2.2716241595870219E-2</v>
      </c>
      <c r="E100">
        <f t="shared" si="8"/>
        <v>-1.1406352438199825E-2</v>
      </c>
      <c r="F100">
        <f t="shared" si="11"/>
        <v>2.8287309051581958E-2</v>
      </c>
      <c r="G100">
        <f t="shared" si="9"/>
        <v>-0.40323214970361165</v>
      </c>
      <c r="H100">
        <f t="shared" si="10"/>
        <v>-1.0002366164819707</v>
      </c>
    </row>
    <row r="101" spans="1:8" x14ac:dyDescent="0.45">
      <c r="A101" s="2">
        <v>42516</v>
      </c>
      <c r="B101">
        <v>4512.6400000000003</v>
      </c>
      <c r="C101">
        <f t="shared" si="6"/>
        <v>6.9171107005470134E-3</v>
      </c>
      <c r="D101">
        <f t="shared" si="7"/>
        <v>3.4561859193303734E-2</v>
      </c>
      <c r="E101">
        <f t="shared" si="8"/>
        <v>-2.7644748492756721E-2</v>
      </c>
      <c r="F101">
        <f t="shared" si="11"/>
        <v>1.5681127076983496E-2</v>
      </c>
      <c r="G101">
        <f t="shared" si="9"/>
        <v>-1.7629312202522252</v>
      </c>
      <c r="H101">
        <f t="shared" si="10"/>
        <v>-2.4729017768746724</v>
      </c>
    </row>
    <row r="102" spans="1:8" x14ac:dyDescent="0.45">
      <c r="A102" s="2">
        <v>42517</v>
      </c>
      <c r="B102">
        <v>4514.74</v>
      </c>
      <c r="C102">
        <f t="shared" si="6"/>
        <v>4.6535952347181997E-4</v>
      </c>
      <c r="D102">
        <f t="shared" si="7"/>
        <v>1.7876120380247905E-2</v>
      </c>
      <c r="E102">
        <f t="shared" si="8"/>
        <v>-1.7410760856776085E-2</v>
      </c>
      <c r="F102">
        <f t="shared" si="11"/>
        <v>5.1943797002905023E-2</v>
      </c>
      <c r="G102">
        <f t="shared" si="9"/>
        <v>-0.33518460069067274</v>
      </c>
      <c r="H102">
        <f t="shared" si="10"/>
        <v>-0.97511289147475555</v>
      </c>
    </row>
    <row r="103" spans="1:8" x14ac:dyDescent="0.45">
      <c r="A103" s="2">
        <v>42520</v>
      </c>
      <c r="B103">
        <v>4529.3999999999996</v>
      </c>
      <c r="C103">
        <f t="shared" si="6"/>
        <v>3.2471415851189622E-3</v>
      </c>
      <c r="D103">
        <f t="shared" si="7"/>
        <v>6.5738032450723127E-3</v>
      </c>
      <c r="E103">
        <f t="shared" si="8"/>
        <v>-3.3266616599533505E-3</v>
      </c>
      <c r="F103">
        <f t="shared" si="11"/>
        <v>1.7286968604854357E-2</v>
      </c>
      <c r="G103">
        <f t="shared" si="9"/>
        <v>-0.19243753696753924</v>
      </c>
      <c r="H103">
        <f t="shared" si="10"/>
        <v>-0.93745463602173917</v>
      </c>
    </row>
    <row r="104" spans="1:8" x14ac:dyDescent="0.45">
      <c r="A104" s="2">
        <v>42521</v>
      </c>
      <c r="B104">
        <v>4505.62</v>
      </c>
      <c r="C104">
        <f t="shared" si="6"/>
        <v>-5.2501435068661451E-3</v>
      </c>
      <c r="D104">
        <f t="shared" si="7"/>
        <v>4.1654967279698132E-3</v>
      </c>
      <c r="E104">
        <f t="shared" si="8"/>
        <v>-9.4156402348359591E-3</v>
      </c>
      <c r="F104">
        <f t="shared" si="11"/>
        <v>1.0724203106044187E-2</v>
      </c>
      <c r="G104">
        <f t="shared" si="9"/>
        <v>-0.87798040952145728</v>
      </c>
      <c r="H104">
        <f t="shared" si="10"/>
        <v>-1.3043633329564055</v>
      </c>
    </row>
    <row r="105" spans="1:8" x14ac:dyDescent="0.45">
      <c r="A105" s="2">
        <v>42522</v>
      </c>
      <c r="B105">
        <v>4475.3900000000003</v>
      </c>
      <c r="C105">
        <f t="shared" si="6"/>
        <v>-6.7093984845592036E-3</v>
      </c>
      <c r="D105">
        <f t="shared" si="7"/>
        <v>-3.2454648367455201E-3</v>
      </c>
      <c r="E105">
        <f t="shared" si="8"/>
        <v>-3.4639336478136835E-3</v>
      </c>
      <c r="F105">
        <f t="shared" si="11"/>
        <v>2.6901379363807376E-2</v>
      </c>
      <c r="G105">
        <f t="shared" si="9"/>
        <v>-0.12876416487676451</v>
      </c>
      <c r="H105">
        <f t="shared" si="10"/>
        <v>-0.92722863828287794</v>
      </c>
    </row>
    <row r="106" spans="1:8" x14ac:dyDescent="0.45">
      <c r="A106" s="2">
        <v>42523</v>
      </c>
      <c r="B106">
        <v>4466</v>
      </c>
      <c r="C106">
        <f t="shared" si="6"/>
        <v>-2.0981411675854433E-3</v>
      </c>
      <c r="D106">
        <f t="shared" si="7"/>
        <v>-1.2348647590010014E-2</v>
      </c>
      <c r="E106">
        <f t="shared" si="8"/>
        <v>1.0250506422424571E-2</v>
      </c>
      <c r="F106">
        <f t="shared" si="11"/>
        <v>1.0913676388565883E-2</v>
      </c>
      <c r="G106">
        <f t="shared" si="9"/>
        <v>0.9392349614804314</v>
      </c>
      <c r="H106">
        <f t="shared" si="10"/>
        <v>-1.3600196896382464</v>
      </c>
    </row>
    <row r="107" spans="1:8" x14ac:dyDescent="0.45">
      <c r="A107" s="2">
        <v>42524</v>
      </c>
      <c r="B107">
        <v>4421.78</v>
      </c>
      <c r="C107">
        <f t="shared" si="6"/>
        <v>-9.9014778325123842E-3</v>
      </c>
      <c r="D107">
        <f t="shared" si="7"/>
        <v>-8.2829839905330296E-3</v>
      </c>
      <c r="E107">
        <f t="shared" si="8"/>
        <v>-1.6184938419793547E-3</v>
      </c>
      <c r="F107">
        <f t="shared" si="11"/>
        <v>2.8594044475251185E-2</v>
      </c>
      <c r="G107">
        <f t="shared" si="9"/>
        <v>-5.6602480400427403E-2</v>
      </c>
      <c r="H107">
        <f t="shared" si="10"/>
        <v>-0.92054045359841308</v>
      </c>
    </row>
    <row r="108" spans="1:8" x14ac:dyDescent="0.45">
      <c r="A108" s="2">
        <v>42527</v>
      </c>
      <c r="B108">
        <v>4423.38</v>
      </c>
      <c r="C108">
        <f t="shared" si="6"/>
        <v>3.6184522974913591E-4</v>
      </c>
      <c r="D108">
        <f t="shared" si="7"/>
        <v>-1.3294330033761955E-2</v>
      </c>
      <c r="E108">
        <f t="shared" si="8"/>
        <v>1.3656175263511091E-2</v>
      </c>
      <c r="F108">
        <f t="shared" si="11"/>
        <v>1.0609389066838512E-2</v>
      </c>
      <c r="G108">
        <f t="shared" si="9"/>
        <v>1.2871782887287861</v>
      </c>
      <c r="H108">
        <f t="shared" si="10"/>
        <v>-1.7473525066920559</v>
      </c>
    </row>
    <row r="109" spans="1:8" x14ac:dyDescent="0.45">
      <c r="A109" s="2">
        <v>42528</v>
      </c>
      <c r="B109">
        <v>4475.8599999999997</v>
      </c>
      <c r="C109">
        <f t="shared" si="6"/>
        <v>1.1864230520552077E-2</v>
      </c>
      <c r="D109">
        <f t="shared" si="7"/>
        <v>-8.2198716823941691E-3</v>
      </c>
      <c r="E109">
        <f t="shared" si="8"/>
        <v>2.0084102202946246E-2</v>
      </c>
      <c r="F109">
        <f t="shared" si="11"/>
        <v>3.8335202923507498E-2</v>
      </c>
      <c r="G109">
        <f t="shared" si="9"/>
        <v>0.52390754897062231</v>
      </c>
      <c r="H109">
        <f t="shared" si="10"/>
        <v>-1.0561780931388751</v>
      </c>
    </row>
    <row r="110" spans="1:8" x14ac:dyDescent="0.45">
      <c r="A110" s="2">
        <v>42529</v>
      </c>
      <c r="B110">
        <v>4448.7299999999996</v>
      </c>
      <c r="C110">
        <f t="shared" si="6"/>
        <v>-6.0614049590470565E-3</v>
      </c>
      <c r="D110">
        <f t="shared" si="7"/>
        <v>1.405189143695018E-2</v>
      </c>
      <c r="E110">
        <f t="shared" si="8"/>
        <v>-2.0113296395997238E-2</v>
      </c>
      <c r="F110">
        <f t="shared" si="11"/>
        <v>1.9331384485398659E-2</v>
      </c>
      <c r="G110">
        <f t="shared" si="9"/>
        <v>-1.0404477967519177</v>
      </c>
      <c r="H110">
        <f t="shared" si="10"/>
        <v>-1.4602043420876325</v>
      </c>
    </row>
    <row r="111" spans="1:8" x14ac:dyDescent="0.45">
      <c r="A111" s="2">
        <v>42530</v>
      </c>
      <c r="B111">
        <v>4405.6099999999997</v>
      </c>
      <c r="C111">
        <f t="shared" si="6"/>
        <v>-9.6926538585169197E-3</v>
      </c>
      <c r="D111">
        <f t="shared" si="7"/>
        <v>3.3334814447582252E-3</v>
      </c>
      <c r="E111">
        <f t="shared" si="8"/>
        <v>-1.3026135303275146E-2</v>
      </c>
      <c r="F111">
        <f t="shared" si="11"/>
        <v>3.1608775931725341E-2</v>
      </c>
      <c r="G111">
        <f t="shared" si="9"/>
        <v>-0.41210502208030692</v>
      </c>
      <c r="H111">
        <f t="shared" si="10"/>
        <v>-1.0038538078165777</v>
      </c>
    </row>
    <row r="112" spans="1:8" x14ac:dyDescent="0.45">
      <c r="A112" s="2">
        <v>42531</v>
      </c>
      <c r="B112">
        <v>4306.72</v>
      </c>
      <c r="C112">
        <f t="shared" si="6"/>
        <v>-2.2446380864397764E-2</v>
      </c>
      <c r="D112">
        <f t="shared" si="7"/>
        <v>-1.6510413072811123E-2</v>
      </c>
      <c r="E112">
        <f t="shared" si="8"/>
        <v>-5.9359677915866403E-3</v>
      </c>
      <c r="F112">
        <f t="shared" si="11"/>
        <v>1.6185593860349807E-2</v>
      </c>
      <c r="G112">
        <f t="shared" si="9"/>
        <v>-0.36674389848172989</v>
      </c>
      <c r="H112">
        <f t="shared" si="10"/>
        <v>-0.98618907674146139</v>
      </c>
    </row>
    <row r="113" spans="1:8" x14ac:dyDescent="0.45">
      <c r="A113" s="2">
        <v>42534</v>
      </c>
      <c r="B113">
        <v>4227.0200000000004</v>
      </c>
      <c r="C113">
        <f t="shared" si="6"/>
        <v>-1.8505962774454709E-2</v>
      </c>
      <c r="D113">
        <f t="shared" si="7"/>
        <v>-3.4444626115516491E-2</v>
      </c>
      <c r="E113">
        <f t="shared" si="8"/>
        <v>1.5938663341061782E-2</v>
      </c>
      <c r="F113">
        <f t="shared" si="11"/>
        <v>1.3972501333949432E-2</v>
      </c>
      <c r="G113">
        <f t="shared" si="9"/>
        <v>1.1407165374416608</v>
      </c>
      <c r="H113">
        <f t="shared" si="10"/>
        <v>-1.5695556426011186</v>
      </c>
    </row>
    <row r="114" spans="1:8" x14ac:dyDescent="0.45">
      <c r="A114" s="2">
        <v>42535</v>
      </c>
      <c r="B114">
        <v>4130.33</v>
      </c>
      <c r="C114">
        <f t="shared" si="6"/>
        <v>-2.287427076285431E-2</v>
      </c>
      <c r="D114">
        <f t="shared" si="7"/>
        <v>-4.1009812532427026E-2</v>
      </c>
      <c r="E114">
        <f t="shared" si="8"/>
        <v>1.8135541769572716E-2</v>
      </c>
      <c r="F114">
        <f t="shared" si="11"/>
        <v>3.4268260281923438E-2</v>
      </c>
      <c r="G114">
        <f t="shared" si="9"/>
        <v>0.52922271572505952</v>
      </c>
      <c r="H114">
        <f t="shared" si="10"/>
        <v>-1.0589768746243762</v>
      </c>
    </row>
    <row r="115" spans="1:8" x14ac:dyDescent="0.45">
      <c r="A115" s="2">
        <v>42536</v>
      </c>
      <c r="B115">
        <v>4171.58</v>
      </c>
      <c r="C115">
        <f t="shared" si="6"/>
        <v>9.987095462105966E-3</v>
      </c>
      <c r="D115">
        <f t="shared" si="7"/>
        <v>-4.2629436624507827E-2</v>
      </c>
      <c r="E115">
        <f t="shared" si="8"/>
        <v>5.2616532086613793E-2</v>
      </c>
      <c r="F115">
        <f t="shared" si="11"/>
        <v>1.9068226071950037E-2</v>
      </c>
      <c r="G115">
        <f t="shared" si="9"/>
        <v>2.7593826446191749</v>
      </c>
      <c r="H115">
        <f t="shared" si="10"/>
        <v>-4.7260348229174287</v>
      </c>
    </row>
    <row r="116" spans="1:8" x14ac:dyDescent="0.45">
      <c r="A116" s="2">
        <v>42537</v>
      </c>
      <c r="B116">
        <v>4153.01</v>
      </c>
      <c r="C116">
        <f t="shared" si="6"/>
        <v>-4.4515507313774849E-3</v>
      </c>
      <c r="D116">
        <f t="shared" si="7"/>
        <v>-8.3943929808306516E-3</v>
      </c>
      <c r="E116">
        <f t="shared" si="8"/>
        <v>3.9428422494531667E-3</v>
      </c>
      <c r="F116">
        <f t="shared" si="11"/>
        <v>8.0613320153644516E-2</v>
      </c>
      <c r="G116">
        <f t="shared" si="9"/>
        <v>4.8910555252386675E-2</v>
      </c>
      <c r="H116">
        <f t="shared" si="10"/>
        <v>-0.92013465441222109</v>
      </c>
    </row>
    <row r="117" spans="1:8" x14ac:dyDescent="0.45">
      <c r="A117" s="2">
        <v>42538</v>
      </c>
      <c r="B117">
        <v>4193.83</v>
      </c>
      <c r="C117">
        <f t="shared" si="6"/>
        <v>9.8290155814697577E-3</v>
      </c>
      <c r="D117">
        <f t="shared" si="7"/>
        <v>3.5595845795309868E-3</v>
      </c>
      <c r="E117">
        <f t="shared" si="8"/>
        <v>6.269431001938771E-3</v>
      </c>
      <c r="F117">
        <f t="shared" si="11"/>
        <v>1.992423206231194E-2</v>
      </c>
      <c r="G117">
        <f t="shared" si="9"/>
        <v>0.31466362077752708</v>
      </c>
      <c r="H117">
        <f t="shared" si="10"/>
        <v>-0.96844513032508439</v>
      </c>
    </row>
    <row r="118" spans="1:8" x14ac:dyDescent="0.45">
      <c r="A118" s="2">
        <v>42541</v>
      </c>
      <c r="B118">
        <v>4340.76</v>
      </c>
      <c r="C118">
        <f t="shared" si="6"/>
        <v>3.5034801124509185E-2</v>
      </c>
      <c r="D118">
        <f t="shared" si="7"/>
        <v>7.4959804631781809E-3</v>
      </c>
      <c r="E118">
        <f t="shared" si="8"/>
        <v>2.7538820661331002E-2</v>
      </c>
      <c r="F118">
        <f t="shared" si="11"/>
        <v>1.3119596944760829E-2</v>
      </c>
      <c r="G118">
        <f t="shared" si="9"/>
        <v>2.0990599617717933</v>
      </c>
      <c r="H118">
        <f t="shared" si="10"/>
        <v>-3.1219648947613741</v>
      </c>
    </row>
    <row r="119" spans="1:8" x14ac:dyDescent="0.45">
      <c r="A119" s="2">
        <v>42542</v>
      </c>
      <c r="B119">
        <v>4367.24</v>
      </c>
      <c r="C119">
        <f t="shared" si="6"/>
        <v>6.1003142306876867E-3</v>
      </c>
      <c r="D119">
        <f t="shared" si="7"/>
        <v>4.9138242110960434E-2</v>
      </c>
      <c r="E119">
        <f t="shared" si="8"/>
        <v>-4.3037927880272747E-2</v>
      </c>
      <c r="F119">
        <f t="shared" si="11"/>
        <v>6.1542878503569598E-2</v>
      </c>
      <c r="G119">
        <f t="shared" si="9"/>
        <v>-0.69931613416126559</v>
      </c>
      <c r="H119">
        <f t="shared" si="10"/>
        <v>-1.1634600609538013</v>
      </c>
    </row>
    <row r="120" spans="1:8" x14ac:dyDescent="0.45">
      <c r="A120" s="2">
        <v>42543</v>
      </c>
      <c r="B120">
        <v>4380.03</v>
      </c>
      <c r="C120">
        <f t="shared" si="6"/>
        <v>2.9286231120799755E-3</v>
      </c>
      <c r="D120">
        <f t="shared" si="7"/>
        <v>3.7629883107919454E-2</v>
      </c>
      <c r="E120">
        <f t="shared" si="8"/>
        <v>-3.4701259995839479E-2</v>
      </c>
      <c r="F120">
        <f t="shared" si="11"/>
        <v>2.5897886179968823E-2</v>
      </c>
      <c r="G120">
        <f t="shared" si="9"/>
        <v>-1.3399263459069404</v>
      </c>
      <c r="H120">
        <f t="shared" si="10"/>
        <v>-1.8166398394324355</v>
      </c>
    </row>
    <row r="121" spans="1:8" x14ac:dyDescent="0.45">
      <c r="A121" s="2">
        <v>42544</v>
      </c>
      <c r="B121">
        <v>4465.8999999999996</v>
      </c>
      <c r="C121">
        <f t="shared" si="6"/>
        <v>1.9604888550991628E-2</v>
      </c>
      <c r="D121">
        <f t="shared" si="7"/>
        <v>8.7130889822195565E-3</v>
      </c>
      <c r="E121">
        <f t="shared" si="8"/>
        <v>1.0891799568772072E-2</v>
      </c>
      <c r="F121">
        <f t="shared" si="11"/>
        <v>4.0178146797830702E-2</v>
      </c>
      <c r="G121">
        <f t="shared" si="9"/>
        <v>0.27108765428076292</v>
      </c>
      <c r="H121">
        <f t="shared" si="10"/>
        <v>-0.95568279135639589</v>
      </c>
    </row>
    <row r="122" spans="1:8" x14ac:dyDescent="0.45">
      <c r="A122" s="2">
        <v>42545</v>
      </c>
      <c r="B122">
        <v>4106.7299999999996</v>
      </c>
      <c r="C122">
        <f t="shared" si="6"/>
        <v>-8.0424998320607344E-2</v>
      </c>
      <c r="D122">
        <f t="shared" si="7"/>
        <v>2.5253338335695041E-2</v>
      </c>
      <c r="E122">
        <f t="shared" si="8"/>
        <v>-0.10567833665630239</v>
      </c>
      <c r="F122">
        <f t="shared" si="11"/>
        <v>1.455068956381037E-2</v>
      </c>
      <c r="G122">
        <f t="shared" si="9"/>
        <v>-7.2627717190214414</v>
      </c>
      <c r="H122">
        <f t="shared" si="10"/>
        <v>-27.292865054513506</v>
      </c>
    </row>
    <row r="123" spans="1:8" x14ac:dyDescent="0.45">
      <c r="A123" s="2">
        <v>42548</v>
      </c>
      <c r="B123">
        <v>3984.72</v>
      </c>
      <c r="C123">
        <f t="shared" si="6"/>
        <v>-2.9709769086353366E-2</v>
      </c>
      <c r="D123">
        <f t="shared" si="7"/>
        <v>-7.6009787311939636E-2</v>
      </c>
      <c r="E123">
        <f t="shared" si="8"/>
        <v>4.630001822558627E-2</v>
      </c>
      <c r="F123">
        <f t="shared" si="11"/>
        <v>0.21093860427567324</v>
      </c>
      <c r="G123">
        <f t="shared" si="9"/>
        <v>0.21949523362294229</v>
      </c>
      <c r="H123">
        <f t="shared" si="10"/>
        <v>-0.94302761199626772</v>
      </c>
    </row>
    <row r="124" spans="1:8" x14ac:dyDescent="0.45">
      <c r="A124" s="2">
        <v>42549</v>
      </c>
      <c r="B124">
        <v>4088.85</v>
      </c>
      <c r="C124">
        <f t="shared" si="6"/>
        <v>2.6132325483346319E-2</v>
      </c>
      <c r="D124">
        <f t="shared" si="7"/>
        <v>-0.10456637275319738</v>
      </c>
      <c r="E124">
        <f t="shared" si="8"/>
        <v>0.1306986982365437</v>
      </c>
      <c r="F124">
        <f t="shared" si="11"/>
        <v>4.8398485506643094E-2</v>
      </c>
      <c r="G124">
        <f t="shared" si="9"/>
        <v>2.7004708281337484</v>
      </c>
      <c r="H124">
        <f t="shared" si="10"/>
        <v>-4.5652098800053587</v>
      </c>
    </row>
    <row r="125" spans="1:8" x14ac:dyDescent="0.45">
      <c r="A125" s="2">
        <v>42550</v>
      </c>
      <c r="B125">
        <v>4195.32</v>
      </c>
      <c r="C125">
        <f t="shared" si="6"/>
        <v>2.6039106350196128E-2</v>
      </c>
      <c r="D125">
        <f t="shared" si="7"/>
        <v>4.3344465319004252E-3</v>
      </c>
      <c r="E125">
        <f t="shared" si="8"/>
        <v>2.1704659818295703E-2</v>
      </c>
      <c r="F125">
        <f t="shared" si="11"/>
        <v>7.9542281550251698E-2</v>
      </c>
      <c r="G125">
        <f t="shared" si="9"/>
        <v>0.27286946508547844</v>
      </c>
      <c r="H125">
        <f t="shared" si="10"/>
        <v>-0.95616740569269021</v>
      </c>
    </row>
    <row r="126" spans="1:8" x14ac:dyDescent="0.45">
      <c r="A126" s="2">
        <v>42551</v>
      </c>
      <c r="B126">
        <v>4237.4799999999996</v>
      </c>
      <c r="C126">
        <f t="shared" si="6"/>
        <v>1.0049293021747951E-2</v>
      </c>
      <c r="D126">
        <f t="shared" si="7"/>
        <v>5.2947449967848781E-2</v>
      </c>
      <c r="E126">
        <f t="shared" si="8"/>
        <v>-4.2898156946100829E-2</v>
      </c>
      <c r="F126">
        <f t="shared" si="11"/>
        <v>2.1190760840791002E-2</v>
      </c>
      <c r="G126">
        <f t="shared" si="9"/>
        <v>-2.0243802130749518</v>
      </c>
      <c r="H126">
        <f t="shared" si="10"/>
        <v>-2.9679961567493662</v>
      </c>
    </row>
    <row r="127" spans="1:8" x14ac:dyDescent="0.45">
      <c r="A127" s="2">
        <v>42552</v>
      </c>
      <c r="B127">
        <v>4273.96</v>
      </c>
      <c r="C127">
        <f t="shared" si="6"/>
        <v>8.6088901894523229E-3</v>
      </c>
      <c r="D127">
        <f t="shared" si="7"/>
        <v>3.4353403974662813E-2</v>
      </c>
      <c r="E127">
        <f t="shared" si="8"/>
        <v>-2.574451378521049E-2</v>
      </c>
      <c r="F127">
        <f t="shared" si="11"/>
        <v>5.9515786248104482E-2</v>
      </c>
      <c r="G127">
        <f t="shared" si="9"/>
        <v>-0.43256613762756813</v>
      </c>
      <c r="H127">
        <f t="shared" si="10"/>
        <v>-1.0124952649156889</v>
      </c>
    </row>
    <row r="128" spans="1:8" x14ac:dyDescent="0.45">
      <c r="A128" s="2">
        <v>42555</v>
      </c>
      <c r="B128">
        <v>4234.8599999999997</v>
      </c>
      <c r="C128">
        <f t="shared" si="6"/>
        <v>-9.1484244120207947E-3</v>
      </c>
      <c r="D128">
        <f t="shared" si="7"/>
        <v>1.8734990983192659E-2</v>
      </c>
      <c r="E128">
        <f t="shared" si="8"/>
        <v>-2.7883415395213454E-2</v>
      </c>
      <c r="F128">
        <f t="shared" si="11"/>
        <v>2.0103462814839566E-2</v>
      </c>
      <c r="G128">
        <f t="shared" si="9"/>
        <v>-1.3869956460750155</v>
      </c>
      <c r="H128">
        <f t="shared" si="10"/>
        <v>-1.8808169943201976</v>
      </c>
    </row>
    <row r="129" spans="1:8" x14ac:dyDescent="0.45">
      <c r="A129" s="2">
        <v>42556</v>
      </c>
      <c r="B129">
        <v>4163.42</v>
      </c>
      <c r="C129">
        <f t="shared" si="6"/>
        <v>-1.686950690223521E-2</v>
      </c>
      <c r="D129">
        <f t="shared" si="7"/>
        <v>-3.0808222676136747E-3</v>
      </c>
      <c r="E129">
        <f t="shared" si="8"/>
        <v>-1.3788684634621535E-2</v>
      </c>
      <c r="F129">
        <f t="shared" si="11"/>
        <v>4.1339877719669606E-2</v>
      </c>
      <c r="G129">
        <f t="shared" si="9"/>
        <v>-0.33354439817466724</v>
      </c>
      <c r="H129">
        <f t="shared" si="10"/>
        <v>-0.97456446598152313</v>
      </c>
    </row>
    <row r="130" spans="1:8" x14ac:dyDescent="0.45">
      <c r="A130" s="2">
        <v>42557</v>
      </c>
      <c r="B130">
        <v>4085.3</v>
      </c>
      <c r="C130">
        <f t="shared" si="6"/>
        <v>-1.8763420457220237E-2</v>
      </c>
      <c r="D130">
        <f t="shared" si="7"/>
        <v>-2.751299552332908E-2</v>
      </c>
      <c r="E130">
        <f t="shared" si="8"/>
        <v>8.7495750661088431E-3</v>
      </c>
      <c r="F130">
        <f t="shared" si="11"/>
        <v>1.575669341850696E-2</v>
      </c>
      <c r="G130">
        <f t="shared" si="9"/>
        <v>0.5552925879634153</v>
      </c>
      <c r="H130">
        <f t="shared" si="10"/>
        <v>-1.0731134623282264</v>
      </c>
    </row>
    <row r="131" spans="1:8" x14ac:dyDescent="0.45">
      <c r="A131" s="2">
        <v>42558</v>
      </c>
      <c r="B131">
        <v>4117.8500000000004</v>
      </c>
      <c r="C131">
        <f t="shared" si="6"/>
        <v>7.9675911193792803E-3</v>
      </c>
      <c r="D131">
        <f t="shared" si="7"/>
        <v>-3.6442199309420359E-2</v>
      </c>
      <c r="E131">
        <f t="shared" si="8"/>
        <v>4.4409790428799639E-2</v>
      </c>
      <c r="F131">
        <f t="shared" si="11"/>
        <v>1.8464298895939032E-2</v>
      </c>
      <c r="G131">
        <f t="shared" si="9"/>
        <v>2.4051706852821235</v>
      </c>
      <c r="H131">
        <f t="shared" si="10"/>
        <v>-3.8113615458749126</v>
      </c>
    </row>
    <row r="132" spans="1:8" x14ac:dyDescent="0.45">
      <c r="A132" s="2">
        <v>42559</v>
      </c>
      <c r="B132">
        <v>4190.68</v>
      </c>
      <c r="C132">
        <f t="shared" ref="C132:C195" si="12">B132/B131-1</f>
        <v>1.7686414026737207E-2</v>
      </c>
      <c r="D132">
        <f t="shared" si="7"/>
        <v>-7.1459168671804546E-3</v>
      </c>
      <c r="E132">
        <f t="shared" si="8"/>
        <v>2.4832330893917662E-2</v>
      </c>
      <c r="F132">
        <f t="shared" si="11"/>
        <v>7.0405912095341874E-2</v>
      </c>
      <c r="G132">
        <f t="shared" si="9"/>
        <v>0.35270235346557771</v>
      </c>
      <c r="H132">
        <f t="shared" si="10"/>
        <v>-0.98113800827475128</v>
      </c>
    </row>
    <row r="133" spans="1:8" x14ac:dyDescent="0.45">
      <c r="A133" s="2">
        <v>42562</v>
      </c>
      <c r="B133">
        <v>4264.53</v>
      </c>
      <c r="C133">
        <f t="shared" si="12"/>
        <v>1.7622438363224857E-2</v>
      </c>
      <c r="D133">
        <f t="shared" si="7"/>
        <v>2.7428546075603636E-2</v>
      </c>
      <c r="E133">
        <f t="shared" si="8"/>
        <v>-9.8061077123787789E-3</v>
      </c>
      <c r="F133">
        <f t="shared" si="11"/>
        <v>2.0551087275086529E-2</v>
      </c>
      <c r="G133">
        <f t="shared" si="9"/>
        <v>-0.47715761123093625</v>
      </c>
      <c r="H133">
        <f t="shared" si="10"/>
        <v>-1.0327782261824794</v>
      </c>
    </row>
    <row r="134" spans="1:8" x14ac:dyDescent="0.45">
      <c r="A134" s="2">
        <v>42563</v>
      </c>
      <c r="B134">
        <v>4331.38</v>
      </c>
      <c r="C134">
        <f t="shared" si="12"/>
        <v>1.5675818906186745E-2</v>
      </c>
      <c r="D134">
        <f t="shared" ref="D134:D197" si="13">SUMPRODUCT(C132:C133,$O$8:$O$9)</f>
        <v>3.5833923532319775E-2</v>
      </c>
      <c r="E134">
        <f t="shared" ref="E134:E197" si="14">C134-D134</f>
        <v>-2.015810462613303E-2</v>
      </c>
      <c r="F134">
        <f t="shared" si="11"/>
        <v>1.6785077595052274E-2</v>
      </c>
      <c r="G134">
        <f t="shared" ref="G134:G197" si="15">E134/F134</f>
        <v>-1.2009539134972496</v>
      </c>
      <c r="H134">
        <f t="shared" ref="H134:H197" si="16">-(G134^2)/2-LN(2*PI())/2</f>
        <v>-1.6400836843768523</v>
      </c>
    </row>
    <row r="135" spans="1:8" x14ac:dyDescent="0.45">
      <c r="A135" s="2">
        <v>42564</v>
      </c>
      <c r="B135">
        <v>4335.26</v>
      </c>
      <c r="C135">
        <f t="shared" si="12"/>
        <v>8.9578840923687508E-4</v>
      </c>
      <c r="D135">
        <f t="shared" si="13"/>
        <v>3.3524345720390224E-2</v>
      </c>
      <c r="E135">
        <f t="shared" si="14"/>
        <v>-3.2628557311153349E-2</v>
      </c>
      <c r="F135">
        <f t="shared" ref="F135:F198" si="17">SQRT($O$4+$O$5*F134^2+$O$6*G134^2)</f>
        <v>3.6019849543049487E-2</v>
      </c>
      <c r="G135">
        <f t="shared" si="15"/>
        <v>-0.90584935042987891</v>
      </c>
      <c r="H135">
        <f t="shared" si="16"/>
        <v>-1.3292200560417895</v>
      </c>
    </row>
    <row r="136" spans="1:8" x14ac:dyDescent="0.45">
      <c r="A136" s="2">
        <v>42565</v>
      </c>
      <c r="B136">
        <v>4385.5200000000004</v>
      </c>
      <c r="C136">
        <f t="shared" si="12"/>
        <v>1.1593306975821616E-2</v>
      </c>
      <c r="D136">
        <f t="shared" si="13"/>
        <v>1.4713915495399897E-2</v>
      </c>
      <c r="E136">
        <f t="shared" si="14"/>
        <v>-3.1206085195782819E-3</v>
      </c>
      <c r="F136">
        <f t="shared" si="17"/>
        <v>2.8720817965095777E-2</v>
      </c>
      <c r="G136">
        <f t="shared" si="15"/>
        <v>-0.10865319098400111</v>
      </c>
      <c r="H136">
        <f t="shared" si="16"/>
        <v>-0.92484129116017555</v>
      </c>
    </row>
    <row r="137" spans="1:8" x14ac:dyDescent="0.45">
      <c r="A137" s="2">
        <v>42566</v>
      </c>
      <c r="B137">
        <v>4372.51</v>
      </c>
      <c r="C137">
        <f t="shared" si="12"/>
        <v>-2.9665809299695978E-3</v>
      </c>
      <c r="D137">
        <f t="shared" si="13"/>
        <v>1.4204074120183031E-2</v>
      </c>
      <c r="E137">
        <f t="shared" si="14"/>
        <v>-1.7170655050152629E-2</v>
      </c>
      <c r="F137">
        <f t="shared" si="17"/>
        <v>1.0962057929315467E-2</v>
      </c>
      <c r="G137">
        <f t="shared" si="15"/>
        <v>-1.5663714934614346</v>
      </c>
      <c r="H137">
        <f t="shared" si="16"/>
        <v>-2.145698360968975</v>
      </c>
    </row>
    <row r="138" spans="1:8" x14ac:dyDescent="0.45">
      <c r="A138" s="2">
        <v>42569</v>
      </c>
      <c r="B138">
        <v>4357.74</v>
      </c>
      <c r="C138">
        <f t="shared" si="12"/>
        <v>-3.377922520474641E-3</v>
      </c>
      <c r="D138">
        <f t="shared" si="13"/>
        <v>6.6802378018739911E-3</v>
      </c>
      <c r="E138">
        <f t="shared" si="14"/>
        <v>-1.0058160322348632E-2</v>
      </c>
      <c r="F138">
        <f t="shared" si="17"/>
        <v>4.6268925021911066E-2</v>
      </c>
      <c r="G138">
        <f t="shared" si="15"/>
        <v>-0.21738478509248918</v>
      </c>
      <c r="H138">
        <f t="shared" si="16"/>
        <v>-0.94256660559952654</v>
      </c>
    </row>
    <row r="139" spans="1:8" x14ac:dyDescent="0.45">
      <c r="A139" s="2">
        <v>42570</v>
      </c>
      <c r="B139">
        <v>4330.13</v>
      </c>
      <c r="C139">
        <f t="shared" si="12"/>
        <v>-6.3358529880166436E-3</v>
      </c>
      <c r="D139">
        <f t="shared" si="13"/>
        <v>-6.4991701098935711E-3</v>
      </c>
      <c r="E139">
        <f t="shared" si="14"/>
        <v>1.6331712187692745E-4</v>
      </c>
      <c r="F139">
        <f t="shared" si="17"/>
        <v>1.4698918642965656E-2</v>
      </c>
      <c r="G139">
        <f t="shared" si="15"/>
        <v>1.1110825622202135E-2</v>
      </c>
      <c r="H139">
        <f t="shared" si="16"/>
        <v>-0.91900025842767619</v>
      </c>
    </row>
    <row r="140" spans="1:8" x14ac:dyDescent="0.45">
      <c r="A140" s="2">
        <v>42571</v>
      </c>
      <c r="B140">
        <v>4379.76</v>
      </c>
      <c r="C140">
        <f t="shared" si="12"/>
        <v>1.1461549653243752E-2</v>
      </c>
      <c r="D140">
        <f t="shared" si="13"/>
        <v>-1.0282694084475158E-2</v>
      </c>
      <c r="E140">
        <f t="shared" si="14"/>
        <v>2.174424373771891E-2</v>
      </c>
      <c r="F140">
        <f t="shared" si="17"/>
        <v>8.9317171750750695E-3</v>
      </c>
      <c r="G140">
        <f t="shared" si="15"/>
        <v>2.434497567656821</v>
      </c>
      <c r="H140">
        <f t="shared" si="16"/>
        <v>-3.8823277366681617</v>
      </c>
    </row>
    <row r="141" spans="1:8" x14ac:dyDescent="0.45">
      <c r="A141" s="2">
        <v>42572</v>
      </c>
      <c r="B141">
        <v>4376.25</v>
      </c>
      <c r="C141">
        <f t="shared" si="12"/>
        <v>-8.0141377609732611E-4</v>
      </c>
      <c r="D141">
        <f t="shared" si="13"/>
        <v>7.7420886941245402E-3</v>
      </c>
      <c r="E141">
        <f t="shared" si="14"/>
        <v>-8.5435024702218663E-3</v>
      </c>
      <c r="F141">
        <f t="shared" si="17"/>
        <v>7.1157561329268496E-2</v>
      </c>
      <c r="G141">
        <f t="shared" si="15"/>
        <v>-0.12006457656254384</v>
      </c>
      <c r="H141">
        <f t="shared" si="16"/>
        <v>-0.92614628447724412</v>
      </c>
    </row>
    <row r="142" spans="1:8" x14ac:dyDescent="0.45">
      <c r="A142" s="2">
        <v>42573</v>
      </c>
      <c r="B142">
        <v>4381.1000000000004</v>
      </c>
      <c r="C142">
        <f t="shared" si="12"/>
        <v>1.1082547843475066E-3</v>
      </c>
      <c r="D142">
        <f t="shared" si="13"/>
        <v>9.0720736688470315E-3</v>
      </c>
      <c r="E142">
        <f t="shared" si="14"/>
        <v>-7.9638188844995249E-3</v>
      </c>
      <c r="F142">
        <f t="shared" si="17"/>
        <v>1.8305111988558859E-2</v>
      </c>
      <c r="G142">
        <f t="shared" si="15"/>
        <v>-0.4350598286138378</v>
      </c>
      <c r="H142">
        <f t="shared" si="16"/>
        <v>-1.0135770604414236</v>
      </c>
    </row>
    <row r="143" spans="1:8" x14ac:dyDescent="0.45">
      <c r="A143" s="2">
        <v>42576</v>
      </c>
      <c r="B143">
        <v>4388</v>
      </c>
      <c r="C143">
        <f t="shared" si="12"/>
        <v>1.5749469311359121E-3</v>
      </c>
      <c r="D143">
        <f t="shared" si="13"/>
        <v>5.8390228115666053E-4</v>
      </c>
      <c r="E143">
        <f t="shared" si="14"/>
        <v>9.9104464997925158E-4</v>
      </c>
      <c r="F143">
        <f t="shared" si="17"/>
        <v>1.5653208613163952E-2</v>
      </c>
      <c r="G143">
        <f t="shared" si="15"/>
        <v>6.3312556196677028E-2</v>
      </c>
      <c r="H143">
        <f t="shared" si="16"/>
        <v>-0.92094277309075134</v>
      </c>
    </row>
    <row r="144" spans="1:8" x14ac:dyDescent="0.45">
      <c r="A144" s="2">
        <v>42577</v>
      </c>
      <c r="B144">
        <v>4394.7700000000004</v>
      </c>
      <c r="C144">
        <f t="shared" si="12"/>
        <v>1.542844120328235E-3</v>
      </c>
      <c r="D144">
        <f t="shared" si="13"/>
        <v>2.7903714196104491E-3</v>
      </c>
      <c r="E144">
        <f t="shared" si="14"/>
        <v>-1.247527299282214E-3</v>
      </c>
      <c r="F144">
        <f t="shared" si="17"/>
        <v>9.1924167051885552E-3</v>
      </c>
      <c r="G144">
        <f t="shared" si="15"/>
        <v>-0.1357126574318657</v>
      </c>
      <c r="H144">
        <f t="shared" si="16"/>
        <v>-0.92814749589828216</v>
      </c>
    </row>
    <row r="145" spans="1:8" x14ac:dyDescent="0.45">
      <c r="A145" s="2">
        <v>42578</v>
      </c>
      <c r="B145">
        <v>4446.96</v>
      </c>
      <c r="C145">
        <f t="shared" si="12"/>
        <v>1.1875479262851041E-2</v>
      </c>
      <c r="D145">
        <f t="shared" si="13"/>
        <v>3.1603814317218769E-3</v>
      </c>
      <c r="E145">
        <f t="shared" si="14"/>
        <v>8.7150978311291635E-3</v>
      </c>
      <c r="F145">
        <f t="shared" si="17"/>
        <v>9.4115823461282284E-3</v>
      </c>
      <c r="G145">
        <f t="shared" si="15"/>
        <v>0.92599708642132983</v>
      </c>
      <c r="H145">
        <f t="shared" si="16"/>
        <v>-1.3476738352350686</v>
      </c>
    </row>
    <row r="146" spans="1:8" x14ac:dyDescent="0.45">
      <c r="A146" s="2">
        <v>42579</v>
      </c>
      <c r="B146">
        <v>4420.58</v>
      </c>
      <c r="C146">
        <f t="shared" si="12"/>
        <v>-5.9321424073974782E-3</v>
      </c>
      <c r="D146">
        <f t="shared" si="13"/>
        <v>1.5095309134821861E-2</v>
      </c>
      <c r="E146">
        <f t="shared" si="14"/>
        <v>-2.1027451542219341E-2</v>
      </c>
      <c r="F146">
        <f t="shared" si="17"/>
        <v>2.8200990352227766E-2</v>
      </c>
      <c r="G146">
        <f t="shared" si="15"/>
        <v>-0.74562812438813009</v>
      </c>
      <c r="H146">
        <f t="shared" si="16"/>
        <v>-1.1969191831439532</v>
      </c>
    </row>
    <row r="147" spans="1:8" x14ac:dyDescent="0.45">
      <c r="A147" s="2">
        <v>42580</v>
      </c>
      <c r="B147">
        <v>4439.8100000000004</v>
      </c>
      <c r="C147">
        <f t="shared" si="12"/>
        <v>4.3501079043928303E-3</v>
      </c>
      <c r="D147">
        <f t="shared" si="13"/>
        <v>3.4929535377608411E-3</v>
      </c>
      <c r="E147">
        <f t="shared" si="14"/>
        <v>8.5715436663198925E-4</v>
      </c>
      <c r="F147">
        <f t="shared" si="17"/>
        <v>2.4018347447526529E-2</v>
      </c>
      <c r="G147">
        <f t="shared" si="15"/>
        <v>3.568748301708248E-2</v>
      </c>
      <c r="H147">
        <f t="shared" si="16"/>
        <v>-0.91957533142671999</v>
      </c>
    </row>
    <row r="148" spans="1:8" x14ac:dyDescent="0.45">
      <c r="A148" s="2">
        <v>42583</v>
      </c>
      <c r="B148">
        <v>4409.17</v>
      </c>
      <c r="C148">
        <f t="shared" si="12"/>
        <v>-6.9011962223609613E-3</v>
      </c>
      <c r="D148">
        <f t="shared" si="13"/>
        <v>-1.3918085230569567E-4</v>
      </c>
      <c r="E148">
        <f t="shared" si="14"/>
        <v>-6.7620153700552656E-3</v>
      </c>
      <c r="F148">
        <f t="shared" si="17"/>
        <v>9.9424432827623001E-3</v>
      </c>
      <c r="G148">
        <f t="shared" si="15"/>
        <v>-0.68011606179126027</v>
      </c>
      <c r="H148">
        <f t="shared" si="16"/>
        <v>-1.1502174619578993</v>
      </c>
    </row>
    <row r="149" spans="1:8" x14ac:dyDescent="0.45">
      <c r="A149" s="2">
        <v>42584</v>
      </c>
      <c r="B149">
        <v>4327.99</v>
      </c>
      <c r="C149">
        <f t="shared" si="12"/>
        <v>-1.8411628492437382E-2</v>
      </c>
      <c r="D149">
        <f t="shared" si="13"/>
        <v>-4.1947110784994494E-3</v>
      </c>
      <c r="E149">
        <f t="shared" si="14"/>
        <v>-1.4216917413937932E-2</v>
      </c>
      <c r="F149">
        <f t="shared" si="17"/>
        <v>2.1523948499833478E-2</v>
      </c>
      <c r="G149">
        <f t="shared" si="15"/>
        <v>-0.66051623446543384</v>
      </c>
      <c r="H149">
        <f t="shared" si="16"/>
        <v>-1.1370793812008706</v>
      </c>
    </row>
    <row r="150" spans="1:8" x14ac:dyDescent="0.45">
      <c r="A150" s="2">
        <v>42585</v>
      </c>
      <c r="B150">
        <v>4321.08</v>
      </c>
      <c r="C150">
        <f t="shared" si="12"/>
        <v>-1.5965840956193578E-3</v>
      </c>
      <c r="D150">
        <f t="shared" si="13"/>
        <v>-2.7337781381480308E-2</v>
      </c>
      <c r="E150">
        <f t="shared" si="14"/>
        <v>2.574119728586095E-2</v>
      </c>
      <c r="F150">
        <f t="shared" si="17"/>
        <v>2.1434643453753763E-2</v>
      </c>
      <c r="G150">
        <f t="shared" si="15"/>
        <v>1.2009155804900034</v>
      </c>
      <c r="H150">
        <f t="shared" si="16"/>
        <v>-1.6400376489364934</v>
      </c>
    </row>
    <row r="151" spans="1:8" x14ac:dyDescent="0.45">
      <c r="A151" s="2">
        <v>42586</v>
      </c>
      <c r="B151">
        <v>4345.63</v>
      </c>
      <c r="C151">
        <f t="shared" si="12"/>
        <v>5.6814500078683494E-3</v>
      </c>
      <c r="D151">
        <f t="shared" si="13"/>
        <v>-1.7912214307442362E-2</v>
      </c>
      <c r="E151">
        <f t="shared" si="14"/>
        <v>2.3593664315310712E-2</v>
      </c>
      <c r="F151">
        <f t="shared" si="17"/>
        <v>3.614236139954443E-2</v>
      </c>
      <c r="G151">
        <f t="shared" si="15"/>
        <v>0.65279808517459259</v>
      </c>
      <c r="H151">
        <f t="shared" si="16"/>
        <v>-1.1320112032084799</v>
      </c>
    </row>
    <row r="152" spans="1:8" x14ac:dyDescent="0.45">
      <c r="A152" s="2">
        <v>42587</v>
      </c>
      <c r="B152">
        <v>4410.55</v>
      </c>
      <c r="C152">
        <f t="shared" si="12"/>
        <v>1.4939145762524753E-2</v>
      </c>
      <c r="D152">
        <f t="shared" si="13"/>
        <v>5.1848967265985388E-3</v>
      </c>
      <c r="E152">
        <f t="shared" si="14"/>
        <v>9.754249035926213E-3</v>
      </c>
      <c r="F152">
        <f t="shared" si="17"/>
        <v>2.2208439494683065E-2</v>
      </c>
      <c r="G152">
        <f t="shared" si="15"/>
        <v>0.43921361688926785</v>
      </c>
      <c r="H152">
        <f t="shared" si="16"/>
        <v>-1.015392833835149</v>
      </c>
    </row>
    <row r="153" spans="1:8" x14ac:dyDescent="0.45">
      <c r="A153" s="2">
        <v>42590</v>
      </c>
      <c r="B153">
        <v>4415.46</v>
      </c>
      <c r="C153">
        <f t="shared" si="12"/>
        <v>1.113239845370817E-3</v>
      </c>
      <c r="D153">
        <f t="shared" si="13"/>
        <v>2.2253203911883235E-2</v>
      </c>
      <c r="E153">
        <f t="shared" si="14"/>
        <v>-2.1139964066512418E-2</v>
      </c>
      <c r="F153">
        <f t="shared" si="17"/>
        <v>1.6000533864767966E-2</v>
      </c>
      <c r="G153">
        <f t="shared" si="15"/>
        <v>-1.321203670151351</v>
      </c>
      <c r="H153">
        <f t="shared" si="16"/>
        <v>-1.7917281022153726</v>
      </c>
    </row>
    <row r="154" spans="1:8" x14ac:dyDescent="0.45">
      <c r="A154" s="2">
        <v>42591</v>
      </c>
      <c r="B154">
        <v>4468.07</v>
      </c>
      <c r="C154">
        <f t="shared" si="12"/>
        <v>1.1914953368391989E-2</v>
      </c>
      <c r="D154">
        <f t="shared" si="13"/>
        <v>1.4322946593021734E-2</v>
      </c>
      <c r="E154">
        <f t="shared" si="14"/>
        <v>-2.4079932246297443E-3</v>
      </c>
      <c r="F154">
        <f t="shared" si="17"/>
        <v>3.9389327241157963E-2</v>
      </c>
      <c r="G154">
        <f t="shared" si="15"/>
        <v>-6.1133139184810163E-2</v>
      </c>
      <c r="H154">
        <f t="shared" si="16"/>
        <v>-0.92080716355796732</v>
      </c>
    </row>
    <row r="155" spans="1:8" x14ac:dyDescent="0.45">
      <c r="A155" s="2">
        <v>42592</v>
      </c>
      <c r="B155">
        <v>4452.01</v>
      </c>
      <c r="C155">
        <f t="shared" si="12"/>
        <v>-3.5943931048527666E-3</v>
      </c>
      <c r="D155">
        <f t="shared" si="13"/>
        <v>1.4766191780399923E-2</v>
      </c>
      <c r="E155">
        <f t="shared" si="14"/>
        <v>-1.836058488525269E-2</v>
      </c>
      <c r="F155">
        <f t="shared" si="17"/>
        <v>1.2240896998079145E-2</v>
      </c>
      <c r="G155">
        <f t="shared" si="15"/>
        <v>-1.4999378630613307</v>
      </c>
      <c r="H155">
        <f t="shared" si="16"/>
        <v>-2.0438453297271684</v>
      </c>
    </row>
    <row r="156" spans="1:8" x14ac:dyDescent="0.45">
      <c r="A156" s="2">
        <v>42593</v>
      </c>
      <c r="B156">
        <v>4503.95</v>
      </c>
      <c r="C156">
        <f t="shared" si="12"/>
        <v>1.1666640461274635E-2</v>
      </c>
      <c r="D156">
        <f t="shared" si="13"/>
        <v>6.2339973162416941E-3</v>
      </c>
      <c r="E156">
        <f t="shared" si="14"/>
        <v>5.4326431450329414E-3</v>
      </c>
      <c r="F156">
        <f t="shared" si="17"/>
        <v>4.4393406554185791E-2</v>
      </c>
      <c r="G156">
        <f t="shared" si="15"/>
        <v>0.12237500040466494</v>
      </c>
      <c r="H156">
        <f t="shared" si="16"/>
        <v>-0.92642635356669356</v>
      </c>
    </row>
    <row r="157" spans="1:8" x14ac:dyDescent="0.45">
      <c r="A157" s="2">
        <v>42594</v>
      </c>
      <c r="B157">
        <v>4500.1899999999996</v>
      </c>
      <c r="C157">
        <f t="shared" si="12"/>
        <v>-8.3482276668267463E-4</v>
      </c>
      <c r="D157">
        <f t="shared" si="13"/>
        <v>1.0371399184879752E-2</v>
      </c>
      <c r="E157">
        <f t="shared" si="14"/>
        <v>-1.1206221951562427E-2</v>
      </c>
      <c r="F157">
        <f t="shared" si="17"/>
        <v>1.3429196331028478E-2</v>
      </c>
      <c r="G157">
        <f t="shared" si="15"/>
        <v>-0.83446705784397412</v>
      </c>
      <c r="H157">
        <f t="shared" si="16"/>
        <v>-1.2671061685180618</v>
      </c>
    </row>
    <row r="158" spans="1:8" x14ac:dyDescent="0.45">
      <c r="A158" s="2">
        <v>42597</v>
      </c>
      <c r="B158">
        <v>4497.8599999999997</v>
      </c>
      <c r="C158">
        <f t="shared" si="12"/>
        <v>-5.1775591697234002E-4</v>
      </c>
      <c r="D158">
        <f t="shared" si="13"/>
        <v>9.2123303161766763E-3</v>
      </c>
      <c r="E158">
        <f t="shared" si="14"/>
        <v>-9.7300862331490164E-3</v>
      </c>
      <c r="F158">
        <f t="shared" si="17"/>
        <v>2.5772451674800741E-2</v>
      </c>
      <c r="G158">
        <f t="shared" si="15"/>
        <v>-0.37753824726976598</v>
      </c>
      <c r="H158">
        <f t="shared" si="16"/>
        <v>-0.99020609728043618</v>
      </c>
    </row>
    <row r="159" spans="1:8" x14ac:dyDescent="0.45">
      <c r="A159" s="2">
        <v>42598</v>
      </c>
      <c r="B159">
        <v>4460.4399999999996</v>
      </c>
      <c r="C159">
        <f t="shared" si="12"/>
        <v>-8.3195119456808131E-3</v>
      </c>
      <c r="D159">
        <f t="shared" si="13"/>
        <v>-1.3278118439959494E-3</v>
      </c>
      <c r="E159">
        <f t="shared" si="14"/>
        <v>-6.9917001016848637E-3</v>
      </c>
      <c r="F159">
        <f t="shared" si="17"/>
        <v>1.4905795404063093E-2</v>
      </c>
      <c r="G159">
        <f t="shared" si="15"/>
        <v>-0.46905917545192072</v>
      </c>
      <c r="H159">
        <f t="shared" si="16"/>
        <v>-1.0289467882424905</v>
      </c>
    </row>
    <row r="160" spans="1:8" x14ac:dyDescent="0.45">
      <c r="A160" s="2">
        <v>42599</v>
      </c>
      <c r="B160">
        <v>4417.68</v>
      </c>
      <c r="C160">
        <f t="shared" si="12"/>
        <v>-9.5864981930032789E-3</v>
      </c>
      <c r="D160">
        <f t="shared" si="13"/>
        <v>-1.0083909326295028E-2</v>
      </c>
      <c r="E160">
        <f t="shared" si="14"/>
        <v>4.9741113329174885E-4</v>
      </c>
      <c r="F160">
        <f t="shared" si="17"/>
        <v>1.6286221607974695E-2</v>
      </c>
      <c r="G160">
        <f t="shared" si="15"/>
        <v>3.0541837466351741E-2</v>
      </c>
      <c r="H160">
        <f t="shared" si="16"/>
        <v>-0.91940493512258314</v>
      </c>
    </row>
    <row r="161" spans="1:8" x14ac:dyDescent="0.45">
      <c r="A161" s="2">
        <v>42600</v>
      </c>
      <c r="B161">
        <v>4437.0600000000004</v>
      </c>
      <c r="C161">
        <f t="shared" si="12"/>
        <v>4.386918020318431E-3</v>
      </c>
      <c r="D161">
        <f t="shared" si="13"/>
        <v>-1.8357653890143471E-2</v>
      </c>
      <c r="E161">
        <f t="shared" si="14"/>
        <v>2.2744571910461902E-2</v>
      </c>
      <c r="F161">
        <f t="shared" si="17"/>
        <v>9.1063357140276358E-3</v>
      </c>
      <c r="G161">
        <f t="shared" si="15"/>
        <v>2.4976645518817819</v>
      </c>
      <c r="H161">
        <f t="shared" si="16"/>
        <v>-4.0381026400680842</v>
      </c>
    </row>
    <row r="162" spans="1:8" x14ac:dyDescent="0.45">
      <c r="A162" s="2">
        <v>42601</v>
      </c>
      <c r="B162">
        <v>4400.5200000000004</v>
      </c>
      <c r="C162">
        <f t="shared" si="12"/>
        <v>-8.2351827561493174E-3</v>
      </c>
      <c r="D162">
        <f t="shared" si="13"/>
        <v>-3.2849033391337389E-3</v>
      </c>
      <c r="E162">
        <f t="shared" si="14"/>
        <v>-4.9502794170155785E-3</v>
      </c>
      <c r="F162">
        <f t="shared" si="17"/>
        <v>7.2978716444860245E-2</v>
      </c>
      <c r="G162">
        <f t="shared" si="15"/>
        <v>-6.783182355304658E-2</v>
      </c>
      <c r="H162">
        <f t="shared" si="16"/>
        <v>-0.92123911134793846</v>
      </c>
    </row>
    <row r="163" spans="1:8" x14ac:dyDescent="0.45">
      <c r="A163" s="2">
        <v>42604</v>
      </c>
      <c r="B163">
        <v>4389.9399999999996</v>
      </c>
      <c r="C163">
        <f t="shared" si="12"/>
        <v>-2.4042613145720537E-3</v>
      </c>
      <c r="D163">
        <f t="shared" si="13"/>
        <v>-5.7070604045697526E-3</v>
      </c>
      <c r="E163">
        <f t="shared" si="14"/>
        <v>3.3027990899976989E-3</v>
      </c>
      <c r="F163">
        <f t="shared" si="17"/>
        <v>1.8438724232865807E-2</v>
      </c>
      <c r="G163">
        <f t="shared" si="15"/>
        <v>0.17912297229928076</v>
      </c>
      <c r="H163">
        <f t="shared" si="16"/>
        <v>-0.93498105280733712</v>
      </c>
    </row>
    <row r="164" spans="1:8" x14ac:dyDescent="0.45">
      <c r="A164" s="2">
        <v>42605</v>
      </c>
      <c r="B164">
        <v>4421.45</v>
      </c>
      <c r="C164">
        <f t="shared" si="12"/>
        <v>7.1777746392889252E-3</v>
      </c>
      <c r="D164">
        <f t="shared" si="13"/>
        <v>-9.9686156658039121E-3</v>
      </c>
      <c r="E164">
        <f t="shared" si="14"/>
        <v>1.7146390305092837E-2</v>
      </c>
      <c r="F164">
        <f t="shared" si="17"/>
        <v>1.0625810058258854E-2</v>
      </c>
      <c r="G164">
        <f t="shared" si="15"/>
        <v>1.6136548847648464</v>
      </c>
      <c r="H164">
        <f t="shared" si="16"/>
        <v>-2.2208795767673974</v>
      </c>
    </row>
    <row r="165" spans="1:8" x14ac:dyDescent="0.45">
      <c r="A165" s="2">
        <v>42606</v>
      </c>
      <c r="B165">
        <v>4435.47</v>
      </c>
      <c r="C165">
        <f t="shared" si="12"/>
        <v>3.1709054721869023E-3</v>
      </c>
      <c r="D165">
        <f t="shared" si="13"/>
        <v>6.2126344958340404E-3</v>
      </c>
      <c r="E165">
        <f t="shared" si="14"/>
        <v>-3.041729023647138E-3</v>
      </c>
      <c r="F165">
        <f t="shared" si="17"/>
        <v>4.7613651957858306E-2</v>
      </c>
      <c r="G165">
        <f t="shared" si="15"/>
        <v>-6.3883548070190019E-2</v>
      </c>
      <c r="H165">
        <f t="shared" si="16"/>
        <v>-0.92097908706169085</v>
      </c>
    </row>
    <row r="166" spans="1:8" x14ac:dyDescent="0.45">
      <c r="A166" s="2">
        <v>42607</v>
      </c>
      <c r="B166">
        <v>4406.6099999999997</v>
      </c>
      <c r="C166">
        <f t="shared" si="12"/>
        <v>-6.5066385298515605E-3</v>
      </c>
      <c r="D166">
        <f t="shared" si="13"/>
        <v>9.9336582709540142E-3</v>
      </c>
      <c r="E166">
        <f t="shared" si="14"/>
        <v>-1.6440296800805575E-2</v>
      </c>
      <c r="F166">
        <f t="shared" si="17"/>
        <v>1.3639611334552293E-2</v>
      </c>
      <c r="G166">
        <f t="shared" si="15"/>
        <v>-1.2053346974160837</v>
      </c>
      <c r="H166">
        <f t="shared" si="16"/>
        <v>-1.6453543996022337</v>
      </c>
    </row>
    <row r="167" spans="1:8" x14ac:dyDescent="0.45">
      <c r="A167" s="2">
        <v>42608</v>
      </c>
      <c r="B167">
        <v>4441.87</v>
      </c>
      <c r="C167">
        <f t="shared" si="12"/>
        <v>8.0016157545141908E-3</v>
      </c>
      <c r="D167">
        <f t="shared" si="13"/>
        <v>-4.7667261135845244E-3</v>
      </c>
      <c r="E167">
        <f t="shared" si="14"/>
        <v>1.2768341868098715E-2</v>
      </c>
      <c r="F167">
        <f t="shared" si="17"/>
        <v>3.60763506031248E-2</v>
      </c>
      <c r="G167">
        <f t="shared" si="15"/>
        <v>0.35392553999053245</v>
      </c>
      <c r="H167">
        <f t="shared" si="16"/>
        <v>-0.98157017713346761</v>
      </c>
    </row>
    <row r="168" spans="1:8" x14ac:dyDescent="0.45">
      <c r="A168" s="2">
        <v>42611</v>
      </c>
      <c r="B168">
        <v>4424.25</v>
      </c>
      <c r="C168">
        <f t="shared" si="12"/>
        <v>-3.9667977676068888E-3</v>
      </c>
      <c r="D168">
        <f t="shared" si="13"/>
        <v>3.5872338624283358E-3</v>
      </c>
      <c r="E168">
        <f t="shared" si="14"/>
        <v>-7.5540316300352246E-3</v>
      </c>
      <c r="F168">
        <f t="shared" si="17"/>
        <v>1.5479720168677455E-2</v>
      </c>
      <c r="G168">
        <f t="shared" si="15"/>
        <v>-0.48799536088000361</v>
      </c>
      <c r="H168">
        <f t="shared" si="16"/>
        <v>-1.0380082693248751</v>
      </c>
    </row>
    <row r="169" spans="1:8" x14ac:dyDescent="0.45">
      <c r="A169" s="2">
        <v>42612</v>
      </c>
      <c r="B169">
        <v>4457.49</v>
      </c>
      <c r="C169">
        <f t="shared" si="12"/>
        <v>7.5131378199695398E-3</v>
      </c>
      <c r="D169">
        <f t="shared" si="13"/>
        <v>2.3885377848583324E-3</v>
      </c>
      <c r="E169">
        <f t="shared" si="14"/>
        <v>5.1246000351112073E-3</v>
      </c>
      <c r="F169">
        <f t="shared" si="17"/>
        <v>1.6774278109518957E-2</v>
      </c>
      <c r="G169">
        <f t="shared" si="15"/>
        <v>0.30550346200610168</v>
      </c>
      <c r="H169">
        <f t="shared" si="16"/>
        <v>-0.96560471585352947</v>
      </c>
    </row>
    <row r="170" spans="1:8" x14ac:dyDescent="0.45">
      <c r="A170" s="2">
        <v>42613</v>
      </c>
      <c r="B170">
        <v>4438.22</v>
      </c>
      <c r="C170">
        <f t="shared" si="12"/>
        <v>-4.3230607359746598E-3</v>
      </c>
      <c r="D170">
        <f t="shared" si="13"/>
        <v>5.2376351016544739E-3</v>
      </c>
      <c r="E170">
        <f t="shared" si="14"/>
        <v>-9.5606958376291337E-3</v>
      </c>
      <c r="F170">
        <f t="shared" si="17"/>
        <v>1.2709797789305465E-2</v>
      </c>
      <c r="G170">
        <f t="shared" si="15"/>
        <v>-0.75223036559038636</v>
      </c>
      <c r="H170">
        <f t="shared" si="16"/>
        <v>-1.2018637946627959</v>
      </c>
    </row>
    <row r="171" spans="1:8" x14ac:dyDescent="0.45">
      <c r="A171" s="2">
        <v>42614</v>
      </c>
      <c r="B171">
        <v>4439.67</v>
      </c>
      <c r="C171">
        <f t="shared" si="12"/>
        <v>3.2670755392927298E-4</v>
      </c>
      <c r="D171">
        <f t="shared" si="13"/>
        <v>1.549877357472286E-3</v>
      </c>
      <c r="E171">
        <f t="shared" si="14"/>
        <v>-1.223169803543013E-3</v>
      </c>
      <c r="F171">
        <f t="shared" si="17"/>
        <v>2.3524510159279127E-2</v>
      </c>
      <c r="G171">
        <f t="shared" si="15"/>
        <v>-5.1995548271194916E-2</v>
      </c>
      <c r="H171">
        <f t="shared" si="16"/>
        <v>-0.92029030172468373</v>
      </c>
    </row>
    <row r="172" spans="1:8" x14ac:dyDescent="0.45">
      <c r="A172" s="2">
        <v>42615</v>
      </c>
      <c r="B172">
        <v>4542.17</v>
      </c>
      <c r="C172">
        <f t="shared" si="12"/>
        <v>2.3087301533672555E-2</v>
      </c>
      <c r="D172">
        <f t="shared" si="13"/>
        <v>-3.3935140581236333E-3</v>
      </c>
      <c r="E172">
        <f t="shared" si="14"/>
        <v>2.648081559179619E-2</v>
      </c>
      <c r="F172">
        <f t="shared" si="17"/>
        <v>9.943739725902824E-3</v>
      </c>
      <c r="G172">
        <f t="shared" si="15"/>
        <v>2.6630640304085302</v>
      </c>
      <c r="H172">
        <f t="shared" si="16"/>
        <v>-4.4648935482325349</v>
      </c>
    </row>
    <row r="173" spans="1:8" x14ac:dyDescent="0.45">
      <c r="A173" s="2">
        <v>42618</v>
      </c>
      <c r="B173">
        <v>4541.08</v>
      </c>
      <c r="C173">
        <f t="shared" si="12"/>
        <v>-2.3997340478232321E-4</v>
      </c>
      <c r="D173">
        <f t="shared" si="13"/>
        <v>2.7015101713957046E-2</v>
      </c>
      <c r="E173">
        <f t="shared" si="14"/>
        <v>-2.7255075118739369E-2</v>
      </c>
      <c r="F173">
        <f t="shared" si="17"/>
        <v>7.7752434475425139E-2</v>
      </c>
      <c r="G173">
        <f t="shared" si="15"/>
        <v>-0.35053661409603526</v>
      </c>
      <c r="H173">
        <f t="shared" si="16"/>
        <v>-0.98037649211562905</v>
      </c>
    </row>
    <row r="174" spans="1:8" x14ac:dyDescent="0.45">
      <c r="A174" s="2">
        <v>42619</v>
      </c>
      <c r="B174">
        <v>4529.96</v>
      </c>
      <c r="C174">
        <f t="shared" si="12"/>
        <v>-2.4487566834321406E-3</v>
      </c>
      <c r="D174">
        <f t="shared" si="13"/>
        <v>1.9865297662542455E-2</v>
      </c>
      <c r="E174">
        <f t="shared" si="14"/>
        <v>-2.2314054345974596E-2</v>
      </c>
      <c r="F174">
        <f t="shared" si="17"/>
        <v>2.1810302218281664E-2</v>
      </c>
      <c r="G174">
        <f t="shared" si="15"/>
        <v>-1.023096980621877</v>
      </c>
      <c r="H174">
        <f t="shared" si="16"/>
        <v>-1.4423022490834734</v>
      </c>
    </row>
    <row r="175" spans="1:8" x14ac:dyDescent="0.45">
      <c r="A175" s="2">
        <v>42620</v>
      </c>
      <c r="B175">
        <v>4557.66</v>
      </c>
      <c r="C175">
        <f t="shared" si="12"/>
        <v>6.114844281185583E-3</v>
      </c>
      <c r="D175">
        <f t="shared" si="13"/>
        <v>-3.0444970839709879E-3</v>
      </c>
      <c r="E175">
        <f t="shared" si="14"/>
        <v>9.1593413651565713E-3</v>
      </c>
      <c r="F175">
        <f t="shared" si="17"/>
        <v>3.1210327608674156E-2</v>
      </c>
      <c r="G175">
        <f t="shared" si="15"/>
        <v>0.29347149059117705</v>
      </c>
      <c r="H175">
        <f t="shared" si="16"/>
        <v>-0.96200129109957633</v>
      </c>
    </row>
    <row r="176" spans="1:8" x14ac:dyDescent="0.45">
      <c r="A176" s="2">
        <v>42621</v>
      </c>
      <c r="B176">
        <v>4542.2</v>
      </c>
      <c r="C176">
        <f t="shared" si="12"/>
        <v>-3.392091555754484E-3</v>
      </c>
      <c r="D176">
        <f t="shared" si="13"/>
        <v>4.9431719225386476E-3</v>
      </c>
      <c r="E176">
        <f t="shared" si="14"/>
        <v>-8.3352634782931315E-3</v>
      </c>
      <c r="F176">
        <f t="shared" si="17"/>
        <v>1.3792554595682892E-2</v>
      </c>
      <c r="G176">
        <f t="shared" si="15"/>
        <v>-0.60433064958844473</v>
      </c>
      <c r="H176">
        <f t="shared" si="16"/>
        <v>-1.1015463002206685</v>
      </c>
    </row>
    <row r="177" spans="1:8" x14ac:dyDescent="0.45">
      <c r="A177" s="2">
        <v>42622</v>
      </c>
      <c r="B177">
        <v>4491.3999999999996</v>
      </c>
      <c r="C177">
        <f t="shared" si="12"/>
        <v>-1.1184007749548752E-2</v>
      </c>
      <c r="D177">
        <f t="shared" si="13"/>
        <v>1.4077578638279622E-3</v>
      </c>
      <c r="E177">
        <f t="shared" si="14"/>
        <v>-1.2591765613376715E-2</v>
      </c>
      <c r="F177">
        <f t="shared" si="17"/>
        <v>1.9644353255947544E-2</v>
      </c>
      <c r="G177">
        <f t="shared" si="15"/>
        <v>-0.64098651909369531</v>
      </c>
      <c r="H177">
        <f t="shared" si="16"/>
        <v>-1.1243703920345989</v>
      </c>
    </row>
    <row r="178" spans="1:8" x14ac:dyDescent="0.45">
      <c r="A178" s="2">
        <v>42625</v>
      </c>
      <c r="B178">
        <v>4439.8</v>
      </c>
      <c r="C178">
        <f t="shared" si="12"/>
        <v>-1.1488622701162132E-2</v>
      </c>
      <c r="D178">
        <f t="shared" si="13"/>
        <v>-1.5908161466076438E-2</v>
      </c>
      <c r="E178">
        <f t="shared" si="14"/>
        <v>4.4195387649143061E-3</v>
      </c>
      <c r="F178">
        <f t="shared" si="17"/>
        <v>2.0836451412774761E-2</v>
      </c>
      <c r="G178">
        <f t="shared" si="15"/>
        <v>0.21210611525745218</v>
      </c>
      <c r="H178">
        <f t="shared" si="16"/>
        <v>-0.94143303526947641</v>
      </c>
    </row>
    <row r="179" spans="1:8" x14ac:dyDescent="0.45">
      <c r="A179" s="2">
        <v>42626</v>
      </c>
      <c r="B179">
        <v>4387.18</v>
      </c>
      <c r="C179">
        <f t="shared" si="12"/>
        <v>-1.1851885220054981E-2</v>
      </c>
      <c r="D179">
        <f t="shared" si="13"/>
        <v>-2.3059105055083649E-2</v>
      </c>
      <c r="E179">
        <f t="shared" si="14"/>
        <v>1.1207219835028669E-2</v>
      </c>
      <c r="F179">
        <f t="shared" si="17"/>
        <v>1.1335761948209374E-2</v>
      </c>
      <c r="G179">
        <f t="shared" si="15"/>
        <v>0.98866047877787255</v>
      </c>
      <c r="H179">
        <f t="shared" si="16"/>
        <v>-1.4076633043533189</v>
      </c>
    </row>
    <row r="180" spans="1:8" x14ac:dyDescent="0.45">
      <c r="A180" s="2">
        <v>42627</v>
      </c>
      <c r="B180">
        <v>4370.26</v>
      </c>
      <c r="C180">
        <f t="shared" si="12"/>
        <v>-3.8566915421751613E-3</v>
      </c>
      <c r="D180">
        <f t="shared" si="13"/>
        <v>-2.3745453251224985E-2</v>
      </c>
      <c r="E180">
        <f t="shared" si="14"/>
        <v>1.9888761709049824E-2</v>
      </c>
      <c r="F180">
        <f t="shared" si="17"/>
        <v>2.9972087826278755E-2</v>
      </c>
      <c r="G180">
        <f t="shared" si="15"/>
        <v>0.66357611869840671</v>
      </c>
      <c r="H180">
        <f t="shared" si="16"/>
        <v>-1.1391051658580937</v>
      </c>
    </row>
    <row r="181" spans="1:8" x14ac:dyDescent="0.45">
      <c r="A181" s="2">
        <v>42628</v>
      </c>
      <c r="B181">
        <v>4373.22</v>
      </c>
      <c r="C181">
        <f t="shared" si="12"/>
        <v>6.7730524042053375E-4</v>
      </c>
      <c r="D181">
        <f t="shared" si="13"/>
        <v>-1.4805701832725556E-2</v>
      </c>
      <c r="E181">
        <f t="shared" si="14"/>
        <v>1.548300707314609E-2</v>
      </c>
      <c r="F181">
        <f t="shared" si="17"/>
        <v>2.2015643960593315E-2</v>
      </c>
      <c r="G181">
        <f t="shared" si="15"/>
        <v>0.70327295903130271</v>
      </c>
      <c r="H181">
        <f t="shared" si="16"/>
        <v>-1.1662349606569948</v>
      </c>
    </row>
    <row r="182" spans="1:8" x14ac:dyDescent="0.45">
      <c r="A182" s="2">
        <v>42629</v>
      </c>
      <c r="B182">
        <v>4332.45</v>
      </c>
      <c r="C182">
        <f t="shared" si="12"/>
        <v>-9.3226501296528319E-3</v>
      </c>
      <c r="D182">
        <f t="shared" si="13"/>
        <v>-2.5807021537783835E-3</v>
      </c>
      <c r="E182">
        <f t="shared" si="14"/>
        <v>-6.7419479758744488E-3</v>
      </c>
      <c r="F182">
        <f t="shared" si="17"/>
        <v>2.2574730918908086E-2</v>
      </c>
      <c r="G182">
        <f t="shared" si="15"/>
        <v>-0.29865020318924579</v>
      </c>
      <c r="H182">
        <f t="shared" si="16"/>
        <v>-0.96353450513716155</v>
      </c>
    </row>
    <row r="183" spans="1:8" x14ac:dyDescent="0.45">
      <c r="A183" s="2">
        <v>42632</v>
      </c>
      <c r="B183">
        <v>4394.1899999999996</v>
      </c>
      <c r="C183">
        <f t="shared" si="12"/>
        <v>1.4250597237128959E-2</v>
      </c>
      <c r="D183">
        <f t="shared" si="13"/>
        <v>-1.02026613236193E-2</v>
      </c>
      <c r="E183">
        <f t="shared" si="14"/>
        <v>2.4453258560748259E-2</v>
      </c>
      <c r="F183">
        <f t="shared" si="17"/>
        <v>1.3019487614836362E-2</v>
      </c>
      <c r="G183">
        <f t="shared" si="15"/>
        <v>1.8782043721046702</v>
      </c>
      <c r="H183">
        <f t="shared" si="16"/>
        <v>-2.6827643649012218</v>
      </c>
    </row>
    <row r="184" spans="1:8" x14ac:dyDescent="0.45">
      <c r="A184" s="2">
        <v>42633</v>
      </c>
      <c r="B184">
        <v>4388.6000000000004</v>
      </c>
      <c r="C184">
        <f t="shared" si="12"/>
        <v>-1.2721343410274644E-3</v>
      </c>
      <c r="D184">
        <f t="shared" si="13"/>
        <v>8.3652860053753716E-3</v>
      </c>
      <c r="E184">
        <f t="shared" si="14"/>
        <v>-9.6374203464028359E-3</v>
      </c>
      <c r="F184">
        <f t="shared" si="17"/>
        <v>5.5206416568555225E-2</v>
      </c>
      <c r="G184">
        <f t="shared" si="15"/>
        <v>-0.17457065583010817</v>
      </c>
      <c r="H184">
        <f t="shared" si="16"/>
        <v>-0.93417599014314967</v>
      </c>
    </row>
    <row r="185" spans="1:8" x14ac:dyDescent="0.45">
      <c r="A185" s="2">
        <v>42634</v>
      </c>
      <c r="B185">
        <v>4409.55</v>
      </c>
      <c r="C185">
        <f t="shared" si="12"/>
        <v>4.7737319418492685E-3</v>
      </c>
      <c r="D185">
        <f t="shared" si="13"/>
        <v>1.0960461232250208E-2</v>
      </c>
      <c r="E185">
        <f t="shared" si="14"/>
        <v>-6.1867292904009396E-3</v>
      </c>
      <c r="F185">
        <f t="shared" si="17"/>
        <v>1.5730319508013828E-2</v>
      </c>
      <c r="G185">
        <f t="shared" si="15"/>
        <v>-0.39329965848748993</v>
      </c>
      <c r="H185">
        <f t="shared" si="16"/>
        <v>-0.99628084388786076</v>
      </c>
    </row>
    <row r="186" spans="1:8" x14ac:dyDescent="0.45">
      <c r="A186" s="2">
        <v>42635</v>
      </c>
      <c r="B186">
        <v>4509.82</v>
      </c>
      <c r="C186">
        <f t="shared" si="12"/>
        <v>2.2739281786123167E-2</v>
      </c>
      <c r="D186">
        <f t="shared" si="13"/>
        <v>4.4170321696450927E-3</v>
      </c>
      <c r="E186">
        <f t="shared" si="14"/>
        <v>1.8322249616478076E-2</v>
      </c>
      <c r="F186">
        <f t="shared" si="17"/>
        <v>1.4542931340265436E-2</v>
      </c>
      <c r="G186">
        <f t="shared" si="15"/>
        <v>1.259873211788378</v>
      </c>
      <c r="H186">
        <f t="shared" si="16"/>
        <v>-1.7125787880956542</v>
      </c>
    </row>
    <row r="187" spans="1:8" x14ac:dyDescent="0.45">
      <c r="A187" s="2">
        <v>42636</v>
      </c>
      <c r="B187">
        <v>4488.6899999999996</v>
      </c>
      <c r="C187">
        <f t="shared" si="12"/>
        <v>-4.685331121862979E-3</v>
      </c>
      <c r="D187">
        <f t="shared" si="13"/>
        <v>3.0492096310578937E-2</v>
      </c>
      <c r="E187">
        <f t="shared" si="14"/>
        <v>-3.5177427432441913E-2</v>
      </c>
      <c r="F187">
        <f t="shared" si="17"/>
        <v>3.7629662894046831E-2</v>
      </c>
      <c r="G187">
        <f t="shared" si="15"/>
        <v>-0.9348323829392351</v>
      </c>
      <c r="H187">
        <f t="shared" si="16"/>
        <v>-1.3558943253005971</v>
      </c>
    </row>
    <row r="188" spans="1:8" x14ac:dyDescent="0.45">
      <c r="A188" s="2">
        <v>42639</v>
      </c>
      <c r="B188">
        <v>4407.8500000000004</v>
      </c>
      <c r="C188">
        <f t="shared" si="12"/>
        <v>-1.8009708846010608E-2</v>
      </c>
      <c r="D188">
        <f t="shared" si="13"/>
        <v>1.4414904363814228E-2</v>
      </c>
      <c r="E188">
        <f t="shared" si="14"/>
        <v>-3.2424613209824836E-2</v>
      </c>
      <c r="F188">
        <f t="shared" si="17"/>
        <v>2.9593190751235829E-2</v>
      </c>
      <c r="G188">
        <f t="shared" si="15"/>
        <v>-1.0956781741580457</v>
      </c>
      <c r="H188">
        <f t="shared" si="16"/>
        <v>-1.5191938638678271</v>
      </c>
    </row>
    <row r="189" spans="1:8" x14ac:dyDescent="0.45">
      <c r="A189" s="2">
        <v>42640</v>
      </c>
      <c r="B189">
        <v>4398.68</v>
      </c>
      <c r="C189">
        <f t="shared" si="12"/>
        <v>-2.08037932325289E-3</v>
      </c>
      <c r="D189">
        <f t="shared" si="13"/>
        <v>-2.4939155292231441E-2</v>
      </c>
      <c r="E189">
        <f t="shared" si="14"/>
        <v>2.2858775968978551E-2</v>
      </c>
      <c r="F189">
        <f t="shared" si="17"/>
        <v>3.3520939435647767E-2</v>
      </c>
      <c r="G189">
        <f t="shared" si="15"/>
        <v>0.68192527876081654</v>
      </c>
      <c r="H189">
        <f t="shared" si="16"/>
        <v>-1.1514495761111814</v>
      </c>
    </row>
    <row r="190" spans="1:8" x14ac:dyDescent="0.45">
      <c r="A190" s="2">
        <v>42641</v>
      </c>
      <c r="B190">
        <v>4432.45</v>
      </c>
      <c r="C190">
        <f t="shared" si="12"/>
        <v>7.6773031909571632E-3</v>
      </c>
      <c r="D190">
        <f t="shared" si="13"/>
        <v>-1.8121678046165594E-2</v>
      </c>
      <c r="E190">
        <f t="shared" si="14"/>
        <v>2.5798981237122758E-2</v>
      </c>
      <c r="F190">
        <f t="shared" si="17"/>
        <v>2.2732920741089884E-2</v>
      </c>
      <c r="G190">
        <f t="shared" si="15"/>
        <v>1.134873144148651</v>
      </c>
      <c r="H190">
        <f t="shared" si="16"/>
        <v>-1.5629070598595951</v>
      </c>
    </row>
    <row r="191" spans="1:8" x14ac:dyDescent="0.45">
      <c r="A191" s="2">
        <v>42642</v>
      </c>
      <c r="B191">
        <v>4443.84</v>
      </c>
      <c r="C191">
        <f t="shared" si="12"/>
        <v>2.5696849372243147E-3</v>
      </c>
      <c r="D191">
        <f t="shared" si="13"/>
        <v>7.0735590660912315E-3</v>
      </c>
      <c r="E191">
        <f t="shared" si="14"/>
        <v>-4.5038741288669169E-3</v>
      </c>
      <c r="F191">
        <f t="shared" si="17"/>
        <v>3.434027391049739E-2</v>
      </c>
      <c r="G191">
        <f t="shared" si="15"/>
        <v>-0.1311542866724234</v>
      </c>
      <c r="H191">
        <f t="shared" si="16"/>
        <v>-0.92753925666094883</v>
      </c>
    </row>
    <row r="192" spans="1:8" x14ac:dyDescent="0.45">
      <c r="A192" s="2">
        <v>42643</v>
      </c>
      <c r="B192">
        <v>4448.26</v>
      </c>
      <c r="C192">
        <f t="shared" si="12"/>
        <v>9.9463527039689303E-4</v>
      </c>
      <c r="D192">
        <f t="shared" si="13"/>
        <v>9.6734031547602035E-3</v>
      </c>
      <c r="E192">
        <f t="shared" si="14"/>
        <v>-8.6787678843633104E-3</v>
      </c>
      <c r="F192">
        <f t="shared" si="17"/>
        <v>1.193710774569723E-2</v>
      </c>
      <c r="G192">
        <f t="shared" si="15"/>
        <v>-0.72704109481558465</v>
      </c>
      <c r="H192">
        <f t="shared" si="16"/>
        <v>-1.1832329099799948</v>
      </c>
    </row>
    <row r="193" spans="1:8" x14ac:dyDescent="0.45">
      <c r="A193" s="2">
        <v>42646</v>
      </c>
      <c r="B193">
        <v>4453.5600000000004</v>
      </c>
      <c r="C193">
        <f t="shared" si="12"/>
        <v>1.1914771168952676E-3</v>
      </c>
      <c r="D193">
        <f t="shared" si="13"/>
        <v>3.3935610284781545E-3</v>
      </c>
      <c r="E193">
        <f t="shared" si="14"/>
        <v>-2.2020839115828869E-3</v>
      </c>
      <c r="F193">
        <f t="shared" si="17"/>
        <v>2.2826980411797627E-2</v>
      </c>
      <c r="G193">
        <f t="shared" si="15"/>
        <v>-9.6468471600597155E-2</v>
      </c>
      <c r="H193">
        <f t="shared" si="16"/>
        <v>-0.92359161621115027</v>
      </c>
    </row>
    <row r="194" spans="1:8" x14ac:dyDescent="0.45">
      <c r="A194" s="2">
        <v>42647</v>
      </c>
      <c r="B194">
        <v>4503.09</v>
      </c>
      <c r="C194">
        <f t="shared" si="12"/>
        <v>1.112143992671033E-2</v>
      </c>
      <c r="D194">
        <f t="shared" si="13"/>
        <v>2.2472666696001118E-3</v>
      </c>
      <c r="E194">
        <f t="shared" si="14"/>
        <v>8.8741732571102176E-3</v>
      </c>
      <c r="F194">
        <f t="shared" si="17"/>
        <v>1.01397749688572E-2</v>
      </c>
      <c r="G194">
        <f t="shared" si="15"/>
        <v>0.87518443795507406</v>
      </c>
      <c r="H194">
        <f t="shared" si="16"/>
        <v>-1.3019124334240422</v>
      </c>
    </row>
    <row r="195" spans="1:8" x14ac:dyDescent="0.45">
      <c r="A195" s="2">
        <v>42648</v>
      </c>
      <c r="B195">
        <v>4489.95</v>
      </c>
      <c r="C195">
        <f t="shared" si="12"/>
        <v>-2.9179963092010874E-3</v>
      </c>
      <c r="D195">
        <f t="shared" si="13"/>
        <v>1.3915736581791315E-2</v>
      </c>
      <c r="E195">
        <f t="shared" si="14"/>
        <v>-1.6833732890992402E-2</v>
      </c>
      <c r="F195">
        <f t="shared" si="17"/>
        <v>2.681314559678865E-2</v>
      </c>
      <c r="G195">
        <f t="shared" si="15"/>
        <v>-0.62781641304362812</v>
      </c>
      <c r="H195">
        <f t="shared" si="16"/>
        <v>-1.1160152574481563</v>
      </c>
    </row>
    <row r="196" spans="1:8" x14ac:dyDescent="0.45">
      <c r="A196" s="2">
        <v>42649</v>
      </c>
      <c r="B196">
        <v>4480.1000000000004</v>
      </c>
      <c r="C196">
        <f t="shared" ref="C196:C259" si="18">B196/B195-1</f>
        <v>-2.1937883495360966E-3</v>
      </c>
      <c r="D196">
        <f t="shared" si="13"/>
        <v>6.3247951468465569E-3</v>
      </c>
      <c r="E196">
        <f t="shared" si="14"/>
        <v>-8.5185834963826534E-3</v>
      </c>
      <c r="F196">
        <f t="shared" si="17"/>
        <v>2.0899786949443274E-2</v>
      </c>
      <c r="G196">
        <f t="shared" si="15"/>
        <v>-0.40759188201244179</v>
      </c>
      <c r="H196">
        <f t="shared" si="16"/>
        <v>-1.0020041043458947</v>
      </c>
    </row>
    <row r="197" spans="1:8" x14ac:dyDescent="0.45">
      <c r="A197" s="2">
        <v>42650</v>
      </c>
      <c r="B197">
        <v>4449.91</v>
      </c>
      <c r="C197">
        <f t="shared" si="18"/>
        <v>-6.7386888685521118E-3</v>
      </c>
      <c r="D197">
        <f t="shared" si="13"/>
        <v>-5.085812193648934E-3</v>
      </c>
      <c r="E197">
        <f t="shared" si="14"/>
        <v>-1.6528766749031778E-3</v>
      </c>
      <c r="F197">
        <f t="shared" si="17"/>
        <v>1.5186780909688818E-2</v>
      </c>
      <c r="G197">
        <f t="shared" si="15"/>
        <v>-0.10883653914100258</v>
      </c>
      <c r="H197">
        <f t="shared" si="16"/>
        <v>-0.9248612293307682</v>
      </c>
    </row>
    <row r="198" spans="1:8" x14ac:dyDescent="0.45">
      <c r="A198" s="2">
        <v>42653</v>
      </c>
      <c r="B198">
        <v>4497.26</v>
      </c>
      <c r="C198">
        <f t="shared" si="18"/>
        <v>1.0640664642655784E-2</v>
      </c>
      <c r="D198">
        <f t="shared" ref="D198:D261" si="19">SUMPRODUCT(C196:C197,$O$8:$O$9)</f>
        <v>-9.7159605570917591E-3</v>
      </c>
      <c r="E198">
        <f t="shared" ref="E198:E261" si="20">C198-D198</f>
        <v>2.0356625199747541E-2</v>
      </c>
      <c r="F198">
        <f t="shared" si="17"/>
        <v>9.5067130139795727E-3</v>
      </c>
      <c r="G198">
        <f t="shared" ref="G198:G261" si="21">E198/F198</f>
        <v>2.141289546640698</v>
      </c>
      <c r="H198">
        <f t="shared" ref="H198:H261" si="22">-(G198^2)/2-LN(2*PI())/2</f>
        <v>-3.2114989944810359</v>
      </c>
    </row>
    <row r="199" spans="1:8" x14ac:dyDescent="0.45">
      <c r="A199" s="2">
        <v>42654</v>
      </c>
      <c r="B199">
        <v>4471.74</v>
      </c>
      <c r="C199">
        <f t="shared" si="18"/>
        <v>-5.6745662914753359E-3</v>
      </c>
      <c r="D199">
        <f t="shared" si="19"/>
        <v>6.4402180372970432E-3</v>
      </c>
      <c r="E199">
        <f t="shared" si="20"/>
        <v>-1.2114784328772379E-2</v>
      </c>
      <c r="F199">
        <f t="shared" ref="F199:F262" si="23">SQRT($O$4+$O$5*F198^2+$O$6*G198^2)</f>
        <v>6.2723244830760902E-2</v>
      </c>
      <c r="G199">
        <f t="shared" si="21"/>
        <v>-0.19314664541766521</v>
      </c>
      <c r="H199">
        <f t="shared" si="22"/>
        <v>-0.93759134652272136</v>
      </c>
    </row>
    <row r="200" spans="1:8" x14ac:dyDescent="0.45">
      <c r="A200" s="2">
        <v>42655</v>
      </c>
      <c r="B200">
        <v>4452.24</v>
      </c>
      <c r="C200">
        <f t="shared" si="18"/>
        <v>-4.3607186464329484E-3</v>
      </c>
      <c r="D200">
        <f t="shared" si="19"/>
        <v>2.7138233870379501E-3</v>
      </c>
      <c r="E200">
        <f t="shared" si="20"/>
        <v>-7.0745420334708984E-3</v>
      </c>
      <c r="F200">
        <f t="shared" si="23"/>
        <v>1.7253466921528342E-2</v>
      </c>
      <c r="G200">
        <f t="shared" si="21"/>
        <v>-0.41003596932993819</v>
      </c>
      <c r="H200">
        <f t="shared" si="22"/>
        <v>-1.0030032812768437</v>
      </c>
    </row>
    <row r="201" spans="1:8" x14ac:dyDescent="0.45">
      <c r="A201" s="2">
        <v>42656</v>
      </c>
      <c r="B201">
        <v>4405.17</v>
      </c>
      <c r="C201">
        <f t="shared" si="18"/>
        <v>-1.0572206350061952E-2</v>
      </c>
      <c r="D201">
        <f t="shared" si="19"/>
        <v>-9.9996879015310548E-3</v>
      </c>
      <c r="E201">
        <f t="shared" si="20"/>
        <v>-5.7251844853089748E-4</v>
      </c>
      <c r="F201">
        <f t="shared" si="23"/>
        <v>1.5011303092091076E-2</v>
      </c>
      <c r="G201">
        <f t="shared" si="21"/>
        <v>-3.8139157208313061E-2</v>
      </c>
      <c r="H201">
        <f t="shared" si="22"/>
        <v>-0.91966583086095288</v>
      </c>
    </row>
    <row r="202" spans="1:8" x14ac:dyDescent="0.45">
      <c r="A202" s="2">
        <v>42657</v>
      </c>
      <c r="B202">
        <v>4470.92</v>
      </c>
      <c r="C202">
        <f t="shared" si="18"/>
        <v>1.4925644186262854E-2</v>
      </c>
      <c r="D202">
        <f t="shared" si="19"/>
        <v>-1.6044933600509376E-2</v>
      </c>
      <c r="E202">
        <f t="shared" si="20"/>
        <v>3.097057778677223E-2</v>
      </c>
      <c r="F202">
        <f t="shared" si="23"/>
        <v>9.0201008195926469E-3</v>
      </c>
      <c r="G202">
        <f t="shared" si="21"/>
        <v>3.4335068317086592</v>
      </c>
      <c r="H202">
        <f t="shared" si="22"/>
        <v>-6.81342311489969</v>
      </c>
    </row>
    <row r="203" spans="1:8" x14ac:dyDescent="0.45">
      <c r="A203" s="2">
        <v>42660</v>
      </c>
      <c r="B203">
        <v>4450.2299999999996</v>
      </c>
      <c r="C203">
        <f t="shared" si="18"/>
        <v>-4.6276828930065239E-3</v>
      </c>
      <c r="D203">
        <f t="shared" si="19"/>
        <v>8.0566342732310472E-3</v>
      </c>
      <c r="E203">
        <f t="shared" si="20"/>
        <v>-1.2684317166237571E-2</v>
      </c>
      <c r="F203">
        <f t="shared" si="23"/>
        <v>9.9998296607559309E-2</v>
      </c>
      <c r="G203">
        <f t="shared" si="21"/>
        <v>-0.12684533233617809</v>
      </c>
      <c r="H203">
        <f t="shared" si="22"/>
        <v>-0.92698340237241039</v>
      </c>
    </row>
    <row r="204" spans="1:8" x14ac:dyDescent="0.45">
      <c r="A204" s="2">
        <v>42661</v>
      </c>
      <c r="B204">
        <v>4508.91</v>
      </c>
      <c r="C204">
        <f t="shared" si="18"/>
        <v>1.3185835338847651E-2</v>
      </c>
      <c r="D204">
        <f t="shared" si="19"/>
        <v>7.6644310606433803E-3</v>
      </c>
      <c r="E204">
        <f t="shared" si="20"/>
        <v>5.521404278204271E-3</v>
      </c>
      <c r="F204">
        <f t="shared" si="23"/>
        <v>2.417057189166515E-2</v>
      </c>
      <c r="G204">
        <f t="shared" si="21"/>
        <v>0.22843498709719162</v>
      </c>
      <c r="H204">
        <f t="shared" si="22"/>
        <v>-0.94502980486971977</v>
      </c>
    </row>
    <row r="205" spans="1:8" x14ac:dyDescent="0.45">
      <c r="A205" s="2">
        <v>42662</v>
      </c>
      <c r="B205">
        <v>4520.3</v>
      </c>
      <c r="C205">
        <f t="shared" si="18"/>
        <v>2.5261094144706231E-3</v>
      </c>
      <c r="D205">
        <f t="shared" si="19"/>
        <v>1.1228773980443051E-2</v>
      </c>
      <c r="E205">
        <f t="shared" si="20"/>
        <v>-8.7026645659724275E-3</v>
      </c>
      <c r="F205">
        <f t="shared" si="23"/>
        <v>1.1920047439654231E-2</v>
      </c>
      <c r="G205">
        <f t="shared" si="21"/>
        <v>-0.73008640360116461</v>
      </c>
      <c r="H205">
        <f t="shared" si="22"/>
        <v>-1.1854516115663141</v>
      </c>
    </row>
    <row r="206" spans="1:8" x14ac:dyDescent="0.45">
      <c r="A206" s="2">
        <v>42663</v>
      </c>
      <c r="B206">
        <v>4540.12</v>
      </c>
      <c r="C206">
        <f t="shared" si="18"/>
        <v>4.3846647346414969E-3</v>
      </c>
      <c r="D206">
        <f t="shared" si="19"/>
        <v>1.4429018598672256E-2</v>
      </c>
      <c r="E206">
        <f t="shared" si="20"/>
        <v>-1.0044353864030759E-2</v>
      </c>
      <c r="F206">
        <f t="shared" si="23"/>
        <v>2.2908231402951267E-2</v>
      </c>
      <c r="G206">
        <f t="shared" si="21"/>
        <v>-0.43846046808907058</v>
      </c>
      <c r="H206">
        <f t="shared" si="22"/>
        <v>-1.015062324243116</v>
      </c>
    </row>
    <row r="207" spans="1:8" x14ac:dyDescent="0.45">
      <c r="A207" s="2">
        <v>42664</v>
      </c>
      <c r="B207">
        <v>4536.07</v>
      </c>
      <c r="C207">
        <f t="shared" si="18"/>
        <v>-8.92046906249222E-4</v>
      </c>
      <c r="D207">
        <f t="shared" si="19"/>
        <v>7.2804567285521607E-3</v>
      </c>
      <c r="E207">
        <f t="shared" si="20"/>
        <v>-8.1725036348013827E-3</v>
      </c>
      <c r="F207">
        <f t="shared" si="23"/>
        <v>1.6032621685032035E-2</v>
      </c>
      <c r="G207">
        <f t="shared" si="21"/>
        <v>-0.50974218660889292</v>
      </c>
      <c r="H207">
        <f t="shared" si="22"/>
        <v>-1.0488570816090803</v>
      </c>
    </row>
    <row r="208" spans="1:8" x14ac:dyDescent="0.45">
      <c r="A208" s="2">
        <v>42667</v>
      </c>
      <c r="B208">
        <v>4552.58</v>
      </c>
      <c r="C208">
        <f t="shared" si="18"/>
        <v>3.6397145546696041E-3</v>
      </c>
      <c r="D208">
        <f t="shared" si="19"/>
        <v>2.7927225174605762E-3</v>
      </c>
      <c r="E208">
        <f t="shared" si="20"/>
        <v>8.4699203720902793E-4</v>
      </c>
      <c r="F208">
        <f t="shared" si="23"/>
        <v>1.7335541637719783E-2</v>
      </c>
      <c r="G208">
        <f t="shared" si="21"/>
        <v>4.8858700518828228E-2</v>
      </c>
      <c r="H208">
        <f t="shared" si="22"/>
        <v>-0.920132119512867</v>
      </c>
    </row>
    <row r="209" spans="1:8" x14ac:dyDescent="0.45">
      <c r="A209" s="2">
        <v>42668</v>
      </c>
      <c r="B209">
        <v>4540.84</v>
      </c>
      <c r="C209">
        <f t="shared" si="18"/>
        <v>-2.5787575396807316E-3</v>
      </c>
      <c r="D209">
        <f t="shared" si="19"/>
        <v>3.4357049669080609E-3</v>
      </c>
      <c r="E209">
        <f t="shared" si="20"/>
        <v>-6.0144625065887925E-3</v>
      </c>
      <c r="F209">
        <f t="shared" si="23"/>
        <v>9.2693329309315228E-3</v>
      </c>
      <c r="G209">
        <f t="shared" si="21"/>
        <v>-0.64885602355685035</v>
      </c>
      <c r="H209">
        <f t="shared" si="22"/>
        <v>-1.1294456028576767</v>
      </c>
    </row>
    <row r="210" spans="1:8" x14ac:dyDescent="0.45">
      <c r="A210" s="2">
        <v>42669</v>
      </c>
      <c r="B210">
        <v>4534.59</v>
      </c>
      <c r="C210">
        <f t="shared" si="18"/>
        <v>-1.3763973185577649E-3</v>
      </c>
      <c r="D210">
        <f t="shared" si="19"/>
        <v>1.8992795150357764E-4</v>
      </c>
      <c r="E210">
        <f t="shared" si="20"/>
        <v>-1.5663252700613426E-3</v>
      </c>
      <c r="F210">
        <f t="shared" si="23"/>
        <v>2.0679700920238655E-2</v>
      </c>
      <c r="G210">
        <f t="shared" si="21"/>
        <v>-7.5742162621337678E-2</v>
      </c>
      <c r="H210">
        <f t="shared" si="22"/>
        <v>-0.92180697080395124</v>
      </c>
    </row>
    <row r="211" spans="1:8" x14ac:dyDescent="0.45">
      <c r="A211" s="2">
        <v>42670</v>
      </c>
      <c r="B211">
        <v>4533.57</v>
      </c>
      <c r="C211">
        <f t="shared" si="18"/>
        <v>-2.2493764596143162E-4</v>
      </c>
      <c r="D211">
        <f t="shared" si="19"/>
        <v>-3.8434738053624634E-3</v>
      </c>
      <c r="E211">
        <f t="shared" si="20"/>
        <v>3.6185361594010318E-3</v>
      </c>
      <c r="F211">
        <f t="shared" si="23"/>
        <v>9.7530079544266013E-3</v>
      </c>
      <c r="G211">
        <f t="shared" si="21"/>
        <v>0.37101745187839053</v>
      </c>
      <c r="H211">
        <f t="shared" si="22"/>
        <v>-0.98776550800383955</v>
      </c>
    </row>
    <row r="212" spans="1:8" x14ac:dyDescent="0.45">
      <c r="A212" s="2">
        <v>42671</v>
      </c>
      <c r="B212">
        <v>4548.58</v>
      </c>
      <c r="C212">
        <f t="shared" si="18"/>
        <v>3.3108565655763922E-3</v>
      </c>
      <c r="D212">
        <f t="shared" si="19"/>
        <v>-1.461303407369687E-3</v>
      </c>
      <c r="E212">
        <f t="shared" si="20"/>
        <v>4.7721599729460794E-3</v>
      </c>
      <c r="F212">
        <f t="shared" si="23"/>
        <v>1.3766336595669634E-2</v>
      </c>
      <c r="G212">
        <f t="shared" si="21"/>
        <v>0.34665431429645699</v>
      </c>
      <c r="H212">
        <f t="shared" si="22"/>
        <v>-0.97902314001484603</v>
      </c>
    </row>
    <row r="213" spans="1:8" x14ac:dyDescent="0.45">
      <c r="A213" s="2">
        <v>42674</v>
      </c>
      <c r="B213">
        <v>4509.26</v>
      </c>
      <c r="C213">
        <f t="shared" si="18"/>
        <v>-8.6444560720048136E-3</v>
      </c>
      <c r="D213">
        <f t="shared" si="19"/>
        <v>3.6369965196482398E-3</v>
      </c>
      <c r="E213">
        <f t="shared" si="20"/>
        <v>-1.2281452591653053E-2</v>
      </c>
      <c r="F213">
        <f t="shared" si="23"/>
        <v>1.3398742480563162E-2</v>
      </c>
      <c r="G213">
        <f t="shared" si="21"/>
        <v>-0.91661233205049641</v>
      </c>
      <c r="H213">
        <f t="shared" si="22"/>
        <v>-1.3390276168381974</v>
      </c>
    </row>
    <row r="214" spans="1:8" x14ac:dyDescent="0.45">
      <c r="A214" s="2">
        <v>42675</v>
      </c>
      <c r="B214">
        <v>4470.28</v>
      </c>
      <c r="C214">
        <f t="shared" si="18"/>
        <v>-8.6444338982450963E-3</v>
      </c>
      <c r="D214">
        <f t="shared" si="19"/>
        <v>-7.1197482237719805E-3</v>
      </c>
      <c r="E214">
        <f t="shared" si="20"/>
        <v>-1.5246856744731158E-3</v>
      </c>
      <c r="F214">
        <f t="shared" si="23"/>
        <v>2.8023192098101779E-2</v>
      </c>
      <c r="G214">
        <f t="shared" si="21"/>
        <v>-5.4407994247607297E-2</v>
      </c>
      <c r="H214">
        <f t="shared" si="22"/>
        <v>-0.92041864812369656</v>
      </c>
    </row>
    <row r="215" spans="1:8" x14ac:dyDescent="0.45">
      <c r="A215" s="2">
        <v>42676</v>
      </c>
      <c r="B215">
        <v>4414.67</v>
      </c>
      <c r="C215">
        <f t="shared" si="18"/>
        <v>-1.2439936648263594E-2</v>
      </c>
      <c r="D215">
        <f t="shared" si="19"/>
        <v>-1.755045522335829E-2</v>
      </c>
      <c r="E215">
        <f t="shared" si="20"/>
        <v>5.1105185750946955E-3</v>
      </c>
      <c r="F215">
        <f t="shared" si="23"/>
        <v>1.0522927408395876E-2</v>
      </c>
      <c r="G215">
        <f t="shared" si="21"/>
        <v>0.48565559532580177</v>
      </c>
      <c r="H215">
        <f t="shared" si="22"/>
        <v>-1.0368692118403022</v>
      </c>
    </row>
    <row r="216" spans="1:8" x14ac:dyDescent="0.45">
      <c r="A216" s="2">
        <v>42677</v>
      </c>
      <c r="B216">
        <v>4411.68</v>
      </c>
      <c r="C216">
        <f t="shared" si="18"/>
        <v>-6.7728731705873901E-4</v>
      </c>
      <c r="D216">
        <f t="shared" si="19"/>
        <v>-2.1944799789803068E-2</v>
      </c>
      <c r="E216">
        <f t="shared" si="20"/>
        <v>2.1267512472744329E-2</v>
      </c>
      <c r="F216">
        <f t="shared" si="23"/>
        <v>1.6522400820713264E-2</v>
      </c>
      <c r="G216">
        <f t="shared" si="21"/>
        <v>1.2871926243359479</v>
      </c>
      <c r="H216">
        <f t="shared" si="22"/>
        <v>-1.747370959277105</v>
      </c>
    </row>
    <row r="217" spans="1:8" x14ac:dyDescent="0.45">
      <c r="A217" s="2">
        <v>42678</v>
      </c>
      <c r="B217">
        <v>4377.46</v>
      </c>
      <c r="C217">
        <f t="shared" si="18"/>
        <v>-7.7566822616328412E-3</v>
      </c>
      <c r="D217">
        <f t="shared" si="19"/>
        <v>-1.163770678064727E-2</v>
      </c>
      <c r="E217">
        <f t="shared" si="20"/>
        <v>3.8810245190144289E-3</v>
      </c>
      <c r="F217">
        <f t="shared" si="23"/>
        <v>3.8440475785772477E-2</v>
      </c>
      <c r="G217">
        <f t="shared" si="21"/>
        <v>0.10096192723116261</v>
      </c>
      <c r="H217">
        <f t="shared" si="22"/>
        <v>-0.92403518857978795</v>
      </c>
    </row>
    <row r="218" spans="1:8" x14ac:dyDescent="0.45">
      <c r="A218" s="2">
        <v>42681</v>
      </c>
      <c r="B218">
        <v>4461.21</v>
      </c>
      <c r="C218">
        <f t="shared" si="18"/>
        <v>1.9132099436659722E-2</v>
      </c>
      <c r="D218">
        <f t="shared" si="19"/>
        <v>-9.5714628176678009E-3</v>
      </c>
      <c r="E218">
        <f t="shared" si="20"/>
        <v>2.8703562254327523E-2</v>
      </c>
      <c r="F218">
        <f t="shared" si="23"/>
        <v>1.23113619417053E-2</v>
      </c>
      <c r="G218">
        <f t="shared" si="21"/>
        <v>2.3314692874955529</v>
      </c>
      <c r="H218">
        <f t="shared" si="22"/>
        <v>-3.6368130524721831</v>
      </c>
    </row>
    <row r="219" spans="1:8" x14ac:dyDescent="0.45">
      <c r="A219" s="2">
        <v>42682</v>
      </c>
      <c r="B219">
        <v>4476.8900000000003</v>
      </c>
      <c r="C219">
        <f t="shared" si="18"/>
        <v>3.5147415163152562E-3</v>
      </c>
      <c r="D219">
        <f t="shared" si="19"/>
        <v>1.5383270891489817E-2</v>
      </c>
      <c r="E219">
        <f t="shared" si="20"/>
        <v>-1.1868529375174561E-2</v>
      </c>
      <c r="F219">
        <f t="shared" si="23"/>
        <v>6.8216835915031332E-2</v>
      </c>
      <c r="G219">
        <f t="shared" si="21"/>
        <v>-0.17398240794922845</v>
      </c>
      <c r="H219">
        <f t="shared" si="22"/>
        <v>-0.93407347234257854</v>
      </c>
    </row>
    <row r="220" spans="1:8" x14ac:dyDescent="0.45">
      <c r="A220" s="2">
        <v>42683</v>
      </c>
      <c r="B220">
        <v>4543.4799999999996</v>
      </c>
      <c r="C220">
        <f t="shared" si="18"/>
        <v>1.4874164877850315E-2</v>
      </c>
      <c r="D220">
        <f t="shared" si="19"/>
        <v>2.0761616180894428E-2</v>
      </c>
      <c r="E220">
        <f t="shared" si="20"/>
        <v>-5.8874513030441125E-3</v>
      </c>
      <c r="F220">
        <f t="shared" si="23"/>
        <v>1.8106846666606113E-2</v>
      </c>
      <c r="G220">
        <f t="shared" si="21"/>
        <v>-0.32515055831903372</v>
      </c>
      <c r="H220">
        <f t="shared" si="22"/>
        <v>-0.97179997599226231</v>
      </c>
    </row>
    <row r="221" spans="1:8" x14ac:dyDescent="0.45">
      <c r="A221" s="2">
        <v>42684</v>
      </c>
      <c r="B221">
        <v>4530.95</v>
      </c>
      <c r="C221">
        <f t="shared" si="18"/>
        <v>-2.757797987445687E-3</v>
      </c>
      <c r="D221">
        <f t="shared" si="19"/>
        <v>2.0287567380304319E-2</v>
      </c>
      <c r="E221">
        <f t="shared" si="20"/>
        <v>-2.3045365367750006E-2</v>
      </c>
      <c r="F221">
        <f t="shared" si="23"/>
        <v>1.3202459666942513E-2</v>
      </c>
      <c r="G221">
        <f t="shared" si="21"/>
        <v>-1.7455357523608295</v>
      </c>
      <c r="H221">
        <f t="shared" si="22"/>
        <v>-2.4423860645896163</v>
      </c>
    </row>
    <row r="222" spans="1:8" x14ac:dyDescent="0.45">
      <c r="A222" s="2">
        <v>42685</v>
      </c>
      <c r="B222">
        <v>4489.2700000000004</v>
      </c>
      <c r="C222">
        <f t="shared" si="18"/>
        <v>-9.1989538617728295E-3</v>
      </c>
      <c r="D222">
        <f t="shared" si="19"/>
        <v>9.7844352252063616E-3</v>
      </c>
      <c r="E222">
        <f t="shared" si="20"/>
        <v>-1.8983389086979191E-2</v>
      </c>
      <c r="F222">
        <f t="shared" si="23"/>
        <v>5.1411811860888557E-2</v>
      </c>
      <c r="G222">
        <f t="shared" si="21"/>
        <v>-0.36924178315957717</v>
      </c>
      <c r="H222">
        <f t="shared" si="22"/>
        <v>-0.98710828042010479</v>
      </c>
    </row>
    <row r="223" spans="1:8" x14ac:dyDescent="0.45">
      <c r="A223" s="2">
        <v>42688</v>
      </c>
      <c r="B223">
        <v>4508.55</v>
      </c>
      <c r="C223">
        <f t="shared" si="18"/>
        <v>4.294684881951838E-3</v>
      </c>
      <c r="D223">
        <f t="shared" si="19"/>
        <v>-1.3056495841630713E-2</v>
      </c>
      <c r="E223">
        <f t="shared" si="20"/>
        <v>1.7351180723582549E-2</v>
      </c>
      <c r="F223">
        <f t="shared" si="23"/>
        <v>1.7784291170176117E-2</v>
      </c>
      <c r="G223">
        <f t="shared" si="21"/>
        <v>0.97564645998824595</v>
      </c>
      <c r="H223">
        <f t="shared" si="22"/>
        <v>-1.3948815406484707</v>
      </c>
    </row>
    <row r="224" spans="1:8" x14ac:dyDescent="0.45">
      <c r="A224" s="2">
        <v>42689</v>
      </c>
      <c r="B224">
        <v>4536.53</v>
      </c>
      <c r="C224">
        <f t="shared" si="18"/>
        <v>6.2059864036108081E-3</v>
      </c>
      <c r="D224">
        <f t="shared" si="19"/>
        <v>-3.0535657556691811E-3</v>
      </c>
      <c r="E224">
        <f t="shared" si="20"/>
        <v>9.2595521592799893E-3</v>
      </c>
      <c r="F224">
        <f t="shared" si="23"/>
        <v>2.9769523997716627E-2</v>
      </c>
      <c r="G224">
        <f t="shared" si="21"/>
        <v>0.3110413240060611</v>
      </c>
      <c r="H224">
        <f t="shared" si="22"/>
        <v>-0.96731188582439442</v>
      </c>
    </row>
    <row r="225" spans="1:8" x14ac:dyDescent="0.45">
      <c r="A225" s="2">
        <v>42690</v>
      </c>
      <c r="B225">
        <v>4501.1400000000003</v>
      </c>
      <c r="C225">
        <f t="shared" si="18"/>
        <v>-7.8011167125533465E-3</v>
      </c>
      <c r="D225">
        <f t="shared" si="19"/>
        <v>1.0932190792829624E-2</v>
      </c>
      <c r="E225">
        <f t="shared" si="20"/>
        <v>-1.8733307505382969E-2</v>
      </c>
      <c r="F225">
        <f t="shared" si="23"/>
        <v>1.3955955070075875E-2</v>
      </c>
      <c r="G225">
        <f t="shared" si="21"/>
        <v>-1.3423164098278457</v>
      </c>
      <c r="H225">
        <f t="shared" si="22"/>
        <v>-1.8198452052512311</v>
      </c>
    </row>
    <row r="226" spans="1:8" x14ac:dyDescent="0.45">
      <c r="A226" s="2">
        <v>42691</v>
      </c>
      <c r="B226">
        <v>4527.7700000000004</v>
      </c>
      <c r="C226">
        <f t="shared" si="18"/>
        <v>5.9162789871010091E-3</v>
      </c>
      <c r="D226">
        <f t="shared" si="19"/>
        <v>-3.6174117246096822E-3</v>
      </c>
      <c r="E226">
        <f t="shared" si="20"/>
        <v>9.5336907117106913E-3</v>
      </c>
      <c r="F226">
        <f t="shared" si="23"/>
        <v>3.9947422770254391E-2</v>
      </c>
      <c r="G226">
        <f t="shared" si="21"/>
        <v>0.23865596452969823</v>
      </c>
      <c r="H226">
        <f t="shared" si="22"/>
        <v>-0.94741686790747293</v>
      </c>
    </row>
    <row r="227" spans="1:8" x14ac:dyDescent="0.45">
      <c r="A227" s="2">
        <v>42692</v>
      </c>
      <c r="B227">
        <v>4504.3500000000004</v>
      </c>
      <c r="C227">
        <f t="shared" si="18"/>
        <v>-5.1725242227410595E-3</v>
      </c>
      <c r="D227">
        <f t="shared" si="19"/>
        <v>4.3466801089350054E-5</v>
      </c>
      <c r="E227">
        <f t="shared" si="20"/>
        <v>-5.2159910238304096E-3</v>
      </c>
      <c r="F227">
        <f t="shared" si="23"/>
        <v>1.4031192518278226E-2</v>
      </c>
      <c r="G227">
        <f t="shared" si="21"/>
        <v>-0.37174253129487145</v>
      </c>
      <c r="H227">
        <f t="shared" si="22"/>
        <v>-0.98803478799143196</v>
      </c>
    </row>
    <row r="228" spans="1:8" x14ac:dyDescent="0.45">
      <c r="A228" s="2">
        <v>42695</v>
      </c>
      <c r="B228">
        <v>4529.58</v>
      </c>
      <c r="C228">
        <f t="shared" si="18"/>
        <v>5.6012521229478196E-3</v>
      </c>
      <c r="D228">
        <f t="shared" si="19"/>
        <v>-8.2683823874492562E-4</v>
      </c>
      <c r="E228">
        <f t="shared" si="20"/>
        <v>6.4280903616927452E-3</v>
      </c>
      <c r="F228">
        <f t="shared" si="23"/>
        <v>1.3966820151543413E-2</v>
      </c>
      <c r="G228">
        <f t="shared" si="21"/>
        <v>0.46024007554664509</v>
      </c>
      <c r="H228">
        <f t="shared" si="22"/>
        <v>-1.0248489967742636</v>
      </c>
    </row>
    <row r="229" spans="1:8" x14ac:dyDescent="0.45">
      <c r="A229" s="2">
        <v>42696</v>
      </c>
      <c r="B229">
        <v>4548.3500000000004</v>
      </c>
      <c r="C229">
        <f t="shared" si="18"/>
        <v>4.1438720587780864E-3</v>
      </c>
      <c r="D229">
        <f t="shared" si="19"/>
        <v>1.9721203500151626E-3</v>
      </c>
      <c r="E229">
        <f t="shared" si="20"/>
        <v>2.1717517087629238E-3</v>
      </c>
      <c r="F229">
        <f t="shared" si="23"/>
        <v>1.6030578995927296E-2</v>
      </c>
      <c r="G229">
        <f t="shared" si="21"/>
        <v>0.13547556263031271</v>
      </c>
      <c r="H229">
        <f t="shared" si="22"/>
        <v>-0.92811534723967259</v>
      </c>
    </row>
    <row r="230" spans="1:8" x14ac:dyDescent="0.45">
      <c r="A230" s="2">
        <v>42697</v>
      </c>
      <c r="B230">
        <v>4529.21</v>
      </c>
      <c r="C230">
        <f t="shared" si="18"/>
        <v>-4.2081194279245393E-3</v>
      </c>
      <c r="D230">
        <f t="shared" si="19"/>
        <v>9.6846619646086332E-3</v>
      </c>
      <c r="E230">
        <f t="shared" si="20"/>
        <v>-1.3892781392533173E-2</v>
      </c>
      <c r="F230">
        <f t="shared" si="23"/>
        <v>9.8579772776503007E-3</v>
      </c>
      <c r="G230">
        <f t="shared" si="21"/>
        <v>-1.4092933064504474</v>
      </c>
      <c r="H230">
        <f t="shared" si="22"/>
        <v>-1.9119923450076901</v>
      </c>
    </row>
    <row r="231" spans="1:8" x14ac:dyDescent="0.45">
      <c r="A231" s="2">
        <v>42698</v>
      </c>
      <c r="B231">
        <v>4542.5600000000004</v>
      </c>
      <c r="C231">
        <f t="shared" si="18"/>
        <v>2.9475338966398201E-3</v>
      </c>
      <c r="D231">
        <f t="shared" si="19"/>
        <v>-1.2566518325577993E-3</v>
      </c>
      <c r="E231">
        <f t="shared" si="20"/>
        <v>4.2041857291976199E-3</v>
      </c>
      <c r="F231">
        <f t="shared" si="23"/>
        <v>4.1786141333048199E-2</v>
      </c>
      <c r="G231">
        <f t="shared" si="21"/>
        <v>0.1006119635620094</v>
      </c>
      <c r="H231">
        <f t="shared" si="22"/>
        <v>-0.92399991681057425</v>
      </c>
    </row>
    <row r="232" spans="1:8" x14ac:dyDescent="0.45">
      <c r="A232" s="2">
        <v>42699</v>
      </c>
      <c r="B232">
        <v>4550.2700000000004</v>
      </c>
      <c r="C232">
        <f t="shared" si="18"/>
        <v>1.6972808284314578E-3</v>
      </c>
      <c r="D232">
        <f t="shared" si="19"/>
        <v>-2.5888545967001292E-4</v>
      </c>
      <c r="E232">
        <f t="shared" si="20"/>
        <v>1.9561662881014707E-3</v>
      </c>
      <c r="F232">
        <f t="shared" si="23"/>
        <v>1.2844479174916781E-2</v>
      </c>
      <c r="G232">
        <f t="shared" si="21"/>
        <v>0.15229627153131683</v>
      </c>
      <c r="H232">
        <f t="shared" si="22"/>
        <v>-0.93053561036584298</v>
      </c>
    </row>
    <row r="233" spans="1:8" x14ac:dyDescent="0.45">
      <c r="A233" s="2">
        <v>42702</v>
      </c>
      <c r="B233">
        <v>4510.3900000000003</v>
      </c>
      <c r="C233">
        <f t="shared" si="18"/>
        <v>-8.7643150845994056E-3</v>
      </c>
      <c r="D233">
        <f t="shared" si="19"/>
        <v>4.5367356935267101E-3</v>
      </c>
      <c r="E233">
        <f t="shared" si="20"/>
        <v>-1.3301050778126116E-2</v>
      </c>
      <c r="F233">
        <f t="shared" si="23"/>
        <v>9.830493059937705E-3</v>
      </c>
      <c r="G233">
        <f t="shared" si="21"/>
        <v>-1.3530400456038167</v>
      </c>
      <c r="H233">
        <f t="shared" si="22"/>
        <v>-1.834297215708462</v>
      </c>
    </row>
    <row r="234" spans="1:8" x14ac:dyDescent="0.45">
      <c r="A234" s="2">
        <v>42703</v>
      </c>
      <c r="B234">
        <v>4551.46</v>
      </c>
      <c r="C234">
        <f t="shared" si="18"/>
        <v>9.1056427492965941E-3</v>
      </c>
      <c r="D234">
        <f t="shared" si="19"/>
        <v>-8.6663261673386623E-3</v>
      </c>
      <c r="E234">
        <f t="shared" si="20"/>
        <v>1.7771968916635256E-2</v>
      </c>
      <c r="F234">
        <f t="shared" si="23"/>
        <v>4.018967669865213E-2</v>
      </c>
      <c r="G234">
        <f t="shared" si="21"/>
        <v>0.44220233593546893</v>
      </c>
      <c r="H234">
        <f t="shared" si="22"/>
        <v>-1.0167099861580653</v>
      </c>
    </row>
    <row r="235" spans="1:8" x14ac:dyDescent="0.45">
      <c r="A235" s="2">
        <v>42704</v>
      </c>
      <c r="B235">
        <v>4578.34</v>
      </c>
      <c r="C235">
        <f t="shared" si="18"/>
        <v>5.9057972606593179E-3</v>
      </c>
      <c r="D235">
        <f t="shared" si="19"/>
        <v>2.8956858261651799E-3</v>
      </c>
      <c r="E235">
        <f t="shared" si="20"/>
        <v>3.0101114344941379E-3</v>
      </c>
      <c r="F235">
        <f t="shared" si="23"/>
        <v>1.7735370736739892E-2</v>
      </c>
      <c r="G235">
        <f t="shared" si="21"/>
        <v>0.16972362625938855</v>
      </c>
      <c r="H235">
        <f t="shared" si="22"/>
        <v>-0.933341587859991</v>
      </c>
    </row>
    <row r="236" spans="1:8" x14ac:dyDescent="0.45">
      <c r="A236" s="2">
        <v>42705</v>
      </c>
      <c r="B236">
        <v>4560.6099999999997</v>
      </c>
      <c r="C236">
        <f t="shared" si="18"/>
        <v>-3.8725826391226015E-3</v>
      </c>
      <c r="D236">
        <f t="shared" si="19"/>
        <v>1.4782086301965147E-2</v>
      </c>
      <c r="E236">
        <f t="shared" si="20"/>
        <v>-1.8654668941087749E-2</v>
      </c>
      <c r="F236">
        <f t="shared" si="23"/>
        <v>1.0434077628472083E-2</v>
      </c>
      <c r="G236">
        <f t="shared" si="21"/>
        <v>-1.7878598957500231</v>
      </c>
      <c r="H236">
        <f t="shared" si="22"/>
        <v>-2.5171600366203144</v>
      </c>
    </row>
    <row r="237" spans="1:8" x14ac:dyDescent="0.45">
      <c r="A237" s="2">
        <v>42706</v>
      </c>
      <c r="B237">
        <v>4528.82</v>
      </c>
      <c r="C237">
        <f t="shared" si="18"/>
        <v>-6.9705587629724786E-3</v>
      </c>
      <c r="D237">
        <f t="shared" si="19"/>
        <v>6.690653729486927E-4</v>
      </c>
      <c r="E237">
        <f t="shared" si="20"/>
        <v>-7.6396241359211713E-3</v>
      </c>
      <c r="F237">
        <f t="shared" si="23"/>
        <v>5.2591020080195845E-2</v>
      </c>
      <c r="G237">
        <f t="shared" si="21"/>
        <v>-0.14526480232312547</v>
      </c>
      <c r="H237">
        <f t="shared" si="22"/>
        <v>-0.92948946460166104</v>
      </c>
    </row>
    <row r="238" spans="1:8" x14ac:dyDescent="0.45">
      <c r="A238" s="2">
        <v>42709</v>
      </c>
      <c r="B238">
        <v>4574.32</v>
      </c>
      <c r="C238">
        <f t="shared" si="18"/>
        <v>1.0046767149058722E-2</v>
      </c>
      <c r="D238">
        <f t="shared" si="19"/>
        <v>-1.1449124330905003E-2</v>
      </c>
      <c r="E238">
        <f t="shared" si="20"/>
        <v>2.1495891479963725E-2</v>
      </c>
      <c r="F238">
        <f t="shared" si="23"/>
        <v>1.5013377123528829E-2</v>
      </c>
      <c r="G238">
        <f t="shared" si="21"/>
        <v>1.4317825565225799</v>
      </c>
      <c r="H238">
        <f t="shared" si="22"/>
        <v>-1.9439391777858401</v>
      </c>
    </row>
    <row r="239" spans="1:8" x14ac:dyDescent="0.45">
      <c r="A239" s="2">
        <v>42710</v>
      </c>
      <c r="B239">
        <v>4631.9399999999996</v>
      </c>
      <c r="C239">
        <f t="shared" si="18"/>
        <v>1.2596407772084151E-2</v>
      </c>
      <c r="D239">
        <f t="shared" si="19"/>
        <v>5.5503132439169642E-3</v>
      </c>
      <c r="E239">
        <f t="shared" si="20"/>
        <v>7.0460945281671863E-3</v>
      </c>
      <c r="F239">
        <f t="shared" si="23"/>
        <v>4.2500792138460544E-2</v>
      </c>
      <c r="G239">
        <f t="shared" si="21"/>
        <v>0.16578736944977818</v>
      </c>
      <c r="H239">
        <f t="shared" si="22"/>
        <v>-0.93268125913921129</v>
      </c>
    </row>
    <row r="240" spans="1:8" x14ac:dyDescent="0.45">
      <c r="A240" s="2">
        <v>42711</v>
      </c>
      <c r="B240">
        <v>4694.72</v>
      </c>
      <c r="C240">
        <f t="shared" si="18"/>
        <v>1.355371615349088E-2</v>
      </c>
      <c r="D240">
        <f t="shared" si="19"/>
        <v>2.3349462404268148E-2</v>
      </c>
      <c r="E240">
        <f t="shared" si="20"/>
        <v>-9.795746250777268E-3</v>
      </c>
      <c r="F240">
        <f t="shared" si="23"/>
        <v>1.3513831378353543E-2</v>
      </c>
      <c r="G240">
        <f t="shared" si="21"/>
        <v>-0.72486817220970323</v>
      </c>
      <c r="H240">
        <f t="shared" si="22"/>
        <v>-1.1816554667459906</v>
      </c>
    </row>
    <row r="241" spans="1:8" x14ac:dyDescent="0.45">
      <c r="A241" s="2">
        <v>42712</v>
      </c>
      <c r="B241">
        <v>4735.4799999999996</v>
      </c>
      <c r="C241">
        <f t="shared" si="18"/>
        <v>8.6820939267941988E-3</v>
      </c>
      <c r="D241">
        <f t="shared" si="19"/>
        <v>2.6682318842234043E-2</v>
      </c>
      <c r="E241">
        <f t="shared" si="20"/>
        <v>-1.8000224915439844E-2</v>
      </c>
      <c r="F241">
        <f t="shared" si="23"/>
        <v>2.2812900082938629E-2</v>
      </c>
      <c r="G241">
        <f t="shared" si="21"/>
        <v>-0.78903711715731839</v>
      </c>
      <c r="H241">
        <f t="shared" si="22"/>
        <v>-1.2302283193306387</v>
      </c>
    </row>
    <row r="242" spans="1:8" x14ac:dyDescent="0.45">
      <c r="A242" s="2">
        <v>42713</v>
      </c>
      <c r="B242">
        <v>4764.07</v>
      </c>
      <c r="C242">
        <f t="shared" si="18"/>
        <v>6.0374027553702359E-3</v>
      </c>
      <c r="D242">
        <f t="shared" si="19"/>
        <v>2.187727274534329E-2</v>
      </c>
      <c r="E242">
        <f t="shared" si="20"/>
        <v>-1.5839869989973054E-2</v>
      </c>
      <c r="F242">
        <f t="shared" si="23"/>
        <v>2.4883360864360136E-2</v>
      </c>
      <c r="G242">
        <f t="shared" si="21"/>
        <v>-0.63656473401308644</v>
      </c>
      <c r="H242">
        <f t="shared" si="22"/>
        <v>-1.1215458634992483</v>
      </c>
    </row>
    <row r="243" spans="1:8" x14ac:dyDescent="0.45">
      <c r="A243" s="2">
        <v>42716</v>
      </c>
      <c r="B243">
        <v>4760.7700000000004</v>
      </c>
      <c r="C243">
        <f t="shared" si="18"/>
        <v>-6.9268503611397136E-4</v>
      </c>
      <c r="D243">
        <f t="shared" si="19"/>
        <v>1.4564920232526911E-2</v>
      </c>
      <c r="E243">
        <f t="shared" si="20"/>
        <v>-1.5257605268640883E-2</v>
      </c>
      <c r="F243">
        <f t="shared" si="23"/>
        <v>2.1002579895997062E-2</v>
      </c>
      <c r="G243">
        <f t="shared" si="21"/>
        <v>-0.72646338422209122</v>
      </c>
      <c r="H243">
        <f t="shared" si="22"/>
        <v>-1.1828130575123796</v>
      </c>
    </row>
    <row r="244" spans="1:8" x14ac:dyDescent="0.45">
      <c r="A244" s="2">
        <v>42717</v>
      </c>
      <c r="B244">
        <v>4803.87</v>
      </c>
      <c r="C244">
        <f t="shared" si="18"/>
        <v>9.0531573674006438E-3</v>
      </c>
      <c r="D244">
        <f t="shared" si="19"/>
        <v>4.4655156036539929E-3</v>
      </c>
      <c r="E244">
        <f t="shared" si="20"/>
        <v>4.5876417637466509E-3</v>
      </c>
      <c r="F244">
        <f t="shared" si="23"/>
        <v>2.3137634120727248E-2</v>
      </c>
      <c r="G244">
        <f t="shared" si="21"/>
        <v>0.19827618242251188</v>
      </c>
      <c r="H244">
        <f t="shared" si="22"/>
        <v>-0.93859525546269529</v>
      </c>
    </row>
    <row r="245" spans="1:8" x14ac:dyDescent="0.45">
      <c r="A245" s="2">
        <v>42718</v>
      </c>
      <c r="B245">
        <v>4769.24</v>
      </c>
      <c r="C245">
        <f t="shared" si="18"/>
        <v>-7.2087712615037658E-3</v>
      </c>
      <c r="D245">
        <f t="shared" si="19"/>
        <v>9.8772290002544644E-3</v>
      </c>
      <c r="E245">
        <f t="shared" si="20"/>
        <v>-1.708600026175823E-2</v>
      </c>
      <c r="F245">
        <f t="shared" si="23"/>
        <v>1.1348959368515396E-2</v>
      </c>
      <c r="G245">
        <f t="shared" si="21"/>
        <v>-1.5055125062090446</v>
      </c>
      <c r="H245">
        <f t="shared" si="22"/>
        <v>-2.0522224863805922</v>
      </c>
    </row>
    <row r="246" spans="1:8" x14ac:dyDescent="0.45">
      <c r="A246" s="2">
        <v>42719</v>
      </c>
      <c r="B246">
        <v>4819.2299999999996</v>
      </c>
      <c r="C246">
        <f t="shared" si="18"/>
        <v>1.0481753906282698E-2</v>
      </c>
      <c r="D246">
        <f t="shared" si="19"/>
        <v>-4.4751440250244759E-4</v>
      </c>
      <c r="E246">
        <f t="shared" si="20"/>
        <v>1.0929268308785146E-2</v>
      </c>
      <c r="F246">
        <f t="shared" si="23"/>
        <v>4.4540165638654899E-2</v>
      </c>
      <c r="G246">
        <f t="shared" si="21"/>
        <v>0.24538005532920615</v>
      </c>
      <c r="H246">
        <f t="shared" si="22"/>
        <v>-0.94904421898135483</v>
      </c>
    </row>
    <row r="247" spans="1:8" x14ac:dyDescent="0.45">
      <c r="A247" s="2">
        <v>42720</v>
      </c>
      <c r="B247">
        <v>4833.2700000000004</v>
      </c>
      <c r="C247">
        <f t="shared" si="18"/>
        <v>2.9133284777860258E-3</v>
      </c>
      <c r="D247">
        <f t="shared" si="19"/>
        <v>5.8460981103456702E-3</v>
      </c>
      <c r="E247">
        <f t="shared" si="20"/>
        <v>-2.9327696325596444E-3</v>
      </c>
      <c r="F247">
        <f t="shared" si="23"/>
        <v>1.4801637899480875E-2</v>
      </c>
      <c r="G247">
        <f t="shared" si="21"/>
        <v>-0.19813818257657168</v>
      </c>
      <c r="H247">
        <f t="shared" si="22"/>
        <v>-0.93856790290204606</v>
      </c>
    </row>
    <row r="248" spans="1:8" x14ac:dyDescent="0.45">
      <c r="A248" s="2">
        <v>42723</v>
      </c>
      <c r="B248">
        <v>4822.7700000000004</v>
      </c>
      <c r="C248">
        <f t="shared" si="18"/>
        <v>-2.1724422595882364E-3</v>
      </c>
      <c r="D248">
        <f t="shared" si="19"/>
        <v>1.2518085512578069E-2</v>
      </c>
      <c r="E248">
        <f t="shared" si="20"/>
        <v>-1.4690527772166305E-2</v>
      </c>
      <c r="F248">
        <f t="shared" si="23"/>
        <v>1.0624547382334093E-2</v>
      </c>
      <c r="G248">
        <f t="shared" si="21"/>
        <v>-1.3826968098982644</v>
      </c>
      <c r="H248">
        <f t="shared" si="22"/>
        <v>-1.8748637672560911</v>
      </c>
    </row>
    <row r="249" spans="1:8" x14ac:dyDescent="0.45">
      <c r="A249" s="2">
        <v>42724</v>
      </c>
      <c r="B249">
        <v>4849.8900000000003</v>
      </c>
      <c r="C249">
        <f t="shared" si="18"/>
        <v>5.6233243550904977E-3</v>
      </c>
      <c r="D249">
        <f t="shared" si="19"/>
        <v>2.6597392593541175E-5</v>
      </c>
      <c r="E249">
        <f t="shared" si="20"/>
        <v>5.5967269624969569E-3</v>
      </c>
      <c r="F249">
        <f t="shared" si="23"/>
        <v>4.1040739755444818E-2</v>
      </c>
      <c r="G249">
        <f t="shared" si="21"/>
        <v>0.13637003123839761</v>
      </c>
      <c r="H249">
        <f t="shared" si="22"/>
        <v>-0.92823692591465345</v>
      </c>
    </row>
    <row r="250" spans="1:8" x14ac:dyDescent="0.45">
      <c r="A250" s="2">
        <v>42725</v>
      </c>
      <c r="B250">
        <v>4833.82</v>
      </c>
      <c r="C250">
        <f t="shared" si="18"/>
        <v>-3.3134772128853296E-3</v>
      </c>
      <c r="D250">
        <f t="shared" si="19"/>
        <v>4.6151770285863987E-3</v>
      </c>
      <c r="E250">
        <f t="shared" si="20"/>
        <v>-7.9286542414717283E-3</v>
      </c>
      <c r="F250">
        <f t="shared" si="23"/>
        <v>1.3000678939600498E-2</v>
      </c>
      <c r="G250">
        <f t="shared" si="21"/>
        <v>-0.60986462924799911</v>
      </c>
      <c r="H250">
        <f t="shared" si="22"/>
        <v>-1.1049059662085723</v>
      </c>
    </row>
    <row r="251" spans="1:8" x14ac:dyDescent="0.45">
      <c r="A251" s="2">
        <v>42726</v>
      </c>
      <c r="B251">
        <v>4834.63</v>
      </c>
      <c r="C251">
        <f t="shared" si="18"/>
        <v>1.6756933439809885E-4</v>
      </c>
      <c r="D251">
        <f t="shared" si="19"/>
        <v>1.0699363949443117E-3</v>
      </c>
      <c r="E251">
        <f t="shared" si="20"/>
        <v>-9.0236706054621285E-4</v>
      </c>
      <c r="F251">
        <f t="shared" si="23"/>
        <v>1.9760914840813673E-2</v>
      </c>
      <c r="G251">
        <f t="shared" si="21"/>
        <v>-4.5664235072886791E-2</v>
      </c>
      <c r="H251">
        <f t="shared" si="22"/>
        <v>-0.91998114438706857</v>
      </c>
    </row>
    <row r="252" spans="1:8" x14ac:dyDescent="0.45">
      <c r="A252" s="2">
        <v>42727</v>
      </c>
      <c r="B252">
        <v>4839.68</v>
      </c>
      <c r="C252">
        <f t="shared" si="18"/>
        <v>1.0445473593636567E-3</v>
      </c>
      <c r="D252">
        <f t="shared" si="19"/>
        <v>-2.696923207270158E-3</v>
      </c>
      <c r="E252">
        <f t="shared" si="20"/>
        <v>3.7414705666338147E-3</v>
      </c>
      <c r="F252">
        <f t="shared" si="23"/>
        <v>9.4964005973496926E-3</v>
      </c>
      <c r="G252">
        <f t="shared" si="21"/>
        <v>0.39398828306358569</v>
      </c>
      <c r="H252">
        <f t="shared" si="22"/>
        <v>-0.9965519168003687</v>
      </c>
    </row>
    <row r="253" spans="1:8" x14ac:dyDescent="0.45">
      <c r="A253" s="2">
        <v>42731</v>
      </c>
      <c r="B253">
        <v>4848.28</v>
      </c>
      <c r="C253">
        <f t="shared" si="18"/>
        <v>1.7769769902140631E-3</v>
      </c>
      <c r="D253">
        <f t="shared" si="19"/>
        <v>1.3555582495111472E-3</v>
      </c>
      <c r="E253">
        <f t="shared" si="20"/>
        <v>4.214187407029159E-4</v>
      </c>
      <c r="F253">
        <f t="shared" si="23"/>
        <v>1.4284995295577854E-2</v>
      </c>
      <c r="G253">
        <f t="shared" si="21"/>
        <v>2.9500796603928372E-2</v>
      </c>
      <c r="H253">
        <f t="shared" si="22"/>
        <v>-0.91937368170480582</v>
      </c>
    </row>
    <row r="254" spans="1:8" x14ac:dyDescent="0.45">
      <c r="A254" s="2">
        <v>42732</v>
      </c>
      <c r="B254">
        <v>4848.01</v>
      </c>
      <c r="C254">
        <f t="shared" si="18"/>
        <v>-5.5689852896168013E-5</v>
      </c>
      <c r="D254">
        <f t="shared" si="19"/>
        <v>2.9686948910970404E-3</v>
      </c>
      <c r="E254">
        <f t="shared" si="20"/>
        <v>-3.0243847439932084E-3</v>
      </c>
      <c r="F254">
        <f t="shared" si="23"/>
        <v>8.9332166886905602E-3</v>
      </c>
      <c r="G254">
        <f t="shared" si="21"/>
        <v>-0.33855495163596278</v>
      </c>
      <c r="H254">
        <f t="shared" si="22"/>
        <v>-0.9762482608432872</v>
      </c>
    </row>
    <row r="255" spans="1:8" x14ac:dyDescent="0.45">
      <c r="A255" s="2">
        <v>42733</v>
      </c>
      <c r="B255">
        <v>4838.47</v>
      </c>
      <c r="C255">
        <f t="shared" si="18"/>
        <v>-1.9678177231482463E-3</v>
      </c>
      <c r="D255">
        <f t="shared" si="19"/>
        <v>1.48589446550429E-3</v>
      </c>
      <c r="E255">
        <f t="shared" si="20"/>
        <v>-3.4537121886525366E-3</v>
      </c>
      <c r="F255">
        <f t="shared" si="23"/>
        <v>1.3013352505541342E-2</v>
      </c>
      <c r="G255">
        <f t="shared" si="21"/>
        <v>-0.2653975743131432</v>
      </c>
      <c r="H255">
        <f t="shared" si="22"/>
        <v>-0.95415646943032284</v>
      </c>
    </row>
    <row r="256" spans="1:8" x14ac:dyDescent="0.45">
      <c r="A256" s="2">
        <v>42734</v>
      </c>
      <c r="B256">
        <v>4862.3100000000004</v>
      </c>
      <c r="C256">
        <f t="shared" si="18"/>
        <v>4.9271773928536433E-3</v>
      </c>
      <c r="D256">
        <f t="shared" si="19"/>
        <v>-2.3268916007376764E-3</v>
      </c>
      <c r="E256">
        <f t="shared" si="20"/>
        <v>7.2540689935913193E-3</v>
      </c>
      <c r="F256">
        <f t="shared" si="23"/>
        <v>1.1689183517613088E-2</v>
      </c>
      <c r="G256">
        <f t="shared" si="21"/>
        <v>0.62057961385078741</v>
      </c>
      <c r="H256">
        <f t="shared" si="22"/>
        <v>-1.1114980617682688</v>
      </c>
    </row>
    <row r="257" spans="1:8" x14ac:dyDescent="0.45">
      <c r="A257" s="2">
        <v>42737</v>
      </c>
      <c r="B257">
        <v>4882.38</v>
      </c>
      <c r="C257">
        <f t="shared" si="18"/>
        <v>4.1276677134940432E-3</v>
      </c>
      <c r="D257">
        <f t="shared" si="19"/>
        <v>3.9877209193216823E-3</v>
      </c>
      <c r="E257">
        <f t="shared" si="20"/>
        <v>1.3994679417236085E-4</v>
      </c>
      <c r="F257">
        <f t="shared" si="23"/>
        <v>1.9999257147571475E-2</v>
      </c>
      <c r="G257">
        <f t="shared" si="21"/>
        <v>6.9975996178115391E-3</v>
      </c>
      <c r="H257">
        <f t="shared" si="22"/>
        <v>-0.91896301640487832</v>
      </c>
    </row>
    <row r="258" spans="1:8" x14ac:dyDescent="0.45">
      <c r="A258" s="2">
        <v>42738</v>
      </c>
      <c r="B258">
        <v>4899.33</v>
      </c>
      <c r="C258">
        <f t="shared" si="18"/>
        <v>3.4716675064210278E-3</v>
      </c>
      <c r="D258">
        <f t="shared" si="19"/>
        <v>9.0777863190752012E-3</v>
      </c>
      <c r="E258">
        <f t="shared" si="20"/>
        <v>-5.6061188126541733E-3</v>
      </c>
      <c r="F258">
        <f t="shared" si="23"/>
        <v>9.4309388617873219E-3</v>
      </c>
      <c r="G258">
        <f t="shared" si="21"/>
        <v>-0.59443910037093795</v>
      </c>
      <c r="H258">
        <f t="shared" si="22"/>
        <v>-1.0956174552295777</v>
      </c>
    </row>
    <row r="259" spans="1:8" x14ac:dyDescent="0.45">
      <c r="A259" s="2">
        <v>42739</v>
      </c>
      <c r="B259">
        <v>4899.3999999999996</v>
      </c>
      <c r="C259">
        <f t="shared" si="18"/>
        <v>1.4287667905454882E-5</v>
      </c>
      <c r="D259">
        <f t="shared" si="19"/>
        <v>7.6207276041582259E-3</v>
      </c>
      <c r="E259">
        <f t="shared" si="20"/>
        <v>-7.6064399362527711E-3</v>
      </c>
      <c r="F259">
        <f t="shared" si="23"/>
        <v>1.925701418360154E-2</v>
      </c>
      <c r="G259">
        <f t="shared" si="21"/>
        <v>-0.39499581107075749</v>
      </c>
      <c r="H259">
        <f t="shared" si="22"/>
        <v>-0.99694937858639543</v>
      </c>
    </row>
    <row r="260" spans="1:8" x14ac:dyDescent="0.45">
      <c r="A260" s="2">
        <v>42740</v>
      </c>
      <c r="B260">
        <v>4900.6400000000003</v>
      </c>
      <c r="C260">
        <f t="shared" ref="C260:C323" si="24">B260/B259-1</f>
        <v>2.530922153733961E-4</v>
      </c>
      <c r="D260">
        <f t="shared" si="19"/>
        <v>3.0454912881753057E-3</v>
      </c>
      <c r="E260">
        <f t="shared" si="20"/>
        <v>-2.7923990728019096E-3</v>
      </c>
      <c r="F260">
        <f t="shared" si="23"/>
        <v>1.4792400351137039E-2</v>
      </c>
      <c r="G260">
        <f t="shared" si="21"/>
        <v>-0.18877254580168715</v>
      </c>
      <c r="H260">
        <f t="shared" si="22"/>
        <v>-0.93675607022889773</v>
      </c>
    </row>
    <row r="261" spans="1:8" x14ac:dyDescent="0.45">
      <c r="A261" s="2">
        <v>42741</v>
      </c>
      <c r="B261">
        <v>4909.84</v>
      </c>
      <c r="C261">
        <f t="shared" si="24"/>
        <v>1.8773058212804283E-3</v>
      </c>
      <c r="D261">
        <f t="shared" si="19"/>
        <v>3.0549121294598872E-4</v>
      </c>
      <c r="E261">
        <f t="shared" si="20"/>
        <v>1.5718146083344396E-3</v>
      </c>
      <c r="F261">
        <f t="shared" si="23"/>
        <v>1.0479314262894907E-2</v>
      </c>
      <c r="G261">
        <f t="shared" si="21"/>
        <v>0.14999212437973269</v>
      </c>
      <c r="H261">
        <f t="shared" si="22"/>
        <v>-0.93018735189264523</v>
      </c>
    </row>
    <row r="262" spans="1:8" x14ac:dyDescent="0.45">
      <c r="A262" s="2">
        <v>42744</v>
      </c>
      <c r="B262">
        <v>4887.57</v>
      </c>
      <c r="C262">
        <f t="shared" si="24"/>
        <v>-4.5357893536246419E-3</v>
      </c>
      <c r="D262">
        <f t="shared" ref="D262:D325" si="25">SUMPRODUCT(C260:C261,$O$8:$O$9)</f>
        <v>2.3943275478423521E-3</v>
      </c>
      <c r="E262">
        <f t="shared" ref="E262:E325" si="26">C262-D262</f>
        <v>-6.930116901466994E-3</v>
      </c>
      <c r="F262">
        <f t="shared" si="23"/>
        <v>9.6583449104779267E-3</v>
      </c>
      <c r="G262">
        <f t="shared" ref="G262:G325" si="27">E262/F262</f>
        <v>-0.71752634283631822</v>
      </c>
      <c r="H262">
        <f t="shared" ref="H262:H325" si="28">-(G262^2)/2-LN(2*PI())/2</f>
        <v>-1.1763605595367035</v>
      </c>
    </row>
    <row r="263" spans="1:8" x14ac:dyDescent="0.45">
      <c r="A263" s="2">
        <v>42745</v>
      </c>
      <c r="B263">
        <v>4888.2299999999996</v>
      </c>
      <c r="C263">
        <f t="shared" si="24"/>
        <v>1.3503642914569625E-4</v>
      </c>
      <c r="D263">
        <f t="shared" si="25"/>
        <v>-3.6135485130626222E-3</v>
      </c>
      <c r="E263">
        <f t="shared" si="26"/>
        <v>3.7485849422083184E-3</v>
      </c>
      <c r="F263">
        <f t="shared" ref="F263:F326" si="29">SQRT($O$4+$O$5*F262^2+$O$6*G262^2)</f>
        <v>2.2517277924878766E-2</v>
      </c>
      <c r="G263">
        <f t="shared" si="27"/>
        <v>0.16647593704328723</v>
      </c>
      <c r="H263">
        <f t="shared" si="28"/>
        <v>-0.93279565201189296</v>
      </c>
    </row>
    <row r="264" spans="1:8" x14ac:dyDescent="0.45">
      <c r="A264" s="2">
        <v>42746</v>
      </c>
      <c r="B264">
        <v>4888.71</v>
      </c>
      <c r="C264">
        <f t="shared" si="24"/>
        <v>9.8195052196992094E-5</v>
      </c>
      <c r="D264">
        <f t="shared" si="25"/>
        <v>-3.8010281725787539E-3</v>
      </c>
      <c r="E264">
        <f t="shared" si="26"/>
        <v>3.899223224775746E-3</v>
      </c>
      <c r="F264">
        <f t="shared" si="29"/>
        <v>1.0844839488437905E-2</v>
      </c>
      <c r="G264">
        <f t="shared" si="27"/>
        <v>0.35954642103581669</v>
      </c>
      <c r="H264">
        <f t="shared" si="28"/>
        <v>-0.98357534764450505</v>
      </c>
    </row>
    <row r="265" spans="1:8" x14ac:dyDescent="0.45">
      <c r="A265" s="2">
        <v>42747</v>
      </c>
      <c r="B265">
        <v>4863.97</v>
      </c>
      <c r="C265">
        <f t="shared" si="24"/>
        <v>-5.0606397188623919E-3</v>
      </c>
      <c r="D265">
        <f t="shared" si="25"/>
        <v>2.3150459073177873E-4</v>
      </c>
      <c r="E265">
        <f t="shared" si="26"/>
        <v>-5.292144309594171E-3</v>
      </c>
      <c r="F265">
        <f t="shared" si="29"/>
        <v>1.3549322074193113E-2</v>
      </c>
      <c r="G265">
        <f t="shared" si="27"/>
        <v>-0.39058369714850316</v>
      </c>
      <c r="H265">
        <f t="shared" si="28"/>
        <v>-0.99521634544376947</v>
      </c>
    </row>
    <row r="266" spans="1:8" x14ac:dyDescent="0.45">
      <c r="A266" s="2">
        <v>42748</v>
      </c>
      <c r="B266">
        <v>4922.49</v>
      </c>
      <c r="C266">
        <f t="shared" si="24"/>
        <v>1.2031324206358107E-2</v>
      </c>
      <c r="D266">
        <f t="shared" si="25"/>
        <v>-5.7734435355386686E-3</v>
      </c>
      <c r="E266">
        <f t="shared" si="26"/>
        <v>1.7804767741896776E-2</v>
      </c>
      <c r="F266">
        <f t="shared" si="29"/>
        <v>1.4370085555089585E-2</v>
      </c>
      <c r="G266">
        <f t="shared" si="27"/>
        <v>1.2390161264969433</v>
      </c>
      <c r="H266">
        <f t="shared" si="28"/>
        <v>-1.6865190140644173</v>
      </c>
    </row>
    <row r="267" spans="1:8" x14ac:dyDescent="0.45">
      <c r="A267" s="2">
        <v>42751</v>
      </c>
      <c r="B267">
        <v>4882.18</v>
      </c>
      <c r="C267">
        <f t="shared" si="24"/>
        <v>-8.1889450257897067E-3</v>
      </c>
      <c r="D267">
        <f t="shared" si="25"/>
        <v>9.5143572544944752E-3</v>
      </c>
      <c r="E267">
        <f t="shared" si="26"/>
        <v>-1.7703302280284182E-2</v>
      </c>
      <c r="F267">
        <f t="shared" si="29"/>
        <v>3.7038549406593659E-2</v>
      </c>
      <c r="G267">
        <f t="shared" si="27"/>
        <v>-0.47796964416572463</v>
      </c>
      <c r="H267">
        <f t="shared" si="28"/>
        <v>-1.0331660235766273</v>
      </c>
    </row>
    <row r="268" spans="1:8" x14ac:dyDescent="0.45">
      <c r="A268" s="2">
        <v>42752</v>
      </c>
      <c r="B268">
        <v>4859.6899999999996</v>
      </c>
      <c r="C268">
        <f t="shared" si="24"/>
        <v>-4.6065487138943206E-3</v>
      </c>
      <c r="D268">
        <f t="shared" si="25"/>
        <v>1.0160396899264769E-3</v>
      </c>
      <c r="E268">
        <f t="shared" si="26"/>
        <v>-5.6225884038207975E-3</v>
      </c>
      <c r="F268">
        <f t="shared" si="29"/>
        <v>1.8167101328784276E-2</v>
      </c>
      <c r="G268">
        <f t="shared" si="27"/>
        <v>-0.30949287407299642</v>
      </c>
      <c r="H268">
        <f t="shared" si="28"/>
        <v>-0.96683145275565452</v>
      </c>
    </row>
    <row r="269" spans="1:8" x14ac:dyDescent="0.45">
      <c r="A269" s="2">
        <v>42753</v>
      </c>
      <c r="B269">
        <v>4853.3999999999996</v>
      </c>
      <c r="C269">
        <f t="shared" si="24"/>
        <v>-1.2943212427130035E-3</v>
      </c>
      <c r="D269">
        <f t="shared" si="25"/>
        <v>-1.2478042534889556E-2</v>
      </c>
      <c r="E269">
        <f t="shared" si="26"/>
        <v>1.1183721292176553E-2</v>
      </c>
      <c r="F269">
        <f t="shared" si="29"/>
        <v>1.2885933052713327E-2</v>
      </c>
      <c r="G269">
        <f t="shared" si="27"/>
        <v>0.86790155174845118</v>
      </c>
      <c r="H269">
        <f t="shared" si="28"/>
        <v>-1.2955650849683575</v>
      </c>
    </row>
    <row r="270" spans="1:8" x14ac:dyDescent="0.45">
      <c r="A270" s="2">
        <v>42754</v>
      </c>
      <c r="B270">
        <v>4841.1400000000003</v>
      </c>
      <c r="C270">
        <f t="shared" si="24"/>
        <v>-2.5260642024146351E-3</v>
      </c>
      <c r="D270">
        <f t="shared" si="25"/>
        <v>-5.517648334407578E-3</v>
      </c>
      <c r="E270">
        <f t="shared" si="26"/>
        <v>2.9915841319929429E-3</v>
      </c>
      <c r="F270">
        <f t="shared" si="29"/>
        <v>2.6672621287480939E-2</v>
      </c>
      <c r="G270">
        <f t="shared" si="27"/>
        <v>0.11215935995751092</v>
      </c>
      <c r="H270">
        <f t="shared" si="28"/>
        <v>-0.92522839421771197</v>
      </c>
    </row>
    <row r="271" spans="1:8" x14ac:dyDescent="0.45">
      <c r="A271" s="2">
        <v>42755</v>
      </c>
      <c r="B271">
        <v>4850.67</v>
      </c>
      <c r="C271">
        <f t="shared" si="24"/>
        <v>1.9685445989994221E-3</v>
      </c>
      <c r="D271">
        <f t="shared" si="25"/>
        <v>-4.0538963270160839E-3</v>
      </c>
      <c r="E271">
        <f t="shared" si="26"/>
        <v>6.022440926015506E-3</v>
      </c>
      <c r="F271">
        <f t="shared" si="29"/>
        <v>1.0729618984328504E-2</v>
      </c>
      <c r="G271">
        <f t="shared" si="27"/>
        <v>0.56129121964272721</v>
      </c>
      <c r="H271">
        <f t="shared" si="28"/>
        <v>-1.0764624498286828</v>
      </c>
    </row>
    <row r="272" spans="1:8" x14ac:dyDescent="0.45">
      <c r="A272" s="2">
        <v>42758</v>
      </c>
      <c r="B272">
        <v>4821.41</v>
      </c>
      <c r="C272">
        <f t="shared" si="24"/>
        <v>-6.032156382520415E-3</v>
      </c>
      <c r="D272">
        <f t="shared" si="25"/>
        <v>7.5212699846846989E-5</v>
      </c>
      <c r="E272">
        <f t="shared" si="26"/>
        <v>-6.107369082367262E-3</v>
      </c>
      <c r="F272">
        <f t="shared" si="29"/>
        <v>1.8436054853385536E-2</v>
      </c>
      <c r="G272">
        <f t="shared" si="27"/>
        <v>-0.33127310213257066</v>
      </c>
      <c r="H272">
        <f t="shared" si="28"/>
        <v>-0.97380946730294093</v>
      </c>
    </row>
    <row r="273" spans="1:8" x14ac:dyDescent="0.45">
      <c r="A273" s="2">
        <v>42759</v>
      </c>
      <c r="B273">
        <v>4830.03</v>
      </c>
      <c r="C273">
        <f t="shared" si="24"/>
        <v>1.7878587384188016E-3</v>
      </c>
      <c r="D273">
        <f t="shared" si="25"/>
        <v>-5.2664112734800393E-3</v>
      </c>
      <c r="E273">
        <f t="shared" si="26"/>
        <v>7.0542700118988409E-3</v>
      </c>
      <c r="F273">
        <f t="shared" si="29"/>
        <v>1.3352633376576863E-2</v>
      </c>
      <c r="G273">
        <f t="shared" si="27"/>
        <v>0.52830552692874899</v>
      </c>
      <c r="H273">
        <f t="shared" si="28"/>
        <v>-1.0584918980964042</v>
      </c>
    </row>
    <row r="274" spans="1:8" x14ac:dyDescent="0.45">
      <c r="A274" s="2">
        <v>42760</v>
      </c>
      <c r="B274">
        <v>4877.67</v>
      </c>
      <c r="C274">
        <f t="shared" si="24"/>
        <v>9.8632927745792021E-3</v>
      </c>
      <c r="D274">
        <f t="shared" si="25"/>
        <v>-3.1929661117142665E-3</v>
      </c>
      <c r="E274">
        <f t="shared" si="26"/>
        <v>1.3056258886293469E-2</v>
      </c>
      <c r="F274">
        <f t="shared" si="29"/>
        <v>1.7685997743590268E-2</v>
      </c>
      <c r="G274">
        <f t="shared" si="27"/>
        <v>0.7382257464680102</v>
      </c>
      <c r="H274">
        <f t="shared" si="28"/>
        <v>-1.1914271595787982</v>
      </c>
    </row>
    <row r="275" spans="1:8" x14ac:dyDescent="0.45">
      <c r="A275" s="2">
        <v>42761</v>
      </c>
      <c r="B275">
        <v>4867.24</v>
      </c>
      <c r="C275">
        <f t="shared" si="24"/>
        <v>-2.1383160402406176E-3</v>
      </c>
      <c r="D275">
        <f t="shared" si="25"/>
        <v>1.2979405854954698E-2</v>
      </c>
      <c r="E275">
        <f t="shared" si="26"/>
        <v>-1.5117721895195316E-2</v>
      </c>
      <c r="F275">
        <f t="shared" si="29"/>
        <v>2.3311314379947667E-2</v>
      </c>
      <c r="G275">
        <f t="shared" si="27"/>
        <v>-0.64851435010458025</v>
      </c>
      <c r="H275">
        <f t="shared" si="28"/>
        <v>-1.1292239643504558</v>
      </c>
    </row>
    <row r="276" spans="1:8" x14ac:dyDescent="0.45">
      <c r="A276" s="2">
        <v>42762</v>
      </c>
      <c r="B276">
        <v>4839.9799999999996</v>
      </c>
      <c r="C276">
        <f t="shared" si="24"/>
        <v>-5.6007100533361776E-3</v>
      </c>
      <c r="D276">
        <f t="shared" si="25"/>
        <v>6.1297905770547299E-3</v>
      </c>
      <c r="E276">
        <f t="shared" si="26"/>
        <v>-1.1730500630390907E-2</v>
      </c>
      <c r="F276">
        <f t="shared" si="29"/>
        <v>2.1218778693350936E-2</v>
      </c>
      <c r="G276">
        <f t="shared" si="27"/>
        <v>-0.55283580642964847</v>
      </c>
      <c r="H276">
        <f t="shared" si="28"/>
        <v>-1.0717522476400325</v>
      </c>
    </row>
    <row r="277" spans="1:8" x14ac:dyDescent="0.45">
      <c r="A277" s="2">
        <v>42765</v>
      </c>
      <c r="B277">
        <v>4784.6400000000003</v>
      </c>
      <c r="C277">
        <f t="shared" si="24"/>
        <v>-1.1433931545171472E-2</v>
      </c>
      <c r="D277">
        <f t="shared" si="25"/>
        <v>-8.3500311222343571E-3</v>
      </c>
      <c r="E277">
        <f t="shared" si="26"/>
        <v>-3.0839004229371147E-3</v>
      </c>
      <c r="F277">
        <f t="shared" si="29"/>
        <v>1.8675481498164344E-2</v>
      </c>
      <c r="G277">
        <f t="shared" si="27"/>
        <v>-0.16513097256636936</v>
      </c>
      <c r="H277">
        <f t="shared" si="28"/>
        <v>-0.93257265225503017</v>
      </c>
    </row>
    <row r="278" spans="1:8" x14ac:dyDescent="0.45">
      <c r="A278" s="2">
        <v>42766</v>
      </c>
      <c r="B278">
        <v>4748.8999999999996</v>
      </c>
      <c r="C278">
        <f t="shared" si="24"/>
        <v>-7.4697364901018526E-3</v>
      </c>
      <c r="D278">
        <f t="shared" si="25"/>
        <v>-1.8124487036547468E-2</v>
      </c>
      <c r="E278">
        <f t="shared" si="26"/>
        <v>1.0654750546445615E-2</v>
      </c>
      <c r="F278">
        <f t="shared" si="29"/>
        <v>1.0454324439810458E-2</v>
      </c>
      <c r="G278">
        <f t="shared" si="27"/>
        <v>1.0191715981065144</v>
      </c>
      <c r="H278">
        <f t="shared" si="28"/>
        <v>-1.4382939063981659</v>
      </c>
    </row>
    <row r="279" spans="1:8" x14ac:dyDescent="0.45">
      <c r="A279" s="2">
        <v>42767</v>
      </c>
      <c r="B279">
        <v>4794.58</v>
      </c>
      <c r="C279">
        <f t="shared" si="24"/>
        <v>9.6190696792941566E-3</v>
      </c>
      <c r="D279">
        <f t="shared" si="25"/>
        <v>-1.8624164550832677E-2</v>
      </c>
      <c r="E279">
        <f t="shared" si="26"/>
        <v>2.8243234230126833E-2</v>
      </c>
      <c r="F279">
        <f t="shared" si="29"/>
        <v>3.0804972797020918E-2</v>
      </c>
      <c r="G279">
        <f t="shared" si="27"/>
        <v>0.91684009644242159</v>
      </c>
      <c r="H279">
        <f t="shared" si="28"/>
        <v>-1.3392364144269471</v>
      </c>
    </row>
    <row r="280" spans="1:8" x14ac:dyDescent="0.45">
      <c r="A280" s="2">
        <v>42768</v>
      </c>
      <c r="B280">
        <v>4794.29</v>
      </c>
      <c r="C280">
        <f t="shared" si="24"/>
        <v>-6.0484964272133901E-5</v>
      </c>
      <c r="D280">
        <f t="shared" si="25"/>
        <v>4.6196119320981331E-3</v>
      </c>
      <c r="E280">
        <f t="shared" si="26"/>
        <v>-4.680096896370267E-3</v>
      </c>
      <c r="F280">
        <f t="shared" si="29"/>
        <v>2.8710012221461308E-2</v>
      </c>
      <c r="G280">
        <f t="shared" si="27"/>
        <v>-0.16301271000058304</v>
      </c>
      <c r="H280">
        <f t="shared" si="28"/>
        <v>-0.93222510501553979</v>
      </c>
    </row>
    <row r="281" spans="1:8" x14ac:dyDescent="0.45">
      <c r="A281" s="2">
        <v>42769</v>
      </c>
      <c r="B281">
        <v>4825.42</v>
      </c>
      <c r="C281">
        <f t="shared" si="24"/>
        <v>6.4931407987418588E-3</v>
      </c>
      <c r="D281">
        <f t="shared" si="25"/>
        <v>8.3223865494806825E-3</v>
      </c>
      <c r="E281">
        <f t="shared" si="26"/>
        <v>-1.8292457507388237E-3</v>
      </c>
      <c r="F281">
        <f t="shared" si="29"/>
        <v>1.1513924513782388E-2</v>
      </c>
      <c r="G281">
        <f t="shared" si="27"/>
        <v>-0.15887248075573029</v>
      </c>
      <c r="H281">
        <f t="shared" si="28"/>
        <v>-0.93155876577541263</v>
      </c>
    </row>
    <row r="282" spans="1:8" x14ac:dyDescent="0.45">
      <c r="A282" s="2">
        <v>42772</v>
      </c>
      <c r="B282">
        <v>4778.08</v>
      </c>
      <c r="C282">
        <f t="shared" si="24"/>
        <v>-9.81054498883005E-3</v>
      </c>
      <c r="D282">
        <f t="shared" si="25"/>
        <v>7.4648683551753426E-3</v>
      </c>
      <c r="E282">
        <f t="shared" si="26"/>
        <v>-1.7275413344005393E-2</v>
      </c>
      <c r="F282">
        <f t="shared" si="29"/>
        <v>9.8354021516464454E-3</v>
      </c>
      <c r="G282">
        <f t="shared" si="27"/>
        <v>-1.7564521590114637</v>
      </c>
      <c r="H282">
        <f t="shared" si="28"/>
        <v>-2.4615006266526889</v>
      </c>
    </row>
    <row r="283" spans="1:8" x14ac:dyDescent="0.45">
      <c r="A283" s="2">
        <v>42773</v>
      </c>
      <c r="B283">
        <v>4754.47</v>
      </c>
      <c r="C283">
        <f t="shared" si="24"/>
        <v>-4.9413153400528209E-3</v>
      </c>
      <c r="D283">
        <f t="shared" si="25"/>
        <v>-5.6933556199208679E-3</v>
      </c>
      <c r="E283">
        <f t="shared" si="26"/>
        <v>7.5204027986804697E-4</v>
      </c>
      <c r="F283">
        <f t="shared" si="29"/>
        <v>5.168628289299259E-2</v>
      </c>
      <c r="G283">
        <f t="shared" si="27"/>
        <v>1.455009410185319E-2</v>
      </c>
      <c r="H283">
        <f t="shared" si="28"/>
        <v>-0.91904438582385906</v>
      </c>
    </row>
    <row r="284" spans="1:8" x14ac:dyDescent="0.45">
      <c r="A284" s="2">
        <v>42774</v>
      </c>
      <c r="B284">
        <v>4766.6000000000004</v>
      </c>
      <c r="C284">
        <f t="shared" si="24"/>
        <v>2.5512833186454031E-3</v>
      </c>
      <c r="D284">
        <f t="shared" si="25"/>
        <v>-1.4280437547609846E-2</v>
      </c>
      <c r="E284">
        <f t="shared" si="26"/>
        <v>1.6831720866255249E-2</v>
      </c>
      <c r="F284">
        <f t="shared" si="29"/>
        <v>1.4250491640829132E-2</v>
      </c>
      <c r="G284">
        <f t="shared" si="27"/>
        <v>1.1811326437349452</v>
      </c>
      <c r="H284">
        <f t="shared" si="28"/>
        <v>-1.6164756942528231</v>
      </c>
    </row>
    <row r="285" spans="1:8" x14ac:dyDescent="0.45">
      <c r="A285" s="2">
        <v>42775</v>
      </c>
      <c r="B285">
        <v>4826.24</v>
      </c>
      <c r="C285">
        <f t="shared" si="24"/>
        <v>1.2512063105777571E-2</v>
      </c>
      <c r="D285">
        <f t="shared" si="25"/>
        <v>-1.3573535657744502E-3</v>
      </c>
      <c r="E285">
        <f t="shared" si="26"/>
        <v>1.3869416671552021E-2</v>
      </c>
      <c r="F285">
        <f t="shared" si="29"/>
        <v>3.5407968579500654E-2</v>
      </c>
      <c r="G285">
        <f t="shared" si="27"/>
        <v>0.39170325855919569</v>
      </c>
      <c r="H285">
        <f t="shared" si="28"/>
        <v>-0.99565425458761869</v>
      </c>
    </row>
    <row r="286" spans="1:8" x14ac:dyDescent="0.45">
      <c r="A286" s="2">
        <v>42776</v>
      </c>
      <c r="B286">
        <v>4828.32</v>
      </c>
      <c r="C286">
        <f t="shared" si="24"/>
        <v>4.30977323962356E-4</v>
      </c>
      <c r="D286">
        <f t="shared" si="25"/>
        <v>1.6712174091097719E-2</v>
      </c>
      <c r="E286">
        <f t="shared" si="26"/>
        <v>-1.6281196767135363E-2</v>
      </c>
      <c r="F286">
        <f t="shared" si="29"/>
        <v>1.615371628192596E-2</v>
      </c>
      <c r="G286">
        <f t="shared" si="27"/>
        <v>-1.0078917125313163</v>
      </c>
      <c r="H286">
        <f t="shared" si="28"/>
        <v>-1.4268613852993273</v>
      </c>
    </row>
    <row r="287" spans="1:8" x14ac:dyDescent="0.45">
      <c r="A287" s="2">
        <v>42779</v>
      </c>
      <c r="B287">
        <v>4888.1899999999996</v>
      </c>
      <c r="C287">
        <f t="shared" si="24"/>
        <v>1.2399758093912583E-2</v>
      </c>
      <c r="D287">
        <f t="shared" si="25"/>
        <v>1.1415462218928698E-2</v>
      </c>
      <c r="E287">
        <f t="shared" si="26"/>
        <v>9.8429587498388531E-4</v>
      </c>
      <c r="F287">
        <f t="shared" si="29"/>
        <v>3.0615417376891486E-2</v>
      </c>
      <c r="G287">
        <f t="shared" si="27"/>
        <v>3.2150333371800829E-2</v>
      </c>
      <c r="H287">
        <f t="shared" si="28"/>
        <v>-0.91945535517263166</v>
      </c>
    </row>
    <row r="288" spans="1:8" x14ac:dyDescent="0.45">
      <c r="A288" s="2">
        <v>42780</v>
      </c>
      <c r="B288">
        <v>4895.82</v>
      </c>
      <c r="C288">
        <f t="shared" si="24"/>
        <v>1.5609049566405186E-3</v>
      </c>
      <c r="D288">
        <f t="shared" si="25"/>
        <v>1.4732231648565328E-2</v>
      </c>
      <c r="E288">
        <f t="shared" si="26"/>
        <v>-1.317132669192481E-2</v>
      </c>
      <c r="F288">
        <f t="shared" si="29"/>
        <v>1.0804545094652521E-2</v>
      </c>
      <c r="G288">
        <f t="shared" si="27"/>
        <v>-1.2190542569389318</v>
      </c>
      <c r="H288">
        <f t="shared" si="28"/>
        <v>-1.6619851738851383</v>
      </c>
    </row>
    <row r="289" spans="1:8" x14ac:dyDescent="0.45">
      <c r="A289" s="2">
        <v>42781</v>
      </c>
      <c r="B289">
        <v>4924.8599999999997</v>
      </c>
      <c r="C289">
        <f t="shared" si="24"/>
        <v>5.9315906222041637E-3</v>
      </c>
      <c r="D289">
        <f t="shared" si="25"/>
        <v>1.2625688324477793E-2</v>
      </c>
      <c r="E289">
        <f t="shared" si="26"/>
        <v>-6.6940977022736294E-3</v>
      </c>
      <c r="F289">
        <f t="shared" si="29"/>
        <v>3.6414730766790381E-2</v>
      </c>
      <c r="G289">
        <f t="shared" si="27"/>
        <v>-0.18382938885761399</v>
      </c>
      <c r="H289">
        <f t="shared" si="28"/>
        <v>-0.93583515530855454</v>
      </c>
    </row>
    <row r="290" spans="1:8" x14ac:dyDescent="0.45">
      <c r="A290" s="2">
        <v>42782</v>
      </c>
      <c r="B290">
        <v>4899.46</v>
      </c>
      <c r="C290">
        <f t="shared" si="24"/>
        <v>-5.1575070154278313E-3</v>
      </c>
      <c r="D290">
        <f t="shared" si="25"/>
        <v>8.2293408518503246E-3</v>
      </c>
      <c r="E290">
        <f t="shared" si="26"/>
        <v>-1.3386847867278156E-2</v>
      </c>
      <c r="F290">
        <f t="shared" si="29"/>
        <v>1.279967237767623E-2</v>
      </c>
      <c r="G290">
        <f t="shared" si="27"/>
        <v>-1.0458742592994812</v>
      </c>
      <c r="H290">
        <f t="shared" si="28"/>
        <v>-1.4658650163372919</v>
      </c>
    </row>
    <row r="291" spans="1:8" x14ac:dyDescent="0.45">
      <c r="A291" s="2">
        <v>42783</v>
      </c>
      <c r="B291">
        <v>4867.58</v>
      </c>
      <c r="C291">
        <f t="shared" si="24"/>
        <v>-6.506839529254238E-3</v>
      </c>
      <c r="D291">
        <f t="shared" si="25"/>
        <v>-7.9609254371112298E-4</v>
      </c>
      <c r="E291">
        <f t="shared" si="26"/>
        <v>-5.7107469855431151E-3</v>
      </c>
      <c r="F291">
        <f t="shared" si="29"/>
        <v>3.1592961210337396E-2</v>
      </c>
      <c r="G291">
        <f t="shared" si="27"/>
        <v>-0.18076010499688538</v>
      </c>
      <c r="H291">
        <f t="shared" si="28"/>
        <v>-0.93527564098391514</v>
      </c>
    </row>
    <row r="292" spans="1:8" x14ac:dyDescent="0.45">
      <c r="A292" s="2">
        <v>42786</v>
      </c>
      <c r="B292">
        <v>4864.99</v>
      </c>
      <c r="C292">
        <f t="shared" si="24"/>
        <v>-5.3209192247483106E-4</v>
      </c>
      <c r="D292">
        <f t="shared" si="25"/>
        <v>-1.2033305335364078E-2</v>
      </c>
      <c r="E292">
        <f t="shared" si="26"/>
        <v>1.1501213412889247E-2</v>
      </c>
      <c r="F292">
        <f t="shared" si="29"/>
        <v>1.2100933339690938E-2</v>
      </c>
      <c r="G292">
        <f t="shared" si="27"/>
        <v>0.9504401925069188</v>
      </c>
      <c r="H292">
        <f t="shared" si="28"/>
        <v>-1.370606812970967</v>
      </c>
    </row>
    <row r="293" spans="1:8" x14ac:dyDescent="0.45">
      <c r="A293" s="2">
        <v>42787</v>
      </c>
      <c r="B293">
        <v>4888.76</v>
      </c>
      <c r="C293">
        <f t="shared" si="24"/>
        <v>4.8859298785814964E-3</v>
      </c>
      <c r="D293">
        <f t="shared" si="25"/>
        <v>-6.2931127300794032E-3</v>
      </c>
      <c r="E293">
        <f t="shared" si="26"/>
        <v>1.11790426086609E-2</v>
      </c>
      <c r="F293">
        <f t="shared" si="29"/>
        <v>2.8927844093740638E-2</v>
      </c>
      <c r="G293">
        <f t="shared" si="27"/>
        <v>0.38644575698193157</v>
      </c>
      <c r="H293">
        <f t="shared" si="28"/>
        <v>-0.99360869474934177</v>
      </c>
    </row>
    <row r="294" spans="1:8" x14ac:dyDescent="0.45">
      <c r="A294" s="2">
        <v>42788</v>
      </c>
      <c r="B294">
        <v>4895.88</v>
      </c>
      <c r="C294">
        <f t="shared" si="24"/>
        <v>1.4564020324172589E-3</v>
      </c>
      <c r="D294">
        <f t="shared" si="25"/>
        <v>5.1926027223139441E-3</v>
      </c>
      <c r="E294">
        <f t="shared" si="26"/>
        <v>-3.7362006898966852E-3</v>
      </c>
      <c r="F294">
        <f t="shared" si="29"/>
        <v>1.5380996628415864E-2</v>
      </c>
      <c r="G294">
        <f t="shared" si="27"/>
        <v>-0.24291018197053516</v>
      </c>
      <c r="H294">
        <f t="shared" si="28"/>
        <v>-0.94844121145715188</v>
      </c>
    </row>
    <row r="295" spans="1:8" x14ac:dyDescent="0.45">
      <c r="A295" s="2">
        <v>42789</v>
      </c>
      <c r="B295">
        <v>4891.29</v>
      </c>
      <c r="C295">
        <f t="shared" si="24"/>
        <v>-9.3752297850435706E-4</v>
      </c>
      <c r="D295">
        <f t="shared" si="25"/>
        <v>5.9490560977860651E-3</v>
      </c>
      <c r="E295">
        <f t="shared" si="26"/>
        <v>-6.8865790762904222E-3</v>
      </c>
      <c r="F295">
        <f t="shared" si="29"/>
        <v>1.1418667340405647E-2</v>
      </c>
      <c r="G295">
        <f t="shared" si="27"/>
        <v>-0.60309831883111653</v>
      </c>
      <c r="H295">
        <f t="shared" si="28"/>
        <v>-1.1008023242931322</v>
      </c>
    </row>
    <row r="296" spans="1:8" x14ac:dyDescent="0.45">
      <c r="A296" s="2">
        <v>42790</v>
      </c>
      <c r="B296">
        <v>4845.24</v>
      </c>
      <c r="C296">
        <f t="shared" si="24"/>
        <v>-9.4146942831032643E-3</v>
      </c>
      <c r="D296">
        <f t="shared" si="25"/>
        <v>1.8522993683737165E-4</v>
      </c>
      <c r="E296">
        <f t="shared" si="26"/>
        <v>-9.5999242199406361E-3</v>
      </c>
      <c r="F296">
        <f t="shared" si="29"/>
        <v>1.9535715017066101E-2</v>
      </c>
      <c r="G296">
        <f t="shared" si="27"/>
        <v>-0.4914037807960594</v>
      </c>
      <c r="H296">
        <f t="shared" si="28"/>
        <v>-1.0396773710950034</v>
      </c>
    </row>
    <row r="297" spans="1:8" x14ac:dyDescent="0.45">
      <c r="A297" s="2">
        <v>42793</v>
      </c>
      <c r="B297">
        <v>4845.18</v>
      </c>
      <c r="C297">
        <f t="shared" si="24"/>
        <v>-1.2383287515072006E-5</v>
      </c>
      <c r="D297">
        <f t="shared" si="25"/>
        <v>-1.1718128491453123E-2</v>
      </c>
      <c r="E297">
        <f t="shared" si="26"/>
        <v>1.1705745203938051E-2</v>
      </c>
      <c r="F297">
        <f t="shared" si="29"/>
        <v>1.7067946277312833E-2</v>
      </c>
      <c r="G297">
        <f t="shared" si="27"/>
        <v>0.68583208628314218</v>
      </c>
      <c r="H297">
        <f t="shared" si="28"/>
        <v>-1.1541213584924164</v>
      </c>
    </row>
    <row r="298" spans="1:8" x14ac:dyDescent="0.45">
      <c r="A298" s="2">
        <v>42794</v>
      </c>
      <c r="B298">
        <v>4858.58</v>
      </c>
      <c r="C298">
        <f t="shared" si="24"/>
        <v>2.7656351260427758E-3</v>
      </c>
      <c r="D298">
        <f t="shared" si="25"/>
        <v>-8.228439295860571E-3</v>
      </c>
      <c r="E298">
        <f t="shared" si="26"/>
        <v>1.0994074421903347E-2</v>
      </c>
      <c r="F298">
        <f t="shared" si="29"/>
        <v>2.1897800759712753E-2</v>
      </c>
      <c r="G298">
        <f t="shared" si="27"/>
        <v>0.50206294881128344</v>
      </c>
      <c r="H298">
        <f t="shared" si="28"/>
        <v>-1.0449721354892134</v>
      </c>
    </row>
    <row r="299" spans="1:8" x14ac:dyDescent="0.45">
      <c r="A299" s="2">
        <v>42795</v>
      </c>
      <c r="B299">
        <v>4960.83</v>
      </c>
      <c r="C299">
        <f t="shared" si="24"/>
        <v>2.1045243672019431E-2</v>
      </c>
      <c r="D299">
        <f t="shared" si="25"/>
        <v>3.191197815584146E-3</v>
      </c>
      <c r="E299">
        <f t="shared" si="26"/>
        <v>1.7854045856435286E-2</v>
      </c>
      <c r="F299">
        <f t="shared" si="29"/>
        <v>1.7468348912868806E-2</v>
      </c>
      <c r="G299">
        <f t="shared" si="27"/>
        <v>1.0220797595405449</v>
      </c>
      <c r="H299">
        <f t="shared" si="28"/>
        <v>-1.4412620506359017</v>
      </c>
    </row>
    <row r="300" spans="1:8" x14ac:dyDescent="0.45">
      <c r="A300" s="2">
        <v>42796</v>
      </c>
      <c r="B300">
        <v>4963.8</v>
      </c>
      <c r="C300">
        <f t="shared" si="24"/>
        <v>5.9869013854552122E-4</v>
      </c>
      <c r="D300">
        <f t="shared" si="25"/>
        <v>2.6778752011747106E-2</v>
      </c>
      <c r="E300">
        <f t="shared" si="26"/>
        <v>-2.6180061873201585E-2</v>
      </c>
      <c r="F300">
        <f t="shared" si="29"/>
        <v>3.1044706574597125E-2</v>
      </c>
      <c r="G300">
        <f t="shared" si="27"/>
        <v>-0.84330195907291583</v>
      </c>
      <c r="H300">
        <f t="shared" si="28"/>
        <v>-1.2745176302927816</v>
      </c>
    </row>
    <row r="301" spans="1:8" x14ac:dyDescent="0.45">
      <c r="A301" s="2">
        <v>42797</v>
      </c>
      <c r="B301">
        <v>4995.13</v>
      </c>
      <c r="C301">
        <f t="shared" si="24"/>
        <v>6.3116966839920075E-3</v>
      </c>
      <c r="D301">
        <f t="shared" si="25"/>
        <v>1.9054638961345724E-2</v>
      </c>
      <c r="E301">
        <f t="shared" si="26"/>
        <v>-1.2742942277353717E-2</v>
      </c>
      <c r="F301">
        <f t="shared" si="29"/>
        <v>2.6758507321794252E-2</v>
      </c>
      <c r="G301">
        <f t="shared" si="27"/>
        <v>-0.47622022125930968</v>
      </c>
      <c r="H301">
        <f t="shared" si="28"/>
        <v>-1.0323313827728056</v>
      </c>
    </row>
    <row r="302" spans="1:8" x14ac:dyDescent="0.45">
      <c r="A302" s="2">
        <v>42800</v>
      </c>
      <c r="B302">
        <v>4972.1899999999996</v>
      </c>
      <c r="C302">
        <f t="shared" si="24"/>
        <v>-4.5924730687690873E-3</v>
      </c>
      <c r="D302">
        <f t="shared" si="25"/>
        <v>7.8299106369143535E-3</v>
      </c>
      <c r="E302">
        <f t="shared" si="26"/>
        <v>-1.2422383705683441E-2</v>
      </c>
      <c r="F302">
        <f t="shared" si="29"/>
        <v>1.7196638347184951E-2</v>
      </c>
      <c r="G302">
        <f t="shared" si="27"/>
        <v>-0.72237279489668138</v>
      </c>
      <c r="H302">
        <f t="shared" si="28"/>
        <v>-1.1798497606080942</v>
      </c>
    </row>
    <row r="303" spans="1:8" x14ac:dyDescent="0.45">
      <c r="A303" s="2">
        <v>42801</v>
      </c>
      <c r="B303">
        <v>4955</v>
      </c>
      <c r="C303">
        <f t="shared" si="24"/>
        <v>-3.4572291083002638E-3</v>
      </c>
      <c r="D303">
        <f t="shared" si="25"/>
        <v>1.897271750096385E-4</v>
      </c>
      <c r="E303">
        <f t="shared" si="26"/>
        <v>-3.6469562833099023E-3</v>
      </c>
      <c r="F303">
        <f t="shared" si="29"/>
        <v>2.2870581669276163E-2</v>
      </c>
      <c r="G303">
        <f t="shared" si="27"/>
        <v>-0.15946058285912085</v>
      </c>
      <c r="H303">
        <f t="shared" si="28"/>
        <v>-0.9316523719475579</v>
      </c>
    </row>
    <row r="304" spans="1:8" x14ac:dyDescent="0.45">
      <c r="A304" s="2">
        <v>42802</v>
      </c>
      <c r="B304">
        <v>4960.4799999999996</v>
      </c>
      <c r="C304">
        <f t="shared" si="24"/>
        <v>1.1059535822399713E-3</v>
      </c>
      <c r="D304">
        <f t="shared" si="25"/>
        <v>-8.0095429695682951E-3</v>
      </c>
      <c r="E304">
        <f t="shared" si="26"/>
        <v>9.1154965518082665E-3</v>
      </c>
      <c r="F304">
        <f t="shared" si="29"/>
        <v>1.0793050455686752E-2</v>
      </c>
      <c r="G304">
        <f t="shared" si="27"/>
        <v>0.84457091989275379</v>
      </c>
      <c r="H304">
        <f t="shared" si="28"/>
        <v>-1.2755885525689188</v>
      </c>
    </row>
    <row r="305" spans="1:8" x14ac:dyDescent="0.45">
      <c r="A305" s="2">
        <v>42803</v>
      </c>
      <c r="B305">
        <v>4981.51</v>
      </c>
      <c r="C305">
        <f t="shared" si="24"/>
        <v>4.2395090797666679E-3</v>
      </c>
      <c r="D305">
        <f t="shared" si="25"/>
        <v>-1.7358992175826617E-3</v>
      </c>
      <c r="E305">
        <f t="shared" si="26"/>
        <v>5.9754082973493298E-3</v>
      </c>
      <c r="F305">
        <f t="shared" si="29"/>
        <v>2.5986529222445258E-2</v>
      </c>
      <c r="G305">
        <f t="shared" si="27"/>
        <v>0.22994253084741345</v>
      </c>
      <c r="H305">
        <f t="shared" si="28"/>
        <v>-0.94537531695092947</v>
      </c>
    </row>
    <row r="306" spans="1:8" x14ac:dyDescent="0.45">
      <c r="A306" s="2">
        <v>42804</v>
      </c>
      <c r="B306">
        <v>4993.32</v>
      </c>
      <c r="C306">
        <f t="shared" si="24"/>
        <v>2.3707670967236805E-3</v>
      </c>
      <c r="D306">
        <f t="shared" si="25"/>
        <v>5.8733451693697182E-3</v>
      </c>
      <c r="E306">
        <f t="shared" si="26"/>
        <v>-3.5025780726460377E-3</v>
      </c>
      <c r="F306">
        <f t="shared" si="29"/>
        <v>1.2134268408557802E-2</v>
      </c>
      <c r="G306">
        <f t="shared" si="27"/>
        <v>-0.28865177155433719</v>
      </c>
      <c r="H306">
        <f t="shared" si="28"/>
        <v>-0.96059845581540126</v>
      </c>
    </row>
    <row r="307" spans="1:8" x14ac:dyDescent="0.45">
      <c r="A307" s="2">
        <v>42807</v>
      </c>
      <c r="B307">
        <v>4999.6000000000004</v>
      </c>
      <c r="C307">
        <f t="shared" si="24"/>
        <v>1.2576802608286197E-3</v>
      </c>
      <c r="D307">
        <f t="shared" si="25"/>
        <v>6.4437041683540162E-3</v>
      </c>
      <c r="E307">
        <f t="shared" si="26"/>
        <v>-5.1860239075253965E-3</v>
      </c>
      <c r="F307">
        <f t="shared" si="29"/>
        <v>1.2098609160069437E-2</v>
      </c>
      <c r="G307">
        <f t="shared" si="27"/>
        <v>-0.42864628809082322</v>
      </c>
      <c r="H307">
        <f t="shared" si="28"/>
        <v>-1.0108073533516932</v>
      </c>
    </row>
    <row r="308" spans="1:8" x14ac:dyDescent="0.45">
      <c r="A308" s="2">
        <v>42808</v>
      </c>
      <c r="B308">
        <v>4974.26</v>
      </c>
      <c r="C308">
        <f t="shared" si="24"/>
        <v>-5.0684054724378091E-3</v>
      </c>
      <c r="D308">
        <f t="shared" si="25"/>
        <v>3.5245585275842581E-3</v>
      </c>
      <c r="E308">
        <f t="shared" si="26"/>
        <v>-8.5929640000220672E-3</v>
      </c>
      <c r="F308">
        <f t="shared" si="29"/>
        <v>1.5195014632073662E-2</v>
      </c>
      <c r="G308">
        <f t="shared" si="27"/>
        <v>-0.5655120582696922</v>
      </c>
      <c r="H308">
        <f t="shared" si="28"/>
        <v>-1.0788404772288844</v>
      </c>
    </row>
    <row r="309" spans="1:8" x14ac:dyDescent="0.45">
      <c r="A309" s="2">
        <v>42809</v>
      </c>
      <c r="B309">
        <v>4985.4799999999996</v>
      </c>
      <c r="C309">
        <f t="shared" si="24"/>
        <v>2.2556118900096678E-3</v>
      </c>
      <c r="D309">
        <f t="shared" si="25"/>
        <v>-4.7708106624071121E-3</v>
      </c>
      <c r="E309">
        <f t="shared" si="26"/>
        <v>7.0264225524167799E-3</v>
      </c>
      <c r="F309">
        <f t="shared" si="29"/>
        <v>1.8700336249010224E-2</v>
      </c>
      <c r="G309">
        <f t="shared" si="27"/>
        <v>0.37573776529225117</v>
      </c>
      <c r="H309">
        <f t="shared" si="28"/>
        <v>-0.98952796733808013</v>
      </c>
    </row>
    <row r="310" spans="1:8" x14ac:dyDescent="0.45">
      <c r="A310" s="2">
        <v>42810</v>
      </c>
      <c r="B310">
        <v>5013.38</v>
      </c>
      <c r="C310">
        <f t="shared" si="24"/>
        <v>5.5962515143979097E-3</v>
      </c>
      <c r="D310">
        <f t="shared" si="25"/>
        <v>-1.8105597468139698E-3</v>
      </c>
      <c r="E310">
        <f t="shared" si="26"/>
        <v>7.4068112612118795E-3</v>
      </c>
      <c r="F310">
        <f t="shared" si="29"/>
        <v>1.432677488904323E-2</v>
      </c>
      <c r="G310">
        <f t="shared" si="27"/>
        <v>0.51699083140312541</v>
      </c>
      <c r="H310">
        <f t="shared" si="28"/>
        <v>-1.0525782930821201</v>
      </c>
    </row>
    <row r="311" spans="1:8" x14ac:dyDescent="0.45">
      <c r="A311" s="2">
        <v>42811</v>
      </c>
      <c r="B311">
        <v>5029.24</v>
      </c>
      <c r="C311">
        <f t="shared" si="24"/>
        <v>3.1635343819937933E-3</v>
      </c>
      <c r="D311">
        <f t="shared" si="25"/>
        <v>8.4472070124011686E-3</v>
      </c>
      <c r="E311">
        <f t="shared" si="26"/>
        <v>-5.2836726304073753E-3</v>
      </c>
      <c r="F311">
        <f t="shared" si="29"/>
        <v>1.7441007951292505E-2</v>
      </c>
      <c r="G311">
        <f t="shared" si="27"/>
        <v>-0.30294537134339283</v>
      </c>
      <c r="H311">
        <f t="shared" si="28"/>
        <v>-0.9648264822138658</v>
      </c>
    </row>
    <row r="312" spans="1:8" x14ac:dyDescent="0.45">
      <c r="A312" s="2">
        <v>42814</v>
      </c>
      <c r="B312">
        <v>5012.16</v>
      </c>
      <c r="C312">
        <f t="shared" si="24"/>
        <v>-3.3961393769237347E-3</v>
      </c>
      <c r="D312">
        <f t="shared" si="25"/>
        <v>8.545281953823456E-3</v>
      </c>
      <c r="E312">
        <f t="shared" si="26"/>
        <v>-1.1941421330747191E-2</v>
      </c>
      <c r="F312">
        <f t="shared" si="29"/>
        <v>1.2703275582803071E-2</v>
      </c>
      <c r="G312">
        <f t="shared" si="27"/>
        <v>-0.94002694446090473</v>
      </c>
      <c r="H312">
        <f t="shared" si="28"/>
        <v>-1.3607638613609252</v>
      </c>
    </row>
    <row r="313" spans="1:8" x14ac:dyDescent="0.45">
      <c r="A313" s="2">
        <v>42815</v>
      </c>
      <c r="B313">
        <v>5002.43</v>
      </c>
      <c r="C313">
        <f t="shared" si="24"/>
        <v>-1.9412788099341105E-3</v>
      </c>
      <c r="D313">
        <f t="shared" si="25"/>
        <v>-1.1718779868948809E-3</v>
      </c>
      <c r="E313">
        <f t="shared" si="26"/>
        <v>-7.694008230392296E-4</v>
      </c>
      <c r="F313">
        <f t="shared" si="29"/>
        <v>2.8652987831561148E-2</v>
      </c>
      <c r="G313">
        <f t="shared" si="27"/>
        <v>-2.6852376707176686E-2</v>
      </c>
      <c r="H313">
        <f t="shared" si="28"/>
        <v>-0.91929905827208469</v>
      </c>
    </row>
    <row r="314" spans="1:8" x14ac:dyDescent="0.45">
      <c r="A314" s="2">
        <v>42816</v>
      </c>
      <c r="B314">
        <v>4994.7</v>
      </c>
      <c r="C314">
        <f t="shared" si="24"/>
        <v>-1.5452490089816751E-3</v>
      </c>
      <c r="D314">
        <f t="shared" si="25"/>
        <v>-5.210629974604801E-3</v>
      </c>
      <c r="E314">
        <f t="shared" si="26"/>
        <v>3.6653809656231259E-3</v>
      </c>
      <c r="F314">
        <f t="shared" si="29"/>
        <v>1.0518454169646061E-2</v>
      </c>
      <c r="G314">
        <f t="shared" si="27"/>
        <v>0.34847144898920668</v>
      </c>
      <c r="H314">
        <f t="shared" si="28"/>
        <v>-0.97965470858499126</v>
      </c>
    </row>
    <row r="315" spans="1:8" x14ac:dyDescent="0.45">
      <c r="A315" s="2">
        <v>42817</v>
      </c>
      <c r="B315">
        <v>5032.76</v>
      </c>
      <c r="C315">
        <f t="shared" si="24"/>
        <v>7.6200772819188245E-3</v>
      </c>
      <c r="D315">
        <f t="shared" si="25"/>
        <v>-3.4827818259416188E-3</v>
      </c>
      <c r="E315">
        <f t="shared" si="26"/>
        <v>1.1102859107860442E-2</v>
      </c>
      <c r="F315">
        <f t="shared" si="29"/>
        <v>1.3290280464261525E-2</v>
      </c>
      <c r="G315">
        <f t="shared" si="27"/>
        <v>0.83541194918472872</v>
      </c>
      <c r="H315">
        <f t="shared" si="28"/>
        <v>-1.2678950956249866</v>
      </c>
    </row>
    <row r="316" spans="1:8" x14ac:dyDescent="0.45">
      <c r="A316" s="2">
        <v>42818</v>
      </c>
      <c r="B316">
        <v>5020.8999999999996</v>
      </c>
      <c r="C316">
        <f t="shared" si="24"/>
        <v>-2.356559820059112E-3</v>
      </c>
      <c r="D316">
        <f t="shared" si="25"/>
        <v>7.4741927249122944E-3</v>
      </c>
      <c r="E316">
        <f t="shared" si="26"/>
        <v>-9.8307525449714064E-3</v>
      </c>
      <c r="F316">
        <f t="shared" si="29"/>
        <v>2.5794604080382751E-2</v>
      </c>
      <c r="G316">
        <f t="shared" si="27"/>
        <v>-0.38111662866916673</v>
      </c>
      <c r="H316">
        <f t="shared" si="28"/>
        <v>-0.99156347552874846</v>
      </c>
    </row>
    <row r="317" spans="1:8" x14ac:dyDescent="0.45">
      <c r="A317" s="2">
        <v>42821</v>
      </c>
      <c r="B317">
        <v>5017.43</v>
      </c>
      <c r="C317">
        <f t="shared" si="24"/>
        <v>-6.9111115537046075E-4</v>
      </c>
      <c r="D317">
        <f t="shared" si="25"/>
        <v>3.9199584766686823E-3</v>
      </c>
      <c r="E317">
        <f t="shared" si="26"/>
        <v>-4.611069632039143E-3</v>
      </c>
      <c r="F317">
        <f t="shared" si="29"/>
        <v>1.4984191360096518E-2</v>
      </c>
      <c r="G317">
        <f t="shared" si="27"/>
        <v>-0.30772896055763144</v>
      </c>
      <c r="H317">
        <f t="shared" si="28"/>
        <v>-0.9662870897876128</v>
      </c>
    </row>
    <row r="318" spans="1:8" x14ac:dyDescent="0.45">
      <c r="A318" s="2">
        <v>42822</v>
      </c>
      <c r="B318">
        <v>5046.2</v>
      </c>
      <c r="C318">
        <f t="shared" si="24"/>
        <v>5.7340112368282625E-3</v>
      </c>
      <c r="D318">
        <f t="shared" si="25"/>
        <v>-2.8561996237731614E-3</v>
      </c>
      <c r="E318">
        <f t="shared" si="26"/>
        <v>8.5902108606014244E-3</v>
      </c>
      <c r="F318">
        <f t="shared" si="29"/>
        <v>1.2642588764081831E-2</v>
      </c>
      <c r="G318">
        <f t="shared" si="27"/>
        <v>0.67946612999124067</v>
      </c>
      <c r="H318">
        <f t="shared" si="28"/>
        <v>-1.1497756441073095</v>
      </c>
    </row>
    <row r="319" spans="1:8" x14ac:dyDescent="0.45">
      <c r="A319" s="2">
        <v>42823</v>
      </c>
      <c r="B319">
        <v>5069.04</v>
      </c>
      <c r="C319">
        <f t="shared" si="24"/>
        <v>4.5261781142245106E-3</v>
      </c>
      <c r="D319">
        <f t="shared" si="25"/>
        <v>6.0357552747184713E-3</v>
      </c>
      <c r="E319">
        <f t="shared" si="26"/>
        <v>-1.5095771604939608E-3</v>
      </c>
      <c r="F319">
        <f t="shared" si="29"/>
        <v>2.1577691549942955E-2</v>
      </c>
      <c r="G319">
        <f t="shared" si="27"/>
        <v>-6.9960086184379239E-2</v>
      </c>
      <c r="H319">
        <f t="shared" si="28"/>
        <v>-0.92138574003413554</v>
      </c>
    </row>
    <row r="320" spans="1:8" x14ac:dyDescent="0.45">
      <c r="A320" s="2">
        <v>42824</v>
      </c>
      <c r="B320">
        <v>5089.6400000000003</v>
      </c>
      <c r="C320">
        <f t="shared" si="24"/>
        <v>4.063885863990091E-3</v>
      </c>
      <c r="D320">
        <f t="shared" si="25"/>
        <v>1.0243118192410148E-2</v>
      </c>
      <c r="E320">
        <f t="shared" si="26"/>
        <v>-6.1792323284200566E-3</v>
      </c>
      <c r="F320">
        <f t="shared" si="29"/>
        <v>9.8140798786988601E-3</v>
      </c>
      <c r="G320">
        <f t="shared" si="27"/>
        <v>-0.62962930858468746</v>
      </c>
      <c r="H320">
        <f t="shared" si="28"/>
        <v>-1.1171550663190883</v>
      </c>
    </row>
    <row r="321" spans="1:8" x14ac:dyDescent="0.45">
      <c r="A321" s="2">
        <v>42825</v>
      </c>
      <c r="B321">
        <v>5122.51</v>
      </c>
      <c r="C321">
        <f t="shared" si="24"/>
        <v>6.4582170841158693E-3</v>
      </c>
      <c r="D321">
        <f t="shared" si="25"/>
        <v>8.6540782967821951E-3</v>
      </c>
      <c r="E321">
        <f t="shared" si="26"/>
        <v>-2.1958612126663259E-3</v>
      </c>
      <c r="F321">
        <f t="shared" si="29"/>
        <v>2.0185974599051713E-2</v>
      </c>
      <c r="G321">
        <f t="shared" si="27"/>
        <v>-0.1087815305568393</v>
      </c>
      <c r="H321">
        <f t="shared" si="28"/>
        <v>-0.92485524389981699</v>
      </c>
    </row>
    <row r="322" spans="1:8" x14ac:dyDescent="0.45">
      <c r="A322" s="2">
        <v>42828</v>
      </c>
      <c r="B322">
        <v>5085.91</v>
      </c>
      <c r="C322">
        <f t="shared" si="24"/>
        <v>-7.1449348073503449E-3</v>
      </c>
      <c r="D322">
        <f t="shared" si="25"/>
        <v>1.1022852093940241E-2</v>
      </c>
      <c r="E322">
        <f t="shared" si="26"/>
        <v>-1.8167786901290586E-2</v>
      </c>
      <c r="F322">
        <f t="shared" si="29"/>
        <v>9.9620335129503145E-3</v>
      </c>
      <c r="G322">
        <f t="shared" si="27"/>
        <v>-1.8237026484274583</v>
      </c>
      <c r="H322">
        <f t="shared" si="28"/>
        <v>-2.5818842081453353</v>
      </c>
    </row>
    <row r="323" spans="1:8" x14ac:dyDescent="0.45">
      <c r="A323" s="2">
        <v>42829</v>
      </c>
      <c r="B323">
        <v>5101.13</v>
      </c>
      <c r="C323">
        <f t="shared" si="24"/>
        <v>2.9925814652638216E-3</v>
      </c>
      <c r="D323">
        <f t="shared" si="25"/>
        <v>-2.6376308615012802E-3</v>
      </c>
      <c r="E323">
        <f t="shared" si="26"/>
        <v>5.6302123267651018E-3</v>
      </c>
      <c r="F323">
        <f t="shared" si="29"/>
        <v>5.3612801630471295E-2</v>
      </c>
      <c r="G323">
        <f t="shared" si="27"/>
        <v>0.10501619306470122</v>
      </c>
      <c r="H323">
        <f t="shared" si="28"/>
        <v>-0.92445273360757396</v>
      </c>
    </row>
    <row r="324" spans="1:8" x14ac:dyDescent="0.45">
      <c r="A324" s="2">
        <v>42830</v>
      </c>
      <c r="B324">
        <v>5091.8500000000004</v>
      </c>
      <c r="C324">
        <f t="shared" ref="C324:C387" si="30">B324/B323-1</f>
        <v>-1.8192047644345344E-3</v>
      </c>
      <c r="D324">
        <f t="shared" si="25"/>
        <v>-2.7690334309023075E-3</v>
      </c>
      <c r="E324">
        <f t="shared" si="26"/>
        <v>9.4982866646777311E-4</v>
      </c>
      <c r="F324">
        <f t="shared" si="29"/>
        <v>1.491191709134404E-2</v>
      </c>
      <c r="G324">
        <f t="shared" si="27"/>
        <v>6.3695946044330057E-2</v>
      </c>
      <c r="H324">
        <f t="shared" si="28"/>
        <v>-0.92096711997591374</v>
      </c>
    </row>
    <row r="325" spans="1:8" x14ac:dyDescent="0.45">
      <c r="A325" s="2">
        <v>42831</v>
      </c>
      <c r="B325">
        <v>5121.4399999999996</v>
      </c>
      <c r="C325">
        <f t="shared" si="30"/>
        <v>5.8112473855276292E-3</v>
      </c>
      <c r="D325">
        <f t="shared" si="25"/>
        <v>5.0471571818514697E-4</v>
      </c>
      <c r="E325">
        <f t="shared" si="26"/>
        <v>5.3065316673424822E-3</v>
      </c>
      <c r="F325">
        <f t="shared" si="29"/>
        <v>9.1326029209720487E-3</v>
      </c>
      <c r="G325">
        <f t="shared" si="27"/>
        <v>0.58105358497045767</v>
      </c>
      <c r="H325">
        <f t="shared" si="28"/>
        <v>-1.0877501675081831</v>
      </c>
    </row>
    <row r="326" spans="1:8" x14ac:dyDescent="0.45">
      <c r="A326" s="2">
        <v>42832</v>
      </c>
      <c r="B326">
        <v>5135.28</v>
      </c>
      <c r="C326">
        <f t="shared" si="30"/>
        <v>2.7023649598549859E-3</v>
      </c>
      <c r="D326">
        <f t="shared" ref="D326:D389" si="31">SUMPRODUCT(C324:C325,$O$8:$O$9)</f>
        <v>5.1409424006973632E-3</v>
      </c>
      <c r="E326">
        <f t="shared" ref="E326:E389" si="32">C326-D326</f>
        <v>-2.4385774408423773E-3</v>
      </c>
      <c r="F326">
        <f t="shared" si="29"/>
        <v>1.8902527993665732E-2</v>
      </c>
      <c r="G326">
        <f t="shared" ref="G326:G389" si="33">E326/F326</f>
        <v>-0.12900800578946628</v>
      </c>
      <c r="H326">
        <f t="shared" ref="H326:H389" si="34">-(G326^2)/2-LN(2*PI())/2</f>
        <v>-0.92726006598356014</v>
      </c>
    </row>
    <row r="327" spans="1:8" x14ac:dyDescent="0.45">
      <c r="A327" s="2">
        <v>42835</v>
      </c>
      <c r="B327">
        <v>5107.45</v>
      </c>
      <c r="C327">
        <f t="shared" si="30"/>
        <v>-5.4193734324126108E-3</v>
      </c>
      <c r="D327">
        <f t="shared" si="31"/>
        <v>8.1989273068104242E-3</v>
      </c>
      <c r="E327">
        <f t="shared" si="32"/>
        <v>-1.3618300739223035E-2</v>
      </c>
      <c r="F327">
        <f t="shared" ref="F327:F390" si="35">SQRT($O$4+$O$5*F326^2+$O$6*G326^2)</f>
        <v>1.0038640036771965E-2</v>
      </c>
      <c r="G327">
        <f t="shared" si="33"/>
        <v>-1.3565882120823758</v>
      </c>
      <c r="H327">
        <f t="shared" si="34"/>
        <v>-1.8391043217851011</v>
      </c>
    </row>
    <row r="328" spans="1:8" x14ac:dyDescent="0.45">
      <c r="A328" s="2">
        <v>42836</v>
      </c>
      <c r="B328">
        <v>5101.8599999999997</v>
      </c>
      <c r="C328">
        <f t="shared" si="30"/>
        <v>-1.0944796326934902E-3</v>
      </c>
      <c r="D328">
        <f t="shared" si="31"/>
        <v>-3.9167011161390895E-3</v>
      </c>
      <c r="E328">
        <f t="shared" si="32"/>
        <v>2.8222214834455993E-3</v>
      </c>
      <c r="F328">
        <f t="shared" si="35"/>
        <v>4.0292842886488545E-2</v>
      </c>
      <c r="G328">
        <f t="shared" si="33"/>
        <v>7.0042749065789514E-2</v>
      </c>
      <c r="H328">
        <f t="shared" si="34"/>
        <v>-0.92139152655301926</v>
      </c>
    </row>
    <row r="329" spans="1:8" x14ac:dyDescent="0.45">
      <c r="A329" s="2">
        <v>42837</v>
      </c>
      <c r="B329">
        <v>5101.1099999999997</v>
      </c>
      <c r="C329">
        <f t="shared" si="30"/>
        <v>-1.4700520986465904E-4</v>
      </c>
      <c r="D329">
        <f t="shared" si="31"/>
        <v>-5.9954460533393856E-3</v>
      </c>
      <c r="E329">
        <f t="shared" si="32"/>
        <v>5.8484408434747266E-3</v>
      </c>
      <c r="F329">
        <f t="shared" si="35"/>
        <v>1.2427258052436661E-2</v>
      </c>
      <c r="G329">
        <f t="shared" si="33"/>
        <v>0.47061393742668761</v>
      </c>
      <c r="H329">
        <f t="shared" si="34"/>
        <v>-1.0296772722547978</v>
      </c>
    </row>
    <row r="330" spans="1:8" x14ac:dyDescent="0.45">
      <c r="A330" s="2">
        <v>42838</v>
      </c>
      <c r="B330">
        <v>5071.1000000000004</v>
      </c>
      <c r="C330">
        <f t="shared" si="30"/>
        <v>-5.8830333005952529E-3</v>
      </c>
      <c r="D330">
        <f t="shared" si="31"/>
        <v>-1.1251080184011251E-3</v>
      </c>
      <c r="E330">
        <f t="shared" si="32"/>
        <v>-4.757925282194128E-3</v>
      </c>
      <c r="F330">
        <f t="shared" si="35"/>
        <v>1.6219473600544577E-2</v>
      </c>
      <c r="G330">
        <f t="shared" si="33"/>
        <v>-0.29334646730054037</v>
      </c>
      <c r="H330">
        <f t="shared" si="34"/>
        <v>-0.96196460814352613</v>
      </c>
    </row>
    <row r="331" spans="1:8" x14ac:dyDescent="0.45">
      <c r="A331" s="2">
        <v>42843</v>
      </c>
      <c r="B331">
        <v>4990.25</v>
      </c>
      <c r="C331">
        <f t="shared" si="30"/>
        <v>-1.594328646644716E-2</v>
      </c>
      <c r="D331">
        <f t="shared" si="31"/>
        <v>-6.9395273717512669E-3</v>
      </c>
      <c r="E331">
        <f t="shared" si="32"/>
        <v>-9.0037590946958936E-3</v>
      </c>
      <c r="F331">
        <f t="shared" si="35"/>
        <v>1.2429404505371458E-2</v>
      </c>
      <c r="G331">
        <f t="shared" si="33"/>
        <v>-0.72439183154791154</v>
      </c>
      <c r="H331">
        <f t="shared" si="34"/>
        <v>-1.1813102960113415</v>
      </c>
    </row>
    <row r="332" spans="1:8" x14ac:dyDescent="0.45">
      <c r="A332" s="2">
        <v>42844</v>
      </c>
      <c r="B332">
        <v>5003.7299999999996</v>
      </c>
      <c r="C332">
        <f t="shared" si="30"/>
        <v>2.7012674715694018E-3</v>
      </c>
      <c r="D332">
        <f t="shared" si="31"/>
        <v>-2.3591656460950919E-2</v>
      </c>
      <c r="E332">
        <f t="shared" si="32"/>
        <v>2.6292923932520321E-2</v>
      </c>
      <c r="F332">
        <f t="shared" si="35"/>
        <v>2.2769172491748663E-2</v>
      </c>
      <c r="G332">
        <f t="shared" si="33"/>
        <v>1.1547597499227797</v>
      </c>
      <c r="H332">
        <f t="shared" si="34"/>
        <v>-1.5856735732255332</v>
      </c>
    </row>
    <row r="333" spans="1:8" x14ac:dyDescent="0.45">
      <c r="A333" s="2">
        <v>42845</v>
      </c>
      <c r="B333">
        <v>5077.91</v>
      </c>
      <c r="C333">
        <f t="shared" si="30"/>
        <v>1.4824940594316605E-2</v>
      </c>
      <c r="D333">
        <f t="shared" si="31"/>
        <v>-1.0782668987114509E-2</v>
      </c>
      <c r="E333">
        <f t="shared" si="32"/>
        <v>2.5607609581431115E-2</v>
      </c>
      <c r="F333">
        <f t="shared" si="35"/>
        <v>3.4895238723204235E-2</v>
      </c>
      <c r="G333">
        <f t="shared" si="33"/>
        <v>0.73384251027928527</v>
      </c>
      <c r="H333">
        <f t="shared" si="34"/>
        <v>-1.1882009481511742</v>
      </c>
    </row>
    <row r="334" spans="1:8" x14ac:dyDescent="0.45">
      <c r="A334" s="2">
        <v>42846</v>
      </c>
      <c r="B334">
        <v>5059.2</v>
      </c>
      <c r="C334">
        <f t="shared" si="30"/>
        <v>-3.6845867689659917E-3</v>
      </c>
      <c r="D334">
        <f t="shared" si="31"/>
        <v>1.9520839186881325E-2</v>
      </c>
      <c r="E334">
        <f t="shared" si="32"/>
        <v>-2.3205425955847316E-2</v>
      </c>
      <c r="F334">
        <f t="shared" si="35"/>
        <v>2.4153599849245925E-2</v>
      </c>
      <c r="G334">
        <f t="shared" si="33"/>
        <v>-0.96074399264223087</v>
      </c>
      <c r="H334">
        <f t="shared" si="34"/>
        <v>-1.3804530429037403</v>
      </c>
    </row>
    <row r="335" spans="1:8" x14ac:dyDescent="0.45">
      <c r="A335" s="2">
        <v>42849</v>
      </c>
      <c r="B335">
        <v>5268.85</v>
      </c>
      <c r="C335">
        <f t="shared" si="30"/>
        <v>4.1439358001265081E-2</v>
      </c>
      <c r="D335">
        <f t="shared" si="31"/>
        <v>8.6684690199094611E-3</v>
      </c>
      <c r="E335">
        <f t="shared" si="32"/>
        <v>3.277088898135562E-2</v>
      </c>
      <c r="F335">
        <f t="shared" si="35"/>
        <v>2.9585997906476397E-2</v>
      </c>
      <c r="G335">
        <f t="shared" si="33"/>
        <v>1.1076485939378116</v>
      </c>
      <c r="H335">
        <f t="shared" si="34"/>
        <v>-1.532381237030878</v>
      </c>
    </row>
    <row r="336" spans="1:8" x14ac:dyDescent="0.45">
      <c r="A336" s="2">
        <v>42850</v>
      </c>
      <c r="B336">
        <v>5277.88</v>
      </c>
      <c r="C336">
        <f t="shared" si="30"/>
        <v>1.7138464750372506E-3</v>
      </c>
      <c r="D336">
        <f t="shared" si="31"/>
        <v>4.476301707983861E-2</v>
      </c>
      <c r="E336">
        <f t="shared" si="32"/>
        <v>-4.3049170604801359E-2</v>
      </c>
      <c r="F336">
        <f t="shared" si="35"/>
        <v>3.3850266305393659E-2</v>
      </c>
      <c r="G336">
        <f t="shared" si="33"/>
        <v>-1.2717527896654084</v>
      </c>
      <c r="H336">
        <f t="shared" si="34"/>
        <v>-1.7276161122155469</v>
      </c>
    </row>
    <row r="337" spans="1:8" x14ac:dyDescent="0.45">
      <c r="A337" s="2">
        <v>42851</v>
      </c>
      <c r="B337">
        <v>5287.88</v>
      </c>
      <c r="C337">
        <f t="shared" si="30"/>
        <v>1.8947001447551237E-3</v>
      </c>
      <c r="D337">
        <f t="shared" si="31"/>
        <v>3.8139137842055477E-2</v>
      </c>
      <c r="E337">
        <f t="shared" si="32"/>
        <v>-3.6244437697300354E-2</v>
      </c>
      <c r="F337">
        <f t="shared" si="35"/>
        <v>3.8577275384896775E-2</v>
      </c>
      <c r="G337">
        <f t="shared" si="33"/>
        <v>-0.93952818947629102</v>
      </c>
      <c r="H337">
        <f t="shared" si="34"/>
        <v>-1.3602951426149714</v>
      </c>
    </row>
    <row r="338" spans="1:8" x14ac:dyDescent="0.45">
      <c r="A338" s="2">
        <v>42852</v>
      </c>
      <c r="B338">
        <v>5271.7</v>
      </c>
      <c r="C338">
        <f t="shared" si="30"/>
        <v>-3.0598273788361441E-3</v>
      </c>
      <c r="D338">
        <f t="shared" si="31"/>
        <v>3.6889405511593759E-3</v>
      </c>
      <c r="E338">
        <f t="shared" si="32"/>
        <v>-6.74876792999552E-3</v>
      </c>
      <c r="F338">
        <f t="shared" si="35"/>
        <v>2.9779059457445259E-2</v>
      </c>
      <c r="G338">
        <f t="shared" si="33"/>
        <v>-0.22662797458864054</v>
      </c>
      <c r="H338">
        <f t="shared" si="34"/>
        <v>-0.94461865263774747</v>
      </c>
    </row>
    <row r="339" spans="1:8" x14ac:dyDescent="0.45">
      <c r="A339" s="2">
        <v>42853</v>
      </c>
      <c r="B339">
        <v>5267.33</v>
      </c>
      <c r="C339">
        <f t="shared" si="30"/>
        <v>-8.2895460667331555E-4</v>
      </c>
      <c r="D339">
        <f t="shared" si="31"/>
        <v>-1.8895304941041148E-3</v>
      </c>
      <c r="E339">
        <f t="shared" si="32"/>
        <v>1.0605758874307992E-3</v>
      </c>
      <c r="F339">
        <f t="shared" si="35"/>
        <v>1.2513196924645437E-2</v>
      </c>
      <c r="G339">
        <f t="shared" si="33"/>
        <v>8.475658888912202E-2</v>
      </c>
      <c r="H339">
        <f t="shared" si="34"/>
        <v>-0.9225303728847325</v>
      </c>
    </row>
    <row r="340" spans="1:8" x14ac:dyDescent="0.45">
      <c r="A340" s="2">
        <v>42857</v>
      </c>
      <c r="B340">
        <v>5304.15</v>
      </c>
      <c r="C340">
        <f t="shared" si="30"/>
        <v>6.9902588218317963E-3</v>
      </c>
      <c r="D340">
        <f t="shared" si="31"/>
        <v>-3.6293768745972906E-3</v>
      </c>
      <c r="E340">
        <f t="shared" si="32"/>
        <v>1.0619635696429087E-2</v>
      </c>
      <c r="F340">
        <f t="shared" si="35"/>
        <v>9.0959109037949456E-3</v>
      </c>
      <c r="G340">
        <f t="shared" si="33"/>
        <v>1.1675175591263125</v>
      </c>
      <c r="H340">
        <f t="shared" si="34"/>
        <v>-1.6004871586388041</v>
      </c>
    </row>
    <row r="341" spans="1:8" x14ac:dyDescent="0.45">
      <c r="A341" s="2">
        <v>42858</v>
      </c>
      <c r="B341">
        <v>5301</v>
      </c>
      <c r="C341">
        <f t="shared" si="30"/>
        <v>-5.938746076185053E-4</v>
      </c>
      <c r="D341">
        <f t="shared" si="31"/>
        <v>7.3699506235392802E-3</v>
      </c>
      <c r="E341">
        <f t="shared" si="32"/>
        <v>-7.9638252311577847E-3</v>
      </c>
      <c r="F341">
        <f t="shared" si="35"/>
        <v>3.4939361354022362E-2</v>
      </c>
      <c r="G341">
        <f t="shared" si="33"/>
        <v>-0.22793276472527613</v>
      </c>
      <c r="H341">
        <f t="shared" si="34"/>
        <v>-0.94491520582232669</v>
      </c>
    </row>
    <row r="342" spans="1:8" x14ac:dyDescent="0.45">
      <c r="A342" s="2">
        <v>42859</v>
      </c>
      <c r="B342">
        <v>5372.42</v>
      </c>
      <c r="C342">
        <f t="shared" si="30"/>
        <v>1.347292963591773E-2</v>
      </c>
      <c r="D342">
        <f t="shared" si="31"/>
        <v>5.411261309500595E-3</v>
      </c>
      <c r="E342">
        <f t="shared" si="32"/>
        <v>8.0616683264171339E-3</v>
      </c>
      <c r="F342">
        <f t="shared" si="35"/>
        <v>1.3184834408689755E-2</v>
      </c>
      <c r="G342">
        <f t="shared" si="33"/>
        <v>0.61143493172003083</v>
      </c>
      <c r="H342">
        <f t="shared" si="34"/>
        <v>-1.105864871068412</v>
      </c>
    </row>
    <row r="343" spans="1:8" x14ac:dyDescent="0.45">
      <c r="A343" s="2">
        <v>42860</v>
      </c>
      <c r="B343">
        <v>5432.4</v>
      </c>
      <c r="C343">
        <f t="shared" si="30"/>
        <v>1.1164428693214434E-2</v>
      </c>
      <c r="D343">
        <f t="shared" si="31"/>
        <v>1.5080570588726678E-2</v>
      </c>
      <c r="E343">
        <f t="shared" si="32"/>
        <v>-3.9161418955122439E-3</v>
      </c>
      <c r="F343">
        <f t="shared" si="35"/>
        <v>1.9807842580182589E-2</v>
      </c>
      <c r="G343">
        <f t="shared" si="33"/>
        <v>-0.19770663461503263</v>
      </c>
      <c r="H343">
        <f t="shared" si="34"/>
        <v>-0.93848248989007366</v>
      </c>
    </row>
    <row r="344" spans="1:8" x14ac:dyDescent="0.45">
      <c r="A344" s="2">
        <v>42863</v>
      </c>
      <c r="B344">
        <v>5382.95</v>
      </c>
      <c r="C344">
        <f t="shared" si="30"/>
        <v>-9.1027906634267852E-3</v>
      </c>
      <c r="D344">
        <f t="shared" si="31"/>
        <v>2.4680790337694575E-2</v>
      </c>
      <c r="E344">
        <f t="shared" si="32"/>
        <v>-3.378358100112136E-2</v>
      </c>
      <c r="F344">
        <f t="shared" si="35"/>
        <v>1.1019639078058719E-2</v>
      </c>
      <c r="G344">
        <f t="shared" si="33"/>
        <v>-3.0657611162953682</v>
      </c>
      <c r="H344">
        <f t="shared" si="34"/>
        <v>-5.6183841442989841</v>
      </c>
    </row>
    <row r="345" spans="1:8" x14ac:dyDescent="0.45">
      <c r="A345" s="2">
        <v>42864</v>
      </c>
      <c r="B345">
        <v>5398.01</v>
      </c>
      <c r="C345">
        <f t="shared" si="30"/>
        <v>2.797722438439898E-3</v>
      </c>
      <c r="D345">
        <f t="shared" si="31"/>
        <v>-7.9834034063983733E-4</v>
      </c>
      <c r="E345">
        <f t="shared" si="32"/>
        <v>3.5960627790797353E-3</v>
      </c>
      <c r="F345">
        <f t="shared" si="35"/>
        <v>8.9381968884619675E-2</v>
      </c>
      <c r="G345">
        <f t="shared" si="33"/>
        <v>4.0232530385650576E-2</v>
      </c>
      <c r="H345">
        <f t="shared" si="34"/>
        <v>-0.91974786145528886</v>
      </c>
    </row>
    <row r="346" spans="1:8" x14ac:dyDescent="0.45">
      <c r="A346" s="2">
        <v>42865</v>
      </c>
      <c r="B346">
        <v>5400.46</v>
      </c>
      <c r="C346">
        <f t="shared" si="30"/>
        <v>4.5387096355886669E-4</v>
      </c>
      <c r="D346">
        <f t="shared" si="31"/>
        <v>-4.702821433626771E-3</v>
      </c>
      <c r="E346">
        <f t="shared" si="32"/>
        <v>5.1566923971856377E-3</v>
      </c>
      <c r="F346">
        <f t="shared" si="35"/>
        <v>2.1705572523559275E-2</v>
      </c>
      <c r="G346">
        <f t="shared" si="33"/>
        <v>0.23757458558573163</v>
      </c>
      <c r="H346">
        <f t="shared" si="34"/>
        <v>-0.94715937506278869</v>
      </c>
    </row>
    <row r="347" spans="1:8" x14ac:dyDescent="0.45">
      <c r="A347" s="2">
        <v>42866</v>
      </c>
      <c r="B347">
        <v>5383.42</v>
      </c>
      <c r="C347">
        <f t="shared" si="30"/>
        <v>-3.1552867718676048E-3</v>
      </c>
      <c r="D347">
        <f t="shared" si="31"/>
        <v>2.9664313939646745E-3</v>
      </c>
      <c r="E347">
        <f t="shared" si="32"/>
        <v>-6.1217181658322793E-3</v>
      </c>
      <c r="F347">
        <f t="shared" si="35"/>
        <v>1.1832102623446876E-2</v>
      </c>
      <c r="G347">
        <f t="shared" si="33"/>
        <v>-0.51738210533276519</v>
      </c>
      <c r="H347">
        <f t="shared" si="34"/>
        <v>-1.0527806546639549</v>
      </c>
    </row>
    <row r="348" spans="1:8" x14ac:dyDescent="0.45">
      <c r="A348" s="2">
        <v>42867</v>
      </c>
      <c r="B348">
        <v>5405.42</v>
      </c>
      <c r="C348">
        <f t="shared" si="30"/>
        <v>4.0866215156907248E-3</v>
      </c>
      <c r="D348">
        <f t="shared" si="31"/>
        <v>-3.2571416439516319E-3</v>
      </c>
      <c r="E348">
        <f t="shared" si="32"/>
        <v>7.3437631596423563E-3</v>
      </c>
      <c r="F348">
        <f t="shared" si="35"/>
        <v>1.7356685777925575E-2</v>
      </c>
      <c r="G348">
        <f t="shared" si="33"/>
        <v>0.42310860803749961</v>
      </c>
      <c r="H348">
        <f t="shared" si="34"/>
        <v>-1.0084489803023879</v>
      </c>
    </row>
    <row r="349" spans="1:8" x14ac:dyDescent="0.45">
      <c r="A349" s="2">
        <v>42870</v>
      </c>
      <c r="B349">
        <v>5417.4</v>
      </c>
      <c r="C349">
        <f t="shared" si="30"/>
        <v>2.2162940160059819E-3</v>
      </c>
      <c r="D349">
        <f t="shared" si="31"/>
        <v>1.9785014717378954E-3</v>
      </c>
      <c r="E349">
        <f t="shared" si="32"/>
        <v>2.3779254426808645E-4</v>
      </c>
      <c r="F349">
        <f t="shared" si="35"/>
        <v>1.5319577813527864E-2</v>
      </c>
      <c r="G349">
        <f t="shared" si="33"/>
        <v>1.5522134301775936E-2</v>
      </c>
      <c r="H349">
        <f t="shared" si="34"/>
        <v>-0.91905900153131381</v>
      </c>
    </row>
    <row r="350" spans="1:8" x14ac:dyDescent="0.45">
      <c r="A350" s="2">
        <v>42871</v>
      </c>
      <c r="B350">
        <v>5406.1</v>
      </c>
      <c r="C350">
        <f t="shared" si="30"/>
        <v>-2.0858714512494991E-3</v>
      </c>
      <c r="D350">
        <f t="shared" si="31"/>
        <v>6.1314672011239402E-3</v>
      </c>
      <c r="E350">
        <f t="shared" si="32"/>
        <v>-8.2173386523734394E-3</v>
      </c>
      <c r="F350">
        <f t="shared" si="35"/>
        <v>8.9894116498058316E-3</v>
      </c>
      <c r="G350">
        <f t="shared" si="33"/>
        <v>-0.91411306684914484</v>
      </c>
      <c r="H350">
        <f t="shared" si="34"/>
        <v>-1.3367398826968473</v>
      </c>
    </row>
    <row r="351" spans="1:8" x14ac:dyDescent="0.45">
      <c r="A351" s="2">
        <v>42872</v>
      </c>
      <c r="B351">
        <v>5317.89</v>
      </c>
      <c r="C351">
        <f t="shared" si="30"/>
        <v>-1.6316753297201281E-2</v>
      </c>
      <c r="D351">
        <f t="shared" si="31"/>
        <v>-4.8131888587641292E-4</v>
      </c>
      <c r="E351">
        <f t="shared" si="32"/>
        <v>-1.5835434411324869E-2</v>
      </c>
      <c r="F351">
        <f t="shared" si="35"/>
        <v>2.7865613441238817E-2</v>
      </c>
      <c r="G351">
        <f t="shared" si="33"/>
        <v>-0.56827869390772956</v>
      </c>
      <c r="H351">
        <f t="shared" si="34"/>
        <v>-1.0804088701794101</v>
      </c>
    </row>
    <row r="352" spans="1:8" x14ac:dyDescent="0.45">
      <c r="A352" s="2">
        <v>42873</v>
      </c>
      <c r="B352">
        <v>5289.73</v>
      </c>
      <c r="C352">
        <f t="shared" si="30"/>
        <v>-5.2953332994855051E-3</v>
      </c>
      <c r="D352">
        <f t="shared" si="31"/>
        <v>-2.0711114008491967E-2</v>
      </c>
      <c r="E352">
        <f t="shared" si="32"/>
        <v>1.5415780709006462E-2</v>
      </c>
      <c r="F352">
        <f t="shared" si="35"/>
        <v>1.9486543449165564E-2</v>
      </c>
      <c r="G352">
        <f t="shared" si="33"/>
        <v>0.79109877794497119</v>
      </c>
      <c r="H352">
        <f t="shared" si="34"/>
        <v>-1.231857171437686</v>
      </c>
    </row>
    <row r="353" spans="1:8" x14ac:dyDescent="0.45">
      <c r="A353" s="2">
        <v>42874</v>
      </c>
      <c r="B353">
        <v>5324.4</v>
      </c>
      <c r="C353">
        <f t="shared" si="30"/>
        <v>6.5542097611788197E-3</v>
      </c>
      <c r="D353">
        <f t="shared" si="31"/>
        <v>-2.0366828763038525E-2</v>
      </c>
      <c r="E353">
        <f t="shared" si="32"/>
        <v>2.6921038524217344E-2</v>
      </c>
      <c r="F353">
        <f t="shared" si="35"/>
        <v>2.4796440800209374E-2</v>
      </c>
      <c r="G353">
        <f t="shared" si="33"/>
        <v>1.085681559749899</v>
      </c>
      <c r="H353">
        <f t="shared" si="34"/>
        <v>-1.5082907577951594</v>
      </c>
    </row>
    <row r="354" spans="1:8" x14ac:dyDescent="0.45">
      <c r="A354" s="2">
        <v>42877</v>
      </c>
      <c r="B354">
        <v>5322.88</v>
      </c>
      <c r="C354">
        <f t="shared" si="30"/>
        <v>-2.854781759445979E-4</v>
      </c>
      <c r="D354">
        <f t="shared" si="31"/>
        <v>2.9682892684956023E-3</v>
      </c>
      <c r="E354">
        <f t="shared" si="32"/>
        <v>-3.2537674444402002E-3</v>
      </c>
      <c r="F354">
        <f t="shared" si="35"/>
        <v>3.3048428497588121E-2</v>
      </c>
      <c r="G354">
        <f t="shared" si="33"/>
        <v>-9.8454528471078759E-2</v>
      </c>
      <c r="H354">
        <f t="shared" si="34"/>
        <v>-0.92378518029290391</v>
      </c>
    </row>
    <row r="355" spans="1:8" x14ac:dyDescent="0.45">
      <c r="A355" s="2">
        <v>42879</v>
      </c>
      <c r="B355">
        <v>5341.34</v>
      </c>
      <c r="C355">
        <f t="shared" si="30"/>
        <v>3.4680473728507799E-3</v>
      </c>
      <c r="D355">
        <f t="shared" si="31"/>
        <v>5.3878743974090822E-3</v>
      </c>
      <c r="E355">
        <f t="shared" si="32"/>
        <v>-1.9198270245583023E-3</v>
      </c>
      <c r="F355">
        <f t="shared" si="35"/>
        <v>1.1480568135529622E-2</v>
      </c>
      <c r="G355">
        <f t="shared" si="33"/>
        <v>-0.16722404343535013</v>
      </c>
      <c r="H355">
        <f t="shared" si="34"/>
        <v>-0.93292047355610663</v>
      </c>
    </row>
    <row r="356" spans="1:8" x14ac:dyDescent="0.45">
      <c r="A356" s="2">
        <v>42880</v>
      </c>
      <c r="B356">
        <v>5337.16</v>
      </c>
      <c r="C356">
        <f t="shared" si="30"/>
        <v>-7.8257515904256447E-4</v>
      </c>
      <c r="D356">
        <f t="shared" si="31"/>
        <v>3.7661689649251518E-3</v>
      </c>
      <c r="E356">
        <f t="shared" si="32"/>
        <v>-4.5487441239677167E-3</v>
      </c>
      <c r="F356">
        <f t="shared" si="35"/>
        <v>9.9493647492020325E-3</v>
      </c>
      <c r="G356">
        <f t="shared" si="33"/>
        <v>-0.45718940240205175</v>
      </c>
      <c r="H356">
        <f t="shared" si="34"/>
        <v>-1.0234496080390452</v>
      </c>
    </row>
    <row r="357" spans="1:8" x14ac:dyDescent="0.45">
      <c r="A357" s="2">
        <v>42881</v>
      </c>
      <c r="B357">
        <v>5336.64</v>
      </c>
      <c r="C357">
        <f t="shared" si="30"/>
        <v>-9.7430093907502346E-5</v>
      </c>
      <c r="D357">
        <f t="shared" si="31"/>
        <v>2.119739547143742E-3</v>
      </c>
      <c r="E357">
        <f t="shared" si="32"/>
        <v>-2.2171696410512444E-3</v>
      </c>
      <c r="F357">
        <f t="shared" si="35"/>
        <v>1.580508896342573E-2</v>
      </c>
      <c r="G357">
        <f t="shared" si="33"/>
        <v>-0.14028200955919681</v>
      </c>
      <c r="H357">
        <f t="shared" si="34"/>
        <v>-0.92877805430765592</v>
      </c>
    </row>
    <row r="358" spans="1:8" x14ac:dyDescent="0.45">
      <c r="A358" s="2">
        <v>42884</v>
      </c>
      <c r="B358">
        <v>5332.47</v>
      </c>
      <c r="C358">
        <f t="shared" si="30"/>
        <v>-7.8139053786652202E-4</v>
      </c>
      <c r="D358">
        <f t="shared" si="31"/>
        <v>-7.9558144184431392E-4</v>
      </c>
      <c r="E358">
        <f t="shared" si="32"/>
        <v>1.4190903977791898E-5</v>
      </c>
      <c r="F358">
        <f t="shared" si="35"/>
        <v>9.8962366272357279E-3</v>
      </c>
      <c r="G358">
        <f t="shared" si="33"/>
        <v>1.4339697515656294E-3</v>
      </c>
      <c r="H358">
        <f t="shared" si="34"/>
        <v>-0.91893956133929688</v>
      </c>
    </row>
    <row r="359" spans="1:8" x14ac:dyDescent="0.45">
      <c r="A359" s="2">
        <v>42885</v>
      </c>
      <c r="B359">
        <v>5305.94</v>
      </c>
      <c r="C359">
        <f t="shared" si="30"/>
        <v>-4.9751803573204745E-3</v>
      </c>
      <c r="D359">
        <f t="shared" si="31"/>
        <v>-9.8968521882047164E-4</v>
      </c>
      <c r="E359">
        <f t="shared" si="32"/>
        <v>-3.9854951385000026E-3</v>
      </c>
      <c r="F359">
        <f t="shared" si="35"/>
        <v>8.5875074177388031E-3</v>
      </c>
      <c r="G359">
        <f t="shared" si="33"/>
        <v>-0.46410383649478498</v>
      </c>
      <c r="H359">
        <f t="shared" si="34"/>
        <v>-1.0266347187292617</v>
      </c>
    </row>
    <row r="360" spans="1:8" x14ac:dyDescent="0.45">
      <c r="A360" s="2">
        <v>42886</v>
      </c>
      <c r="B360">
        <v>5283.63</v>
      </c>
      <c r="C360">
        <f t="shared" si="30"/>
        <v>-4.2047215008084171E-3</v>
      </c>
      <c r="D360">
        <f t="shared" si="31"/>
        <v>-6.4419182474143959E-3</v>
      </c>
      <c r="E360">
        <f t="shared" si="32"/>
        <v>2.2371967466059788E-3</v>
      </c>
      <c r="F360">
        <f t="shared" si="35"/>
        <v>1.5934173415523747E-2</v>
      </c>
      <c r="G360">
        <f t="shared" si="33"/>
        <v>0.14040243495946936</v>
      </c>
      <c r="H360">
        <f t="shared" si="34"/>
        <v>-0.92879495507594667</v>
      </c>
    </row>
    <row r="361" spans="1:8" x14ac:dyDescent="0.45">
      <c r="A361" s="2">
        <v>42887</v>
      </c>
      <c r="B361">
        <v>5318.67</v>
      </c>
      <c r="C361">
        <f t="shared" si="30"/>
        <v>6.631804270927466E-3</v>
      </c>
      <c r="D361">
        <f t="shared" si="31"/>
        <v>-9.20887926161559E-3</v>
      </c>
      <c r="E361">
        <f t="shared" si="32"/>
        <v>1.5840683532543056E-2</v>
      </c>
      <c r="F361">
        <f t="shared" si="35"/>
        <v>9.9080560438697188E-3</v>
      </c>
      <c r="G361">
        <f t="shared" si="33"/>
        <v>1.5987680592848437</v>
      </c>
      <c r="H361">
        <f t="shared" si="34"/>
        <v>-2.1969681868993853</v>
      </c>
    </row>
    <row r="362" spans="1:8" x14ac:dyDescent="0.45">
      <c r="A362" s="2">
        <v>42888</v>
      </c>
      <c r="B362">
        <v>5343.41</v>
      </c>
      <c r="C362">
        <f t="shared" si="30"/>
        <v>4.6515388245558231E-3</v>
      </c>
      <c r="D362">
        <f t="shared" si="31"/>
        <v>4.009660247915563E-3</v>
      </c>
      <c r="E362">
        <f t="shared" si="32"/>
        <v>6.4187857664026009E-4</v>
      </c>
      <c r="F362">
        <f t="shared" si="35"/>
        <v>4.7181051871417932E-2</v>
      </c>
      <c r="G362">
        <f t="shared" si="33"/>
        <v>1.3604583856874696E-2</v>
      </c>
      <c r="H362">
        <f t="shared" si="34"/>
        <v>-0.91903107555563202</v>
      </c>
    </row>
    <row r="363" spans="1:8" x14ac:dyDescent="0.45">
      <c r="A363" s="2">
        <v>42891</v>
      </c>
      <c r="B363">
        <v>5307.89</v>
      </c>
      <c r="C363">
        <f t="shared" si="30"/>
        <v>-6.6474404921200714E-3</v>
      </c>
      <c r="D363">
        <f t="shared" si="31"/>
        <v>1.1171562113535132E-2</v>
      </c>
      <c r="E363">
        <f t="shared" si="32"/>
        <v>-1.7819002605655204E-2</v>
      </c>
      <c r="F363">
        <f t="shared" si="35"/>
        <v>1.3442484049134215E-2</v>
      </c>
      <c r="G363">
        <f t="shared" si="33"/>
        <v>-1.3255736469929353</v>
      </c>
      <c r="H363">
        <f t="shared" si="34"/>
        <v>-1.7975112800057482</v>
      </c>
    </row>
    <row r="364" spans="1:8" x14ac:dyDescent="0.45">
      <c r="A364" s="2">
        <v>42892</v>
      </c>
      <c r="B364">
        <v>5269.22</v>
      </c>
      <c r="C364">
        <f t="shared" si="30"/>
        <v>-7.2853808198738434E-3</v>
      </c>
      <c r="D364">
        <f t="shared" si="31"/>
        <v>-3.637925840051061E-3</v>
      </c>
      <c r="E364">
        <f t="shared" si="32"/>
        <v>-3.6474549798227824E-3</v>
      </c>
      <c r="F364">
        <f t="shared" si="35"/>
        <v>3.9464903120382873E-2</v>
      </c>
      <c r="G364">
        <f t="shared" si="33"/>
        <v>-9.2422752659411481E-2</v>
      </c>
      <c r="H364">
        <f t="shared" si="34"/>
        <v>-0.92320951580924404</v>
      </c>
    </row>
    <row r="365" spans="1:8" x14ac:dyDescent="0.45">
      <c r="A365" s="2">
        <v>42893</v>
      </c>
      <c r="B365">
        <v>5265.53</v>
      </c>
      <c r="C365">
        <f t="shared" si="30"/>
        <v>-7.002934020595708E-4</v>
      </c>
      <c r="D365">
        <f t="shared" si="31"/>
        <v>-1.4234618614970197E-2</v>
      </c>
      <c r="E365">
        <f t="shared" si="32"/>
        <v>1.3534325212910626E-2</v>
      </c>
      <c r="F365">
        <f t="shared" si="35"/>
        <v>1.2417100245027433E-2</v>
      </c>
      <c r="G365">
        <f t="shared" si="33"/>
        <v>1.0899747079299451</v>
      </c>
      <c r="H365">
        <f t="shared" si="34"/>
        <v>-1.5129609651681573</v>
      </c>
    </row>
    <row r="366" spans="1:8" x14ac:dyDescent="0.45">
      <c r="A366" s="2">
        <v>42894</v>
      </c>
      <c r="B366">
        <v>5264.24</v>
      </c>
      <c r="C366">
        <f t="shared" si="30"/>
        <v>-2.4498958319485453E-4</v>
      </c>
      <c r="D366">
        <f t="shared" si="31"/>
        <v>-7.1671125359502371E-3</v>
      </c>
      <c r="E366">
        <f t="shared" si="32"/>
        <v>6.9221229527553826E-3</v>
      </c>
      <c r="F366">
        <f t="shared" si="35"/>
        <v>3.2816826509442606E-2</v>
      </c>
      <c r="G366">
        <f t="shared" si="33"/>
        <v>0.21093212504151287</v>
      </c>
      <c r="H366">
        <f t="shared" si="34"/>
        <v>-0.94118471389193692</v>
      </c>
    </row>
    <row r="367" spans="1:8" x14ac:dyDescent="0.45">
      <c r="A367" s="2">
        <v>42895</v>
      </c>
      <c r="B367">
        <v>5299.71</v>
      </c>
      <c r="C367">
        <f t="shared" si="30"/>
        <v>6.7379146847408311E-3</v>
      </c>
      <c r="D367">
        <f t="shared" si="31"/>
        <v>-8.9463420696006481E-4</v>
      </c>
      <c r="E367">
        <f t="shared" si="32"/>
        <v>7.6325488917008957E-3</v>
      </c>
      <c r="F367">
        <f t="shared" si="35"/>
        <v>1.2662542633518223E-2</v>
      </c>
      <c r="G367">
        <f t="shared" si="33"/>
        <v>0.60276589880907916</v>
      </c>
      <c r="H367">
        <f t="shared" si="34"/>
        <v>-1.1006018975882312</v>
      </c>
    </row>
    <row r="368" spans="1:8" x14ac:dyDescent="0.45">
      <c r="A368" s="2">
        <v>42898</v>
      </c>
      <c r="B368">
        <v>5240.59</v>
      </c>
      <c r="C368">
        <f t="shared" si="30"/>
        <v>-1.1155327366969114E-2</v>
      </c>
      <c r="D368">
        <f t="shared" si="31"/>
        <v>7.5872871037017233E-3</v>
      </c>
      <c r="E368">
        <f t="shared" si="32"/>
        <v>-1.8742614470670837E-2</v>
      </c>
      <c r="F368">
        <f t="shared" si="35"/>
        <v>1.9565528132629011E-2</v>
      </c>
      <c r="G368">
        <f t="shared" si="33"/>
        <v>-0.95794063638968074</v>
      </c>
      <c r="H368">
        <f t="shared" si="34"/>
        <v>-1.3777636646280058</v>
      </c>
    </row>
    <row r="369" spans="1:8" x14ac:dyDescent="0.45">
      <c r="A369" s="2">
        <v>42899</v>
      </c>
      <c r="B369">
        <v>5261.74</v>
      </c>
      <c r="C369">
        <f t="shared" si="30"/>
        <v>4.0358051288118535E-3</v>
      </c>
      <c r="D369">
        <f t="shared" si="31"/>
        <v>-7.0367606173946879E-3</v>
      </c>
      <c r="E369">
        <f t="shared" si="32"/>
        <v>1.107256574620654E-2</v>
      </c>
      <c r="F369">
        <f t="shared" si="35"/>
        <v>2.933829560222348E-2</v>
      </c>
      <c r="G369">
        <f t="shared" si="33"/>
        <v>0.37740998646722262</v>
      </c>
      <c r="H369">
        <f t="shared" si="34"/>
        <v>-0.99015768214726729</v>
      </c>
    </row>
    <row r="370" spans="1:8" x14ac:dyDescent="0.45">
      <c r="A370" s="2">
        <v>42900</v>
      </c>
      <c r="B370">
        <v>5243.29</v>
      </c>
      <c r="C370">
        <f t="shared" si="30"/>
        <v>-3.506444636184991E-3</v>
      </c>
      <c r="D370">
        <f t="shared" si="31"/>
        <v>-5.0601824718491516E-3</v>
      </c>
      <c r="E370">
        <f t="shared" si="32"/>
        <v>1.5537378356641606E-3</v>
      </c>
      <c r="F370">
        <f t="shared" si="35"/>
        <v>1.523034829539224E-2</v>
      </c>
      <c r="G370">
        <f t="shared" si="33"/>
        <v>0.10201590965153604</v>
      </c>
      <c r="H370">
        <f t="shared" si="34"/>
        <v>-0.92414215611568784</v>
      </c>
    </row>
    <row r="371" spans="1:8" x14ac:dyDescent="0.45">
      <c r="A371" s="2">
        <v>42901</v>
      </c>
      <c r="B371">
        <v>5216.88</v>
      </c>
      <c r="C371">
        <f t="shared" si="30"/>
        <v>-5.0369138460775176E-3</v>
      </c>
      <c r="D371">
        <f t="shared" si="31"/>
        <v>-5.3855143347239596E-4</v>
      </c>
      <c r="E371">
        <f t="shared" si="32"/>
        <v>-4.4983624126051216E-3</v>
      </c>
      <c r="F371">
        <f t="shared" si="35"/>
        <v>9.4463286903772644E-3</v>
      </c>
      <c r="G371">
        <f t="shared" si="33"/>
        <v>-0.47620219029510263</v>
      </c>
      <c r="H371">
        <f t="shared" si="34"/>
        <v>-1.0323227962255992</v>
      </c>
    </row>
    <row r="372" spans="1:8" x14ac:dyDescent="0.45">
      <c r="A372" s="2">
        <v>42902</v>
      </c>
      <c r="B372">
        <v>5263.31</v>
      </c>
      <c r="C372">
        <f t="shared" si="30"/>
        <v>8.8999555289752674E-3</v>
      </c>
      <c r="D372">
        <f t="shared" si="31"/>
        <v>-8.8909385802084188E-3</v>
      </c>
      <c r="E372">
        <f t="shared" si="32"/>
        <v>1.7790894109183684E-2</v>
      </c>
      <c r="F372">
        <f t="shared" si="35"/>
        <v>1.6255900258226114E-2</v>
      </c>
      <c r="G372">
        <f t="shared" si="33"/>
        <v>1.0944268743394143</v>
      </c>
      <c r="H372">
        <f t="shared" si="34"/>
        <v>-1.5178236248428427</v>
      </c>
    </row>
    <row r="373" spans="1:8" x14ac:dyDescent="0.45">
      <c r="A373" s="2">
        <v>42905</v>
      </c>
      <c r="B373">
        <v>5310.72</v>
      </c>
      <c r="C373">
        <f t="shared" si="30"/>
        <v>9.0076396792131419E-3</v>
      </c>
      <c r="D373">
        <f t="shared" si="31"/>
        <v>5.9096159407796634E-3</v>
      </c>
      <c r="E373">
        <f t="shared" si="32"/>
        <v>3.0980237384334785E-3</v>
      </c>
      <c r="F373">
        <f t="shared" si="35"/>
        <v>3.3025098256867086E-2</v>
      </c>
      <c r="G373">
        <f t="shared" si="33"/>
        <v>9.3808161124525641E-2</v>
      </c>
      <c r="H373">
        <f t="shared" si="34"/>
        <v>-0.92333851875145512</v>
      </c>
    </row>
    <row r="374" spans="1:8" x14ac:dyDescent="0.45">
      <c r="A374" s="2">
        <v>42906</v>
      </c>
      <c r="B374">
        <v>5293.65</v>
      </c>
      <c r="C374">
        <f t="shared" si="30"/>
        <v>-3.2142534345626084E-3</v>
      </c>
      <c r="D374">
        <f t="shared" si="31"/>
        <v>1.8193885600758235E-2</v>
      </c>
      <c r="E374">
        <f t="shared" si="32"/>
        <v>-2.1408139035320843E-2</v>
      </c>
      <c r="F374">
        <f t="shared" si="35"/>
        <v>1.1444381672806904E-2</v>
      </c>
      <c r="G374">
        <f t="shared" si="33"/>
        <v>-1.8706243506531166</v>
      </c>
      <c r="H374">
        <f t="shared" si="34"/>
        <v>-2.6685562638328699</v>
      </c>
    </row>
    <row r="375" spans="1:8" x14ac:dyDescent="0.45">
      <c r="A375" s="2">
        <v>42907</v>
      </c>
      <c r="B375">
        <v>5274.26</v>
      </c>
      <c r="C375">
        <f t="shared" si="30"/>
        <v>-3.6628791098768376E-3</v>
      </c>
      <c r="D375">
        <f t="shared" si="31"/>
        <v>4.1375524131126726E-3</v>
      </c>
      <c r="E375">
        <f t="shared" si="32"/>
        <v>-7.8004315229895102E-3</v>
      </c>
      <c r="F375">
        <f t="shared" si="35"/>
        <v>5.4971693842858341E-2</v>
      </c>
      <c r="G375">
        <f t="shared" si="33"/>
        <v>-0.1418990570908687</v>
      </c>
      <c r="H375">
        <f t="shared" si="34"/>
        <v>-0.92900620440631143</v>
      </c>
    </row>
    <row r="376" spans="1:8" x14ac:dyDescent="0.45">
      <c r="A376" s="2">
        <v>42908</v>
      </c>
      <c r="B376">
        <v>5281.93</v>
      </c>
      <c r="C376">
        <f t="shared" si="30"/>
        <v>1.4542324420867558E-3</v>
      </c>
      <c r="D376">
        <f t="shared" si="31"/>
        <v>-7.045176165150881E-3</v>
      </c>
      <c r="E376">
        <f t="shared" si="32"/>
        <v>8.4994086072376369E-3</v>
      </c>
      <c r="F376">
        <f t="shared" si="35"/>
        <v>1.5409048744410717E-2</v>
      </c>
      <c r="G376">
        <f t="shared" si="33"/>
        <v>0.55158554873937982</v>
      </c>
      <c r="H376">
        <f t="shared" si="34"/>
        <v>-1.0710618419937341</v>
      </c>
    </row>
    <row r="377" spans="1:8" x14ac:dyDescent="0.45">
      <c r="A377" s="2">
        <v>42909</v>
      </c>
      <c r="B377">
        <v>5266.12</v>
      </c>
      <c r="C377">
        <f t="shared" si="30"/>
        <v>-2.9932240677177369E-3</v>
      </c>
      <c r="D377">
        <f t="shared" si="31"/>
        <v>-1.5120931520359795E-3</v>
      </c>
      <c r="E377">
        <f t="shared" si="32"/>
        <v>-1.4811309156817574E-3</v>
      </c>
      <c r="F377">
        <f t="shared" si="35"/>
        <v>1.8355694250437562E-2</v>
      </c>
      <c r="G377">
        <f t="shared" si="33"/>
        <v>-8.0690541881653449E-2</v>
      </c>
      <c r="H377">
        <f t="shared" si="34"/>
        <v>-0.92219401497925013</v>
      </c>
    </row>
    <row r="378" spans="1:8" x14ac:dyDescent="0.45">
      <c r="A378" s="2">
        <v>42912</v>
      </c>
      <c r="B378">
        <v>5295.75</v>
      </c>
      <c r="C378">
        <f t="shared" si="30"/>
        <v>5.6265333870098022E-3</v>
      </c>
      <c r="D378">
        <f t="shared" si="31"/>
        <v>-2.1967162371540191E-3</v>
      </c>
      <c r="E378">
        <f t="shared" si="32"/>
        <v>7.8232496241638222E-3</v>
      </c>
      <c r="F378">
        <f t="shared" si="35"/>
        <v>9.5509268510283862E-3</v>
      </c>
      <c r="G378">
        <f t="shared" si="33"/>
        <v>0.81910894577958804</v>
      </c>
      <c r="H378">
        <f t="shared" si="34"/>
        <v>-1.2544082657327467</v>
      </c>
    </row>
    <row r="379" spans="1:8" x14ac:dyDescent="0.45">
      <c r="A379" s="2">
        <v>42913</v>
      </c>
      <c r="B379">
        <v>5258.58</v>
      </c>
      <c r="C379">
        <f t="shared" si="30"/>
        <v>-7.0188358589434729E-3</v>
      </c>
      <c r="D379">
        <f t="shared" si="31"/>
        <v>3.9027793183550896E-3</v>
      </c>
      <c r="E379">
        <f t="shared" si="32"/>
        <v>-1.0921615177298562E-2</v>
      </c>
      <c r="F379">
        <f t="shared" si="35"/>
        <v>2.5265833731930375E-2</v>
      </c>
      <c r="G379">
        <f t="shared" si="33"/>
        <v>-0.43226814888344961</v>
      </c>
      <c r="H379">
        <f t="shared" si="34"/>
        <v>-1.0123664094742348</v>
      </c>
    </row>
    <row r="380" spans="1:8" x14ac:dyDescent="0.45">
      <c r="A380" s="2">
        <v>42914</v>
      </c>
      <c r="B380">
        <v>5252.9</v>
      </c>
      <c r="C380">
        <f t="shared" si="30"/>
        <v>-1.0801395053418039E-3</v>
      </c>
      <c r="D380">
        <f t="shared" si="31"/>
        <v>-3.2172605110285567E-3</v>
      </c>
      <c r="E380">
        <f t="shared" si="32"/>
        <v>2.1371210056867528E-3</v>
      </c>
      <c r="F380">
        <f t="shared" si="35"/>
        <v>1.606874894389964E-2</v>
      </c>
      <c r="G380">
        <f t="shared" si="33"/>
        <v>0.1329985933035622</v>
      </c>
      <c r="H380">
        <f t="shared" si="34"/>
        <v>-0.92778284611503581</v>
      </c>
    </row>
    <row r="381" spans="1:8" x14ac:dyDescent="0.45">
      <c r="A381" s="2">
        <v>42915</v>
      </c>
      <c r="B381">
        <v>5154.3500000000004</v>
      </c>
      <c r="C381">
        <f t="shared" si="30"/>
        <v>-1.8761065316301284E-2</v>
      </c>
      <c r="D381">
        <f t="shared" si="31"/>
        <v>-7.3743371426015867E-3</v>
      </c>
      <c r="E381">
        <f t="shared" si="32"/>
        <v>-1.1386728173699697E-2</v>
      </c>
      <c r="F381">
        <f t="shared" si="35"/>
        <v>9.8326623324690356E-3</v>
      </c>
      <c r="G381">
        <f t="shared" si="33"/>
        <v>-1.1580513790348403</v>
      </c>
      <c r="H381">
        <f t="shared" si="34"/>
        <v>-1.5894800314469204</v>
      </c>
    </row>
    <row r="382" spans="1:8" x14ac:dyDescent="0.45">
      <c r="A382" s="2">
        <v>42916</v>
      </c>
      <c r="B382">
        <v>5120.68</v>
      </c>
      <c r="C382">
        <f t="shared" si="30"/>
        <v>-6.5323464646366292E-3</v>
      </c>
      <c r="D382">
        <f t="shared" si="31"/>
        <v>-2.2663616148107697E-2</v>
      </c>
      <c r="E382">
        <f t="shared" si="32"/>
        <v>1.6131269683471068E-2</v>
      </c>
      <c r="F382">
        <f t="shared" si="35"/>
        <v>3.4683166358826303E-2</v>
      </c>
      <c r="G382">
        <f t="shared" si="33"/>
        <v>0.46510371967137082</v>
      </c>
      <c r="H382">
        <f t="shared" si="34"/>
        <v>-1.0270992682307452</v>
      </c>
    </row>
    <row r="383" spans="1:8" x14ac:dyDescent="0.45">
      <c r="A383" s="2">
        <v>42919</v>
      </c>
      <c r="B383">
        <v>5195.72</v>
      </c>
      <c r="C383">
        <f t="shared" si="30"/>
        <v>1.4654303725286422E-2</v>
      </c>
      <c r="D383">
        <f t="shared" si="31"/>
        <v>-2.3931625540944607E-2</v>
      </c>
      <c r="E383">
        <f t="shared" si="32"/>
        <v>3.8585929266231028E-2</v>
      </c>
      <c r="F383">
        <f t="shared" si="35"/>
        <v>1.7645076703034772E-2</v>
      </c>
      <c r="G383">
        <f t="shared" si="33"/>
        <v>2.1867816114165515</v>
      </c>
      <c r="H383">
        <f t="shared" si="34"/>
        <v>-3.3099454412194573</v>
      </c>
    </row>
    <row r="384" spans="1:8" x14ac:dyDescent="0.45">
      <c r="A384" s="2">
        <v>42920</v>
      </c>
      <c r="B384">
        <v>5174.8999999999996</v>
      </c>
      <c r="C384">
        <f t="shared" si="30"/>
        <v>-4.0071443418815411E-3</v>
      </c>
      <c r="D384">
        <f t="shared" si="31"/>
        <v>1.1267165176399665E-2</v>
      </c>
      <c r="E384">
        <f t="shared" si="32"/>
        <v>-1.5274309518281206E-2</v>
      </c>
      <c r="F384">
        <f t="shared" si="35"/>
        <v>6.4117751992444461E-2</v>
      </c>
      <c r="G384">
        <f t="shared" si="33"/>
        <v>-0.23822278610268663</v>
      </c>
      <c r="H384">
        <f t="shared" si="34"/>
        <v>-0.94731358111393582</v>
      </c>
    </row>
    <row r="385" spans="1:8" x14ac:dyDescent="0.45">
      <c r="A385" s="2">
        <v>42921</v>
      </c>
      <c r="B385">
        <v>5180.1000000000004</v>
      </c>
      <c r="C385">
        <f t="shared" si="30"/>
        <v>1.0048503352724225E-3</v>
      </c>
      <c r="D385">
        <f t="shared" si="31"/>
        <v>8.1461410344508718E-3</v>
      </c>
      <c r="E385">
        <f t="shared" si="32"/>
        <v>-7.1412906991784493E-3</v>
      </c>
      <c r="F385">
        <f t="shared" si="35"/>
        <v>1.7970307759606008E-2</v>
      </c>
      <c r="G385">
        <f t="shared" si="33"/>
        <v>-0.39739390080067383</v>
      </c>
      <c r="H385">
        <f t="shared" si="34"/>
        <v>-0.99789948940146056</v>
      </c>
    </row>
    <row r="386" spans="1:8" x14ac:dyDescent="0.45">
      <c r="A386" s="2">
        <v>42922</v>
      </c>
      <c r="B386">
        <v>5152.3999999999996</v>
      </c>
      <c r="C386">
        <f t="shared" si="30"/>
        <v>-5.347387116078961E-3</v>
      </c>
      <c r="D386">
        <f t="shared" si="31"/>
        <v>-2.332742986535046E-3</v>
      </c>
      <c r="E386">
        <f t="shared" si="32"/>
        <v>-3.014644129543915E-3</v>
      </c>
      <c r="F386">
        <f t="shared" si="35"/>
        <v>1.4765203641844887E-2</v>
      </c>
      <c r="G386">
        <f t="shared" si="33"/>
        <v>-0.20417220125568417</v>
      </c>
      <c r="H386">
        <f t="shared" si="34"/>
        <v>-0.93978167708746851</v>
      </c>
    </row>
    <row r="387" spans="1:8" x14ac:dyDescent="0.45">
      <c r="A387" s="2">
        <v>42923</v>
      </c>
      <c r="B387">
        <v>5145.16</v>
      </c>
      <c r="C387">
        <f t="shared" si="30"/>
        <v>-1.4051704060242809E-3</v>
      </c>
      <c r="D387">
        <f t="shared" si="31"/>
        <v>-5.3143987643873665E-3</v>
      </c>
      <c r="E387">
        <f t="shared" si="32"/>
        <v>3.9092283583630856E-3</v>
      </c>
      <c r="F387">
        <f t="shared" si="35"/>
        <v>1.0717790357646561E-2</v>
      </c>
      <c r="G387">
        <f t="shared" si="33"/>
        <v>0.36474200631980674</v>
      </c>
      <c r="H387">
        <f t="shared" si="34"/>
        <v>-0.98545689879177167</v>
      </c>
    </row>
    <row r="388" spans="1:8" x14ac:dyDescent="0.45">
      <c r="A388" s="2">
        <v>42926</v>
      </c>
      <c r="B388">
        <v>5165.6400000000003</v>
      </c>
      <c r="C388">
        <f t="shared" ref="C388:C451" si="36">B388/B387-1</f>
        <v>3.9804398697029786E-3</v>
      </c>
      <c r="D388">
        <f t="shared" si="31"/>
        <v>-6.2923517790265341E-3</v>
      </c>
      <c r="E388">
        <f t="shared" si="32"/>
        <v>1.0272791648729513E-2</v>
      </c>
      <c r="F388">
        <f t="shared" si="35"/>
        <v>1.3660721629577125E-2</v>
      </c>
      <c r="G388">
        <f t="shared" si="33"/>
        <v>0.75199480139377617</v>
      </c>
      <c r="H388">
        <f t="shared" si="34"/>
        <v>-1.2016866238663051</v>
      </c>
    </row>
    <row r="389" spans="1:8" x14ac:dyDescent="0.45">
      <c r="A389" s="2">
        <v>42927</v>
      </c>
      <c r="B389">
        <v>5140.6000000000004</v>
      </c>
      <c r="C389">
        <f t="shared" si="36"/>
        <v>-4.8474148411425944E-3</v>
      </c>
      <c r="D389">
        <f t="shared" si="31"/>
        <v>3.3825021883370329E-3</v>
      </c>
      <c r="E389">
        <f t="shared" si="32"/>
        <v>-8.2299170294796269E-3</v>
      </c>
      <c r="F389">
        <f t="shared" si="35"/>
        <v>2.3544907808785633E-2</v>
      </c>
      <c r="G389">
        <f t="shared" si="33"/>
        <v>-0.34954127220700715</v>
      </c>
      <c r="H389">
        <f t="shared" si="34"/>
        <v>-0.98002808369271921</v>
      </c>
    </row>
    <row r="390" spans="1:8" x14ac:dyDescent="0.45">
      <c r="A390" s="2">
        <v>42928</v>
      </c>
      <c r="B390">
        <v>5222.13</v>
      </c>
      <c r="C390">
        <f t="shared" si="36"/>
        <v>1.5860016340504934E-2</v>
      </c>
      <c r="D390">
        <f t="shared" ref="D390:D453" si="37">SUMPRODUCT(C388:C389,$O$8:$O$9)</f>
        <v>-2.1394072011381832E-3</v>
      </c>
      <c r="E390">
        <f t="shared" ref="E390:E453" si="38">C390-D390</f>
        <v>1.7999423541643116E-2</v>
      </c>
      <c r="F390">
        <f t="shared" si="35"/>
        <v>1.4125472788184875E-2</v>
      </c>
      <c r="G390">
        <f t="shared" ref="G390:G453" si="39">E390/F390</f>
        <v>1.2742528205284975</v>
      </c>
      <c r="H390">
        <f t="shared" ref="H390:H453" si="40">-(G390^2)/2-LN(2*PI())/2</f>
        <v>-1.7307986585170885</v>
      </c>
    </row>
    <row r="391" spans="1:8" x14ac:dyDescent="0.45">
      <c r="A391" s="2">
        <v>42929</v>
      </c>
      <c r="B391">
        <v>5235.3999999999996</v>
      </c>
      <c r="C391">
        <f t="shared" si="36"/>
        <v>2.5411087046856018E-3</v>
      </c>
      <c r="D391">
        <f t="shared" si="37"/>
        <v>1.4133180985804728E-2</v>
      </c>
      <c r="E391">
        <f t="shared" si="38"/>
        <v>-1.1592072281119126E-2</v>
      </c>
      <c r="F391">
        <f t="shared" ref="F391:F454" si="41">SQRT($O$4+$O$5*F390^2+$O$6*G390^2)</f>
        <v>3.8027286539267124E-2</v>
      </c>
      <c r="G391">
        <f t="shared" si="39"/>
        <v>-0.30483564135319274</v>
      </c>
      <c r="H391">
        <f t="shared" si="40"/>
        <v>-0.9654009173242788</v>
      </c>
    </row>
    <row r="392" spans="1:8" x14ac:dyDescent="0.45">
      <c r="A392" s="2">
        <v>42930</v>
      </c>
      <c r="B392">
        <v>5235.3100000000004</v>
      </c>
      <c r="C392">
        <f t="shared" si="36"/>
        <v>-1.7190663559429886E-5</v>
      </c>
      <c r="D392">
        <f t="shared" si="37"/>
        <v>1.6779545332550126E-2</v>
      </c>
      <c r="E392">
        <f t="shared" si="38"/>
        <v>-1.6796735996109556E-2</v>
      </c>
      <c r="F392">
        <f t="shared" si="41"/>
        <v>1.4820490082245844E-2</v>
      </c>
      <c r="G392">
        <f t="shared" si="39"/>
        <v>-1.1333455171115527</v>
      </c>
      <c r="H392">
        <f t="shared" si="40"/>
        <v>-1.5611745637830992</v>
      </c>
    </row>
    <row r="393" spans="1:8" x14ac:dyDescent="0.45">
      <c r="A393" s="2">
        <v>42933</v>
      </c>
      <c r="B393">
        <v>5230.17</v>
      </c>
      <c r="C393">
        <f t="shared" si="36"/>
        <v>-9.8179477433046891E-4</v>
      </c>
      <c r="D393">
        <f t="shared" si="37"/>
        <v>2.1971553028990445E-3</v>
      </c>
      <c r="E393">
        <f t="shared" si="38"/>
        <v>-3.1789500772295134E-3</v>
      </c>
      <c r="F393">
        <f t="shared" si="41"/>
        <v>3.4079680856734566E-2</v>
      </c>
      <c r="G393">
        <f t="shared" si="39"/>
        <v>-9.3279925084782986E-2</v>
      </c>
      <c r="H393">
        <f t="shared" si="40"/>
        <v>-0.92328910541658404</v>
      </c>
    </row>
    <row r="394" spans="1:8" x14ac:dyDescent="0.45">
      <c r="A394" s="2">
        <v>42934</v>
      </c>
      <c r="B394">
        <v>5173.2700000000004</v>
      </c>
      <c r="C394">
        <f t="shared" si="36"/>
        <v>-1.0879187483389563E-2</v>
      </c>
      <c r="D394">
        <f t="shared" si="37"/>
        <v>-1.1517025517098715E-3</v>
      </c>
      <c r="E394">
        <f t="shared" si="38"/>
        <v>-9.7274849316796915E-3</v>
      </c>
      <c r="F394">
        <f t="shared" si="41"/>
        <v>1.1594920163117825E-2</v>
      </c>
      <c r="G394">
        <f t="shared" si="39"/>
        <v>-0.83894367488805655</v>
      </c>
      <c r="H394">
        <f t="shared" si="40"/>
        <v>-1.2708517780220112</v>
      </c>
    </row>
    <row r="395" spans="1:8" x14ac:dyDescent="0.45">
      <c r="A395" s="2">
        <v>42935</v>
      </c>
      <c r="B395">
        <v>5216.07</v>
      </c>
      <c r="C395">
        <f t="shared" si="36"/>
        <v>8.2732971602099692E-3</v>
      </c>
      <c r="D395">
        <f t="shared" si="37"/>
        <v>-1.3452318142833836E-2</v>
      </c>
      <c r="E395">
        <f t="shared" si="38"/>
        <v>2.1725615303043806E-2</v>
      </c>
      <c r="F395">
        <f t="shared" si="41"/>
        <v>2.5850020658828982E-2</v>
      </c>
      <c r="G395">
        <f t="shared" si="39"/>
        <v>0.84044866306996546</v>
      </c>
      <c r="H395">
        <f t="shared" si="40"/>
        <v>-1.2721155108327189</v>
      </c>
    </row>
    <row r="396" spans="1:8" x14ac:dyDescent="0.45">
      <c r="A396" s="2">
        <v>42936</v>
      </c>
      <c r="B396">
        <v>5199.22</v>
      </c>
      <c r="C396">
        <f t="shared" si="36"/>
        <v>-3.2304014324959773E-3</v>
      </c>
      <c r="D396">
        <f t="shared" si="37"/>
        <v>8.6834212008843684E-5</v>
      </c>
      <c r="E396">
        <f t="shared" si="38"/>
        <v>-3.317235644504821E-3</v>
      </c>
      <c r="F396">
        <f t="shared" si="41"/>
        <v>2.6403408395650054E-2</v>
      </c>
      <c r="G396">
        <f t="shared" si="39"/>
        <v>-0.12563664489056398</v>
      </c>
      <c r="H396">
        <f t="shared" si="40"/>
        <v>-0.9268308164743515</v>
      </c>
    </row>
    <row r="397" spans="1:8" x14ac:dyDescent="0.45">
      <c r="A397" s="2">
        <v>42937</v>
      </c>
      <c r="B397">
        <v>5117.66</v>
      </c>
      <c r="C397">
        <f t="shared" si="36"/>
        <v>-1.5686968429879933E-2</v>
      </c>
      <c r="D397">
        <f t="shared" si="37"/>
        <v>3.4781597591198319E-3</v>
      </c>
      <c r="E397">
        <f t="shared" si="38"/>
        <v>-1.9165128188999764E-2</v>
      </c>
      <c r="F397">
        <f t="shared" si="41"/>
        <v>1.0821563203550967E-2</v>
      </c>
      <c r="G397">
        <f t="shared" si="39"/>
        <v>-1.7710129145400135</v>
      </c>
      <c r="H397">
        <f t="shared" si="40"/>
        <v>-2.4871819049384296</v>
      </c>
    </row>
    <row r="398" spans="1:8" x14ac:dyDescent="0.45">
      <c r="A398" s="2">
        <v>42940</v>
      </c>
      <c r="B398">
        <v>5127.7</v>
      </c>
      <c r="C398">
        <f t="shared" si="36"/>
        <v>1.9618341195000166E-3</v>
      </c>
      <c r="D398">
        <f t="shared" si="37"/>
        <v>-2.0980536399133679E-2</v>
      </c>
      <c r="E398">
        <f t="shared" si="38"/>
        <v>2.2942370518633695E-2</v>
      </c>
      <c r="F398">
        <f t="shared" si="41"/>
        <v>5.2112794462294672E-2</v>
      </c>
      <c r="G398">
        <f t="shared" si="39"/>
        <v>0.44024448804474031</v>
      </c>
      <c r="H398">
        <f t="shared" si="40"/>
        <v>-1.0158461378315604</v>
      </c>
    </row>
    <row r="399" spans="1:8" x14ac:dyDescent="0.45">
      <c r="A399" s="2">
        <v>42941</v>
      </c>
      <c r="B399">
        <v>5161.08</v>
      </c>
      <c r="C399">
        <f t="shared" si="36"/>
        <v>6.5097412095092011E-3</v>
      </c>
      <c r="D399">
        <f t="shared" si="37"/>
        <v>-1.1415139911121711E-2</v>
      </c>
      <c r="E399">
        <f t="shared" si="38"/>
        <v>1.7924881120630912E-2</v>
      </c>
      <c r="F399">
        <f t="shared" si="41"/>
        <v>1.9191654700073248E-2</v>
      </c>
      <c r="G399">
        <f t="shared" si="39"/>
        <v>0.93399351961884236</v>
      </c>
      <c r="H399">
        <f t="shared" si="40"/>
        <v>-1.3551104805496692</v>
      </c>
    </row>
    <row r="400" spans="1:8" x14ac:dyDescent="0.45">
      <c r="A400" s="2">
        <v>42942</v>
      </c>
      <c r="B400">
        <v>5190.17</v>
      </c>
      <c r="C400">
        <f t="shared" si="36"/>
        <v>5.6364171840002086E-3</v>
      </c>
      <c r="D400">
        <f t="shared" si="37"/>
        <v>9.248514450235305E-3</v>
      </c>
      <c r="E400">
        <f t="shared" si="38"/>
        <v>-3.6120972662350963E-3</v>
      </c>
      <c r="F400">
        <f t="shared" si="41"/>
        <v>2.8668078912228303E-2</v>
      </c>
      <c r="G400">
        <f t="shared" si="39"/>
        <v>-0.12599718583495195</v>
      </c>
      <c r="H400">
        <f t="shared" si="40"/>
        <v>-0.92687617862383642</v>
      </c>
    </row>
    <row r="401" spans="1:8" x14ac:dyDescent="0.45">
      <c r="A401" s="2">
        <v>42943</v>
      </c>
      <c r="B401">
        <v>5186.95</v>
      </c>
      <c r="C401">
        <f t="shared" si="36"/>
        <v>-6.2040357059600648E-4</v>
      </c>
      <c r="D401">
        <f t="shared" si="37"/>
        <v>1.2205339142344248E-2</v>
      </c>
      <c r="E401">
        <f t="shared" si="38"/>
        <v>-1.2825742712940255E-2</v>
      </c>
      <c r="F401">
        <f t="shared" si="41"/>
        <v>1.1110432982170741E-2</v>
      </c>
      <c r="G401">
        <f t="shared" si="39"/>
        <v>-1.154387298273805</v>
      </c>
      <c r="H401">
        <f t="shared" si="40"/>
        <v>-1.5852435504126201</v>
      </c>
    </row>
    <row r="402" spans="1:8" x14ac:dyDescent="0.45">
      <c r="A402" s="2">
        <v>42944</v>
      </c>
      <c r="B402">
        <v>5131.3900000000003</v>
      </c>
      <c r="C402">
        <f t="shared" si="36"/>
        <v>-1.0711497122586344E-2</v>
      </c>
      <c r="D402">
        <f t="shared" si="37"/>
        <v>4.1993511670621398E-3</v>
      </c>
      <c r="E402">
        <f t="shared" si="38"/>
        <v>-1.4910848289648483E-2</v>
      </c>
      <c r="F402">
        <f t="shared" si="41"/>
        <v>3.459957332677667E-2</v>
      </c>
      <c r="G402">
        <f t="shared" si="39"/>
        <v>-0.43095468689230776</v>
      </c>
      <c r="H402">
        <f t="shared" si="40"/>
        <v>-1.0117995042818961</v>
      </c>
    </row>
    <row r="403" spans="1:8" x14ac:dyDescent="0.45">
      <c r="A403" s="2">
        <v>42947</v>
      </c>
      <c r="B403">
        <v>5093.7700000000004</v>
      </c>
      <c r="C403">
        <f t="shared" si="36"/>
        <v>-7.3313468670281878E-3</v>
      </c>
      <c r="D403">
        <f t="shared" si="37"/>
        <v>-1.2942863865486893E-2</v>
      </c>
      <c r="E403">
        <f t="shared" si="38"/>
        <v>5.611516998458705E-3</v>
      </c>
      <c r="F403">
        <f t="shared" si="41"/>
        <v>1.6890593414387634E-2</v>
      </c>
      <c r="G403">
        <f t="shared" si="39"/>
        <v>0.33222734458096298</v>
      </c>
      <c r="H403">
        <f t="shared" si="40"/>
        <v>-0.97412603744833159</v>
      </c>
    </row>
    <row r="404" spans="1:8" x14ac:dyDescent="0.45">
      <c r="A404" s="2">
        <v>42948</v>
      </c>
      <c r="B404">
        <v>5127.03</v>
      </c>
      <c r="C404">
        <f t="shared" si="36"/>
        <v>6.5295449146700602E-3</v>
      </c>
      <c r="D404">
        <f t="shared" si="37"/>
        <v>-1.7833632308671223E-2</v>
      </c>
      <c r="E404">
        <f t="shared" si="38"/>
        <v>2.4363177223341283E-2</v>
      </c>
      <c r="F404">
        <f t="shared" si="41"/>
        <v>1.3269740353865103E-2</v>
      </c>
      <c r="G404">
        <f t="shared" si="39"/>
        <v>1.8359950212774867</v>
      </c>
      <c r="H404">
        <f t="shared" si="40"/>
        <v>-2.6043773922825322</v>
      </c>
    </row>
    <row r="405" spans="1:8" x14ac:dyDescent="0.45">
      <c r="A405" s="2">
        <v>42949</v>
      </c>
      <c r="B405">
        <v>5107.25</v>
      </c>
      <c r="C405">
        <f t="shared" si="36"/>
        <v>-3.8579840570466262E-3</v>
      </c>
      <c r="D405">
        <f t="shared" si="37"/>
        <v>1.1633581976035453E-3</v>
      </c>
      <c r="E405">
        <f t="shared" si="38"/>
        <v>-5.0213422546501714E-3</v>
      </c>
      <c r="F405">
        <f t="shared" si="41"/>
        <v>5.4000640241711952E-2</v>
      </c>
      <c r="G405">
        <f t="shared" si="39"/>
        <v>-9.2986717049541825E-2</v>
      </c>
      <c r="H405">
        <f t="shared" si="40"/>
        <v>-0.9232617979784985</v>
      </c>
    </row>
    <row r="406" spans="1:8" x14ac:dyDescent="0.45">
      <c r="A406" s="2">
        <v>42950</v>
      </c>
      <c r="B406">
        <v>5130.49</v>
      </c>
      <c r="C406">
        <f t="shared" si="36"/>
        <v>4.5503940476772087E-3</v>
      </c>
      <c r="D406">
        <f t="shared" si="37"/>
        <v>1.230172689824378E-3</v>
      </c>
      <c r="E406">
        <f t="shared" si="38"/>
        <v>3.3202213578528306E-3</v>
      </c>
      <c r="F406">
        <f t="shared" si="41"/>
        <v>1.4914899604507688E-2</v>
      </c>
      <c r="G406">
        <f t="shared" si="39"/>
        <v>0.22261104304378754</v>
      </c>
      <c r="H406">
        <f t="shared" si="40"/>
        <v>-0.94371637144719422</v>
      </c>
    </row>
    <row r="407" spans="1:8" x14ac:dyDescent="0.45">
      <c r="A407" s="2">
        <v>42951</v>
      </c>
      <c r="B407">
        <v>5203.4399999999996</v>
      </c>
      <c r="C407">
        <f t="shared" si="36"/>
        <v>1.4218914762527568E-2</v>
      </c>
      <c r="D407">
        <f t="shared" si="37"/>
        <v>1.9023617926411276E-3</v>
      </c>
      <c r="E407">
        <f t="shared" si="38"/>
        <v>1.231655296988644E-2</v>
      </c>
      <c r="F407">
        <f t="shared" si="41"/>
        <v>1.1032693267845032E-2</v>
      </c>
      <c r="G407">
        <f t="shared" si="39"/>
        <v>1.1163686573053959</v>
      </c>
      <c r="H407">
        <f t="shared" si="40"/>
        <v>-1.5420780227115989</v>
      </c>
    </row>
    <row r="408" spans="1:8" x14ac:dyDescent="0.45">
      <c r="A408" s="2">
        <v>42954</v>
      </c>
      <c r="B408">
        <v>5207.8900000000003</v>
      </c>
      <c r="C408">
        <f t="shared" si="36"/>
        <v>8.5520348077450237E-4</v>
      </c>
      <c r="D408">
        <f t="shared" si="37"/>
        <v>2.0432513524031484E-2</v>
      </c>
      <c r="E408">
        <f t="shared" si="38"/>
        <v>-1.9577310043256982E-2</v>
      </c>
      <c r="F408">
        <f t="shared" si="41"/>
        <v>3.3531330827483052E-2</v>
      </c>
      <c r="G408">
        <f t="shared" si="39"/>
        <v>-0.58385126865322523</v>
      </c>
      <c r="H408">
        <f t="shared" si="40"/>
        <v>-1.089379685158663</v>
      </c>
    </row>
    <row r="409" spans="1:8" x14ac:dyDescent="0.45">
      <c r="A409" s="2">
        <v>42955</v>
      </c>
      <c r="B409">
        <v>5218.8900000000003</v>
      </c>
      <c r="C409">
        <f t="shared" si="36"/>
        <v>2.1121797887435623E-3</v>
      </c>
      <c r="D409">
        <f t="shared" si="37"/>
        <v>1.3395811969080886E-2</v>
      </c>
      <c r="E409">
        <f t="shared" si="38"/>
        <v>-1.1283632180337323E-2</v>
      </c>
      <c r="F409">
        <f t="shared" si="41"/>
        <v>2.0304934649072272E-2</v>
      </c>
      <c r="G409">
        <f t="shared" si="39"/>
        <v>-0.55570886463566482</v>
      </c>
      <c r="H409">
        <f t="shared" si="40"/>
        <v>-1.0733447043220026</v>
      </c>
    </row>
    <row r="410" spans="1:8" x14ac:dyDescent="0.45">
      <c r="A410" s="2">
        <v>42956</v>
      </c>
      <c r="B410">
        <v>5145.7</v>
      </c>
      <c r="C410">
        <f t="shared" si="36"/>
        <v>-1.4024054923556628E-2</v>
      </c>
      <c r="D410">
        <f t="shared" si="37"/>
        <v>3.1915884448319321E-3</v>
      </c>
      <c r="E410">
        <f t="shared" si="38"/>
        <v>-1.7215643368388558E-2</v>
      </c>
      <c r="F410">
        <f t="shared" si="41"/>
        <v>1.8696284865313235E-2</v>
      </c>
      <c r="G410">
        <f t="shared" si="39"/>
        <v>-0.92080557674473207</v>
      </c>
      <c r="H410">
        <f t="shared" si="40"/>
        <v>-1.3428799882867719</v>
      </c>
    </row>
    <row r="411" spans="1:8" x14ac:dyDescent="0.45">
      <c r="A411" s="2">
        <v>42957</v>
      </c>
      <c r="B411">
        <v>5115.2299999999996</v>
      </c>
      <c r="C411">
        <f t="shared" si="36"/>
        <v>-5.9214489768156797E-3</v>
      </c>
      <c r="D411">
        <f t="shared" si="37"/>
        <v>-1.4393967387493916E-2</v>
      </c>
      <c r="E411">
        <f t="shared" si="38"/>
        <v>8.4725184106782363E-3</v>
      </c>
      <c r="F411">
        <f t="shared" si="41"/>
        <v>2.8289923713725625E-2</v>
      </c>
      <c r="G411">
        <f t="shared" si="39"/>
        <v>0.29948890977629478</v>
      </c>
      <c r="H411">
        <f t="shared" si="40"/>
        <v>-0.96378533674416944</v>
      </c>
    </row>
    <row r="412" spans="1:8" x14ac:dyDescent="0.45">
      <c r="A412" s="2">
        <v>42958</v>
      </c>
      <c r="B412">
        <v>5060.92</v>
      </c>
      <c r="C412">
        <f t="shared" si="36"/>
        <v>-1.0617313395487549E-2</v>
      </c>
      <c r="D412">
        <f t="shared" si="37"/>
        <v>-1.9091407989386227E-2</v>
      </c>
      <c r="E412">
        <f t="shared" si="38"/>
        <v>8.4740945938986782E-3</v>
      </c>
      <c r="F412">
        <f t="shared" si="41"/>
        <v>1.358375950653606E-2</v>
      </c>
      <c r="G412">
        <f t="shared" si="39"/>
        <v>0.62384015189765551</v>
      </c>
      <c r="H412">
        <f t="shared" si="40"/>
        <v>-1.1135268007645176</v>
      </c>
    </row>
    <row r="413" spans="1:8" x14ac:dyDescent="0.45">
      <c r="A413" s="2">
        <v>42961</v>
      </c>
      <c r="B413">
        <v>5121.67</v>
      </c>
      <c r="C413">
        <f t="shared" si="36"/>
        <v>1.200374635441781E-2</v>
      </c>
      <c r="D413">
        <f t="shared" si="37"/>
        <v>-1.7458858688489884E-2</v>
      </c>
      <c r="E413">
        <f t="shared" si="38"/>
        <v>2.9462605042907694E-2</v>
      </c>
      <c r="F413">
        <f t="shared" si="41"/>
        <v>2.0144224965479601E-2</v>
      </c>
      <c r="G413">
        <f t="shared" si="39"/>
        <v>1.4625832015576001</v>
      </c>
      <c r="H413">
        <f t="shared" si="40"/>
        <v>-1.9885133439439124</v>
      </c>
    </row>
    <row r="414" spans="1:8" x14ac:dyDescent="0.45">
      <c r="A414" s="2">
        <v>42962</v>
      </c>
      <c r="B414">
        <v>5140.25</v>
      </c>
      <c r="C414">
        <f t="shared" si="36"/>
        <v>3.6277229887906604E-3</v>
      </c>
      <c r="D414">
        <f t="shared" si="37"/>
        <v>4.6343593641351797E-3</v>
      </c>
      <c r="E414">
        <f t="shared" si="38"/>
        <v>-1.0066363753445193E-3</v>
      </c>
      <c r="F414">
        <f t="shared" si="41"/>
        <v>4.3479149403921419E-2</v>
      </c>
      <c r="G414">
        <f t="shared" si="39"/>
        <v>-2.3152163488592305E-2</v>
      </c>
      <c r="H414">
        <f t="shared" si="40"/>
        <v>-0.91920654454177397</v>
      </c>
    </row>
    <row r="415" spans="1:8" x14ac:dyDescent="0.45">
      <c r="A415" s="2">
        <v>42963</v>
      </c>
      <c r="B415">
        <v>5176.6099999999997</v>
      </c>
      <c r="C415">
        <f t="shared" si="36"/>
        <v>7.0735859150818925E-3</v>
      </c>
      <c r="D415">
        <f t="shared" si="37"/>
        <v>1.4673101527963278E-2</v>
      </c>
      <c r="E415">
        <f t="shared" si="38"/>
        <v>-7.5995156128813857E-3</v>
      </c>
      <c r="F415">
        <f t="shared" si="41"/>
        <v>1.2812212873583027E-2</v>
      </c>
      <c r="G415">
        <f t="shared" si="39"/>
        <v>-0.59314621821110336</v>
      </c>
      <c r="H415">
        <f t="shared" si="40"/>
        <v>-1.0948497512937396</v>
      </c>
    </row>
    <row r="416" spans="1:8" x14ac:dyDescent="0.45">
      <c r="A416" s="2">
        <v>42964</v>
      </c>
      <c r="B416">
        <v>5146.8500000000004</v>
      </c>
      <c r="C416">
        <f t="shared" si="36"/>
        <v>-5.7489360797895461E-3</v>
      </c>
      <c r="D416">
        <f t="shared" si="37"/>
        <v>1.1354772930757696E-2</v>
      </c>
      <c r="E416">
        <f t="shared" si="38"/>
        <v>-1.7103709010547242E-2</v>
      </c>
      <c r="F416">
        <f t="shared" si="41"/>
        <v>1.9321340544203397E-2</v>
      </c>
      <c r="G416">
        <f t="shared" si="39"/>
        <v>-0.88522372303398644</v>
      </c>
      <c r="H416">
        <f t="shared" si="40"/>
        <v>-1.3107490531157486</v>
      </c>
    </row>
    <row r="417" spans="1:8" x14ac:dyDescent="0.45">
      <c r="A417" s="2">
        <v>42965</v>
      </c>
      <c r="B417">
        <v>5114.1499999999996</v>
      </c>
      <c r="C417">
        <f t="shared" si="36"/>
        <v>-6.3534006236826146E-3</v>
      </c>
      <c r="D417">
        <f t="shared" si="37"/>
        <v>-4.8447396016692342E-4</v>
      </c>
      <c r="E417">
        <f t="shared" si="38"/>
        <v>-5.8689266635156912E-3</v>
      </c>
      <c r="F417">
        <f t="shared" si="41"/>
        <v>2.7338644522058989E-2</v>
      </c>
      <c r="G417">
        <f t="shared" si="39"/>
        <v>-0.21467511524867941</v>
      </c>
      <c r="H417">
        <f t="shared" si="40"/>
        <v>-0.94198123575818959</v>
      </c>
    </row>
    <row r="418" spans="1:8" x14ac:dyDescent="0.45">
      <c r="A418" s="2">
        <v>42968</v>
      </c>
      <c r="B418">
        <v>5087.59</v>
      </c>
      <c r="C418">
        <f t="shared" si="36"/>
        <v>-5.1934339039721999E-3</v>
      </c>
      <c r="D418">
        <f t="shared" si="37"/>
        <v>-1.2371664692427882E-2</v>
      </c>
      <c r="E418">
        <f t="shared" si="38"/>
        <v>7.1782307884556817E-3</v>
      </c>
      <c r="F418">
        <f t="shared" si="41"/>
        <v>1.2047533525718969E-2</v>
      </c>
      <c r="G418">
        <f t="shared" si="39"/>
        <v>0.5958257574574628</v>
      </c>
      <c r="H418">
        <f t="shared" si="40"/>
        <v>-1.0964426998295522</v>
      </c>
    </row>
    <row r="419" spans="1:8" x14ac:dyDescent="0.45">
      <c r="A419" s="2">
        <v>42969</v>
      </c>
      <c r="B419">
        <v>5131.8599999999997</v>
      </c>
      <c r="C419">
        <f t="shared" si="36"/>
        <v>8.7015659673832513E-3</v>
      </c>
      <c r="D419">
        <f t="shared" si="37"/>
        <v>-1.1556057643031643E-2</v>
      </c>
      <c r="E419">
        <f t="shared" si="38"/>
        <v>2.0257623610414895E-2</v>
      </c>
      <c r="F419">
        <f t="shared" si="41"/>
        <v>1.9366022482678203E-2</v>
      </c>
      <c r="G419">
        <f t="shared" si="39"/>
        <v>1.0460394553674703</v>
      </c>
      <c r="H419">
        <f t="shared" si="40"/>
        <v>-1.4660378042974096</v>
      </c>
    </row>
    <row r="420" spans="1:8" x14ac:dyDescent="0.45">
      <c r="A420" s="2">
        <v>42970</v>
      </c>
      <c r="B420">
        <v>5115.3900000000003</v>
      </c>
      <c r="C420">
        <f t="shared" si="36"/>
        <v>-3.2093626872127246E-3</v>
      </c>
      <c r="D420">
        <f t="shared" si="37"/>
        <v>5.5433640058428924E-3</v>
      </c>
      <c r="E420">
        <f t="shared" si="38"/>
        <v>-8.752726693055617E-3</v>
      </c>
      <c r="F420">
        <f t="shared" si="41"/>
        <v>3.176485426010385E-2</v>
      </c>
      <c r="G420">
        <f t="shared" si="39"/>
        <v>-0.27554751617572826</v>
      </c>
      <c r="H420">
        <f t="shared" si="40"/>
        <v>-0.95690175003997924</v>
      </c>
    </row>
    <row r="421" spans="1:8" x14ac:dyDescent="0.45">
      <c r="A421" s="2">
        <v>42971</v>
      </c>
      <c r="B421">
        <v>5113.13</v>
      </c>
      <c r="C421">
        <f t="shared" si="36"/>
        <v>-4.4180404622129466E-4</v>
      </c>
      <c r="D421">
        <f t="shared" si="37"/>
        <v>3.8761726247729792E-3</v>
      </c>
      <c r="E421">
        <f t="shared" si="38"/>
        <v>-4.3179766709942734E-3</v>
      </c>
      <c r="F421">
        <f t="shared" si="41"/>
        <v>1.3542492893314793E-2</v>
      </c>
      <c r="G421">
        <f t="shared" si="39"/>
        <v>-0.31884651555739996</v>
      </c>
      <c r="H421">
        <f t="shared" si="40"/>
        <v>-0.96977008344622029</v>
      </c>
    </row>
    <row r="422" spans="1:8" x14ac:dyDescent="0.45">
      <c r="A422" s="2">
        <v>42972</v>
      </c>
      <c r="B422">
        <v>5104.33</v>
      </c>
      <c r="C422">
        <f t="shared" si="36"/>
        <v>-1.721059312006612E-3</v>
      </c>
      <c r="D422">
        <f t="shared" si="37"/>
        <v>-3.3116070956856307E-3</v>
      </c>
      <c r="E422">
        <f t="shared" si="38"/>
        <v>1.5905477836790187E-3</v>
      </c>
      <c r="F422">
        <f t="shared" si="41"/>
        <v>1.2792055683655514E-2</v>
      </c>
      <c r="G422">
        <f t="shared" si="39"/>
        <v>0.12433871638874049</v>
      </c>
      <c r="H422">
        <f t="shared" si="40"/>
        <v>-0.92666859140127245</v>
      </c>
    </row>
    <row r="423" spans="1:8" x14ac:dyDescent="0.45">
      <c r="A423" s="2">
        <v>42975</v>
      </c>
      <c r="B423">
        <v>5079.75</v>
      </c>
      <c r="C423">
        <f t="shared" si="36"/>
        <v>-4.8155193727678069E-3</v>
      </c>
      <c r="D423">
        <f t="shared" si="37"/>
        <v>-2.378074877426833E-3</v>
      </c>
      <c r="E423">
        <f t="shared" si="38"/>
        <v>-2.4374444953409739E-3</v>
      </c>
      <c r="F423">
        <f t="shared" si="41"/>
        <v>9.4899315478035092E-3</v>
      </c>
      <c r="G423">
        <f t="shared" si="39"/>
        <v>-0.25684531896387941</v>
      </c>
      <c r="H423">
        <f t="shared" si="40"/>
        <v>-0.95192329214150118</v>
      </c>
    </row>
    <row r="424" spans="1:8" x14ac:dyDescent="0.45">
      <c r="A424" s="2">
        <v>42976</v>
      </c>
      <c r="B424">
        <v>5031.92</v>
      </c>
      <c r="C424">
        <f t="shared" si="36"/>
        <v>-9.415817707564389E-3</v>
      </c>
      <c r="D424">
        <f t="shared" si="37"/>
        <v>-7.07690485542693E-3</v>
      </c>
      <c r="E424">
        <f t="shared" si="38"/>
        <v>-2.338912852137459E-3</v>
      </c>
      <c r="F424">
        <f t="shared" si="41"/>
        <v>1.1353282590127087E-2</v>
      </c>
      <c r="G424">
        <f t="shared" si="39"/>
        <v>-0.20601203515989269</v>
      </c>
      <c r="H424">
        <f t="shared" si="40"/>
        <v>-0.94015901252003309</v>
      </c>
    </row>
    <row r="425" spans="1:8" x14ac:dyDescent="0.45">
      <c r="A425" s="2">
        <v>42977</v>
      </c>
      <c r="B425">
        <v>5056.34</v>
      </c>
      <c r="C425">
        <f t="shared" si="36"/>
        <v>4.8530183309751784E-3</v>
      </c>
      <c r="D425">
        <f t="shared" si="37"/>
        <v>-1.5102890978100183E-2</v>
      </c>
      <c r="E425">
        <f t="shared" si="38"/>
        <v>1.9955909309075363E-2</v>
      </c>
      <c r="F425">
        <f t="shared" si="41"/>
        <v>1.0537278237481967E-2</v>
      </c>
      <c r="G425">
        <f t="shared" si="39"/>
        <v>1.8938390786807309</v>
      </c>
      <c r="H425">
        <f t="shared" si="40"/>
        <v>-2.7122517611738122</v>
      </c>
    </row>
    <row r="426" spans="1:8" x14ac:dyDescent="0.45">
      <c r="A426" s="2">
        <v>42978</v>
      </c>
      <c r="B426">
        <v>5085.59</v>
      </c>
      <c r="C426">
        <f t="shared" si="36"/>
        <v>5.7848166855867245E-3</v>
      </c>
      <c r="D426">
        <f t="shared" si="37"/>
        <v>-2.5963461336204058E-3</v>
      </c>
      <c r="E426">
        <f t="shared" si="38"/>
        <v>8.3811628192071302E-3</v>
      </c>
      <c r="F426">
        <f t="shared" si="41"/>
        <v>5.5627986527509568E-2</v>
      </c>
      <c r="G426">
        <f t="shared" si="39"/>
        <v>0.15066450077358839</v>
      </c>
      <c r="H426">
        <f t="shared" si="40"/>
        <v>-0.93028842910135001</v>
      </c>
    </row>
    <row r="427" spans="1:8" x14ac:dyDescent="0.45">
      <c r="A427" s="2">
        <v>42979</v>
      </c>
      <c r="B427">
        <v>5123.26</v>
      </c>
      <c r="C427">
        <f t="shared" si="36"/>
        <v>7.4072034906471629E-3</v>
      </c>
      <c r="D427">
        <f t="shared" si="37"/>
        <v>1.093170113861997E-2</v>
      </c>
      <c r="E427">
        <f t="shared" si="38"/>
        <v>-3.5244976479728071E-3</v>
      </c>
      <c r="F427">
        <f t="shared" si="41"/>
        <v>1.5596182571675939E-2</v>
      </c>
      <c r="G427">
        <f t="shared" si="39"/>
        <v>-0.22598463641824826</v>
      </c>
      <c r="H427">
        <f t="shared" si="40"/>
        <v>-0.94447306115321661</v>
      </c>
    </row>
    <row r="428" spans="1:8" x14ac:dyDescent="0.45">
      <c r="A428" s="2">
        <v>42982</v>
      </c>
      <c r="B428">
        <v>5103.97</v>
      </c>
      <c r="C428">
        <f t="shared" si="36"/>
        <v>-3.7651807638104939E-3</v>
      </c>
      <c r="D428">
        <f t="shared" si="37"/>
        <v>1.3623043442091282E-2</v>
      </c>
      <c r="E428">
        <f t="shared" si="38"/>
        <v>-1.7388224205901776E-2</v>
      </c>
      <c r="F428">
        <f t="shared" si="41"/>
        <v>1.1137227483218831E-2</v>
      </c>
      <c r="G428">
        <f t="shared" si="39"/>
        <v>-1.5612704537194486</v>
      </c>
      <c r="H428">
        <f t="shared" si="40"/>
        <v>-2.1377212480333392</v>
      </c>
    </row>
    <row r="429" spans="1:8" x14ac:dyDescent="0.45">
      <c r="A429" s="2">
        <v>42983</v>
      </c>
      <c r="B429">
        <v>5086.5600000000004</v>
      </c>
      <c r="C429">
        <f t="shared" si="36"/>
        <v>-3.4110702061336262E-3</v>
      </c>
      <c r="D429">
        <f t="shared" si="37"/>
        <v>2.103355379595653E-3</v>
      </c>
      <c r="E429">
        <f t="shared" si="38"/>
        <v>-5.5144255857292792E-3</v>
      </c>
      <c r="F429">
        <f t="shared" si="41"/>
        <v>4.6125628993922148E-2</v>
      </c>
      <c r="G429">
        <f t="shared" si="39"/>
        <v>-0.11955231193608006</v>
      </c>
      <c r="H429">
        <f t="shared" si="40"/>
        <v>-0.92608491084930356</v>
      </c>
    </row>
    <row r="430" spans="1:8" x14ac:dyDescent="0.45">
      <c r="A430" s="2">
        <v>42984</v>
      </c>
      <c r="B430">
        <v>5101.41</v>
      </c>
      <c r="C430">
        <f t="shared" si="36"/>
        <v>2.9194583372651461E-3</v>
      </c>
      <c r="D430">
        <f t="shared" si="37"/>
        <v>-7.2343077076534763E-3</v>
      </c>
      <c r="E430">
        <f t="shared" si="38"/>
        <v>1.0153766044918622E-2</v>
      </c>
      <c r="F430">
        <f t="shared" si="41"/>
        <v>1.3698079082267153E-2</v>
      </c>
      <c r="G430">
        <f t="shared" si="39"/>
        <v>0.74125473972939604</v>
      </c>
      <c r="H430">
        <f t="shared" si="40"/>
        <v>-1.1936678277903199</v>
      </c>
    </row>
    <row r="431" spans="1:8" x14ac:dyDescent="0.45">
      <c r="A431" s="2">
        <v>42985</v>
      </c>
      <c r="B431">
        <v>5114.62</v>
      </c>
      <c r="C431">
        <f t="shared" si="36"/>
        <v>2.5894801633274955E-3</v>
      </c>
      <c r="D431">
        <f t="shared" si="37"/>
        <v>4.0401610774958669E-4</v>
      </c>
      <c r="E431">
        <f t="shared" si="38"/>
        <v>2.1854640555779088E-3</v>
      </c>
      <c r="F431">
        <f t="shared" si="41"/>
        <v>2.3257466139984362E-2</v>
      </c>
      <c r="G431">
        <f t="shared" si="39"/>
        <v>9.3968278505655742E-2</v>
      </c>
      <c r="H431">
        <f t="shared" si="40"/>
        <v>-0.92335355188733093</v>
      </c>
    </row>
    <row r="432" spans="1:8" x14ac:dyDescent="0.45">
      <c r="A432" s="2">
        <v>42986</v>
      </c>
      <c r="B432">
        <v>5113.49</v>
      </c>
      <c r="C432">
        <f t="shared" si="36"/>
        <v>-2.2093527964939241E-4</v>
      </c>
      <c r="D432">
        <f t="shared" si="37"/>
        <v>5.5452125498776234E-3</v>
      </c>
      <c r="E432">
        <f t="shared" si="38"/>
        <v>-5.7661478295270158E-3</v>
      </c>
      <c r="F432">
        <f t="shared" si="41"/>
        <v>1.0169057831380645E-2</v>
      </c>
      <c r="G432">
        <f t="shared" si="39"/>
        <v>-0.56702871840627056</v>
      </c>
      <c r="H432">
        <f t="shared" si="40"/>
        <v>-1.0796993169534015</v>
      </c>
    </row>
    <row r="433" spans="1:8" x14ac:dyDescent="0.45">
      <c r="A433" s="2">
        <v>42989</v>
      </c>
      <c r="B433">
        <v>5176.71</v>
      </c>
      <c r="C433">
        <f t="shared" si="36"/>
        <v>1.2363376089520095E-2</v>
      </c>
      <c r="D433">
        <f t="shared" si="37"/>
        <v>2.0034664740215635E-3</v>
      </c>
      <c r="E433">
        <f t="shared" si="38"/>
        <v>1.0359909615498531E-2</v>
      </c>
      <c r="F433">
        <f t="shared" si="41"/>
        <v>1.8567480099908561E-2</v>
      </c>
      <c r="G433">
        <f t="shared" si="39"/>
        <v>0.55795991484862562</v>
      </c>
      <c r="H433">
        <f t="shared" si="40"/>
        <v>-1.0745981664936155</v>
      </c>
    </row>
    <row r="434" spans="1:8" x14ac:dyDescent="0.45">
      <c r="A434" s="2">
        <v>42990</v>
      </c>
      <c r="B434">
        <v>5209.01</v>
      </c>
      <c r="C434">
        <f t="shared" si="36"/>
        <v>6.2394841511308474E-3</v>
      </c>
      <c r="D434">
        <f t="shared" si="37"/>
        <v>1.4121330617793157E-2</v>
      </c>
      <c r="E434">
        <f t="shared" si="38"/>
        <v>-7.8818464666623091E-3</v>
      </c>
      <c r="F434">
        <f t="shared" si="41"/>
        <v>1.8662060354306616E-2</v>
      </c>
      <c r="G434">
        <f t="shared" si="39"/>
        <v>-0.4223459959416232</v>
      </c>
      <c r="H434">
        <f t="shared" si="40"/>
        <v>-1.0081266033486336</v>
      </c>
    </row>
    <row r="435" spans="1:8" x14ac:dyDescent="0.45">
      <c r="A435" s="2">
        <v>42991</v>
      </c>
      <c r="B435">
        <v>5217.59</v>
      </c>
      <c r="C435">
        <f t="shared" si="36"/>
        <v>1.6471460027913665E-3</v>
      </c>
      <c r="D435">
        <f t="shared" si="37"/>
        <v>1.8010719596690618E-2</v>
      </c>
      <c r="E435">
        <f t="shared" si="38"/>
        <v>-1.6363573593899252E-2</v>
      </c>
      <c r="F435">
        <f t="shared" si="41"/>
        <v>1.5378757631921151E-2</v>
      </c>
      <c r="G435">
        <f t="shared" si="39"/>
        <v>-1.064037420027607</v>
      </c>
      <c r="H435">
        <f t="shared" si="40"/>
        <v>-1.4850263488141757</v>
      </c>
    </row>
    <row r="436" spans="1:8" x14ac:dyDescent="0.45">
      <c r="A436" s="2">
        <v>42992</v>
      </c>
      <c r="B436">
        <v>5225.2</v>
      </c>
      <c r="C436">
        <f t="shared" si="36"/>
        <v>1.4585277877332548E-3</v>
      </c>
      <c r="D436">
        <f t="shared" si="37"/>
        <v>7.3508406635030077E-3</v>
      </c>
      <c r="E436">
        <f t="shared" si="38"/>
        <v>-5.892312875769753E-3</v>
      </c>
      <c r="F436">
        <f t="shared" si="41"/>
        <v>3.2156360508199859E-2</v>
      </c>
      <c r="G436">
        <f t="shared" si="39"/>
        <v>-0.18323942083766648</v>
      </c>
      <c r="H436">
        <f t="shared" si="40"/>
        <v>-0.93572687587913439</v>
      </c>
    </row>
    <row r="437" spans="1:8" x14ac:dyDescent="0.45">
      <c r="A437" s="2">
        <v>42993</v>
      </c>
      <c r="B437">
        <v>5213.91</v>
      </c>
      <c r="C437">
        <f t="shared" si="36"/>
        <v>-2.1606828446757431E-3</v>
      </c>
      <c r="D437">
        <f t="shared" si="37"/>
        <v>3.1257535320180435E-3</v>
      </c>
      <c r="E437">
        <f t="shared" si="38"/>
        <v>-5.2864363766937867E-3</v>
      </c>
      <c r="F437">
        <f t="shared" si="41"/>
        <v>1.2206350234114687E-2</v>
      </c>
      <c r="G437">
        <f t="shared" si="39"/>
        <v>-0.43308902950523981</v>
      </c>
      <c r="H437">
        <f t="shared" si="40"/>
        <v>-1.012721586943568</v>
      </c>
    </row>
    <row r="438" spans="1:8" x14ac:dyDescent="0.45">
      <c r="A438" s="2">
        <v>42996</v>
      </c>
      <c r="B438">
        <v>5229.32</v>
      </c>
      <c r="C438">
        <f t="shared" si="36"/>
        <v>2.9555554276923246E-3</v>
      </c>
      <c r="D438">
        <f t="shared" si="37"/>
        <v>-1.2290675924905735E-3</v>
      </c>
      <c r="E438">
        <f t="shared" si="38"/>
        <v>4.184623020182898E-3</v>
      </c>
      <c r="F438">
        <f t="shared" si="41"/>
        <v>1.5305018746658549E-2</v>
      </c>
      <c r="G438">
        <f t="shared" si="39"/>
        <v>0.27341508621781341</v>
      </c>
      <c r="H438">
        <f t="shared" si="40"/>
        <v>-0.95631643789041987</v>
      </c>
    </row>
    <row r="439" spans="1:8" x14ac:dyDescent="0.45">
      <c r="A439" s="2">
        <v>42997</v>
      </c>
      <c r="B439">
        <v>5237.4399999999996</v>
      </c>
      <c r="C439">
        <f t="shared" si="36"/>
        <v>1.552783153450088E-3</v>
      </c>
      <c r="D439">
        <f t="shared" si="37"/>
        <v>1.5367425998634712E-3</v>
      </c>
      <c r="E439">
        <f t="shared" si="38"/>
        <v>1.6040553586616803E-5</v>
      </c>
      <c r="F439">
        <f t="shared" si="41"/>
        <v>1.1980459970614631E-2</v>
      </c>
      <c r="G439">
        <f t="shared" si="39"/>
        <v>1.3388929662100342E-3</v>
      </c>
      <c r="H439">
        <f t="shared" si="40"/>
        <v>-0.91893942952186014</v>
      </c>
    </row>
    <row r="440" spans="1:8" x14ac:dyDescent="0.45">
      <c r="A440" s="2">
        <v>42998</v>
      </c>
      <c r="B440">
        <v>5241.66</v>
      </c>
      <c r="C440">
        <f t="shared" si="36"/>
        <v>8.0573715402953994E-4</v>
      </c>
      <c r="D440">
        <f t="shared" si="37"/>
        <v>4.3764375184244765E-3</v>
      </c>
      <c r="E440">
        <f t="shared" si="38"/>
        <v>-3.5707003643949365E-3</v>
      </c>
      <c r="F440">
        <f t="shared" si="41"/>
        <v>8.7197089652452601E-3</v>
      </c>
      <c r="G440">
        <f t="shared" si="39"/>
        <v>-0.4094976539500253</v>
      </c>
      <c r="H440">
        <f t="shared" si="40"/>
        <v>-1.0027826974999601</v>
      </c>
    </row>
    <row r="441" spans="1:8" x14ac:dyDescent="0.45">
      <c r="A441" s="2">
        <v>42999</v>
      </c>
      <c r="B441">
        <v>5267.29</v>
      </c>
      <c r="C441">
        <f t="shared" si="36"/>
        <v>4.8896723557041444E-3</v>
      </c>
      <c r="D441">
        <f t="shared" si="37"/>
        <v>2.287635038220384E-3</v>
      </c>
      <c r="E441">
        <f t="shared" si="38"/>
        <v>2.6020373174837604E-3</v>
      </c>
      <c r="F441">
        <f t="shared" si="41"/>
        <v>1.4623410800127712E-2</v>
      </c>
      <c r="G441">
        <f t="shared" si="39"/>
        <v>0.17793641668474744</v>
      </c>
      <c r="H441">
        <f t="shared" si="40"/>
        <v>-0.93476921739597674</v>
      </c>
    </row>
    <row r="442" spans="1:8" x14ac:dyDescent="0.45">
      <c r="A442" s="2">
        <v>43000</v>
      </c>
      <c r="B442">
        <v>5281.29</v>
      </c>
      <c r="C442">
        <f t="shared" si="36"/>
        <v>2.6579132722899246E-3</v>
      </c>
      <c r="D442">
        <f t="shared" si="37"/>
        <v>6.3641604987600556E-3</v>
      </c>
      <c r="E442">
        <f t="shared" si="38"/>
        <v>-3.706247226470131E-3</v>
      </c>
      <c r="F442">
        <f t="shared" si="41"/>
        <v>1.0306335389965017E-2</v>
      </c>
      <c r="G442">
        <f t="shared" si="39"/>
        <v>-0.35960863742885735</v>
      </c>
      <c r="H442">
        <f t="shared" si="40"/>
        <v>-0.98359771926139239</v>
      </c>
    </row>
    <row r="443" spans="1:8" x14ac:dyDescent="0.45">
      <c r="A443" s="2">
        <v>43003</v>
      </c>
      <c r="B443">
        <v>5267.13</v>
      </c>
      <c r="C443">
        <f t="shared" si="36"/>
        <v>-2.6811631249182843E-3</v>
      </c>
      <c r="D443">
        <f t="shared" si="37"/>
        <v>7.3434091386638256E-3</v>
      </c>
      <c r="E443">
        <f t="shared" si="38"/>
        <v>-1.002457226358211E-2</v>
      </c>
      <c r="F443">
        <f t="shared" si="41"/>
        <v>1.3529604185018324E-2</v>
      </c>
      <c r="G443">
        <f t="shared" si="39"/>
        <v>-0.74093610770096097</v>
      </c>
      <c r="H443">
        <f t="shared" si="40"/>
        <v>-1.1934316910521976</v>
      </c>
    </row>
    <row r="444" spans="1:8" x14ac:dyDescent="0.45">
      <c r="A444" s="2">
        <v>43004</v>
      </c>
      <c r="B444">
        <v>5268.76</v>
      </c>
      <c r="C444">
        <f t="shared" si="36"/>
        <v>3.094664456735341E-4</v>
      </c>
      <c r="D444">
        <f t="shared" si="37"/>
        <v>-7.8523419007467616E-4</v>
      </c>
      <c r="E444">
        <f t="shared" si="38"/>
        <v>1.0947006357482103E-3</v>
      </c>
      <c r="F444">
        <f t="shared" si="41"/>
        <v>2.3243963704383076E-2</v>
      </c>
      <c r="G444">
        <f t="shared" si="39"/>
        <v>4.7096125672480914E-2</v>
      </c>
      <c r="H444">
        <f t="shared" si="40"/>
        <v>-0.92004755573135177</v>
      </c>
    </row>
    <row r="445" spans="1:8" x14ac:dyDescent="0.45">
      <c r="A445" s="2">
        <v>43005</v>
      </c>
      <c r="B445">
        <v>5281.96</v>
      </c>
      <c r="C445">
        <f t="shared" si="36"/>
        <v>2.5053333232107899E-3</v>
      </c>
      <c r="D445">
        <f t="shared" si="37"/>
        <v>-1.980957958536454E-3</v>
      </c>
      <c r="E445">
        <f t="shared" si="38"/>
        <v>4.4862912817472435E-3</v>
      </c>
      <c r="F445">
        <f t="shared" si="41"/>
        <v>9.8899284470845093E-3</v>
      </c>
      <c r="G445">
        <f t="shared" si="39"/>
        <v>0.45362221837608691</v>
      </c>
      <c r="H445">
        <f t="shared" si="40"/>
        <v>-1.0218250917068938</v>
      </c>
    </row>
    <row r="446" spans="1:8" x14ac:dyDescent="0.45">
      <c r="A446" s="2">
        <v>43006</v>
      </c>
      <c r="B446">
        <v>5293.77</v>
      </c>
      <c r="C446">
        <f t="shared" si="36"/>
        <v>2.2359124264479391E-3</v>
      </c>
      <c r="D446">
        <f t="shared" si="37"/>
        <v>3.1706315509590468E-3</v>
      </c>
      <c r="E446">
        <f t="shared" si="38"/>
        <v>-9.3471912451110768E-4</v>
      </c>
      <c r="F446">
        <f t="shared" si="41"/>
        <v>1.5716419883333155E-2</v>
      </c>
      <c r="G446">
        <f t="shared" si="39"/>
        <v>-5.947404888961718E-2</v>
      </c>
      <c r="H446">
        <f t="shared" si="40"/>
        <v>-0.92070711445033493</v>
      </c>
    </row>
    <row r="447" spans="1:8" x14ac:dyDescent="0.45">
      <c r="A447" s="2">
        <v>43007</v>
      </c>
      <c r="B447">
        <v>5329.81</v>
      </c>
      <c r="C447">
        <f t="shared" si="36"/>
        <v>6.8080026143939598E-3</v>
      </c>
      <c r="D447">
        <f t="shared" si="37"/>
        <v>4.7745438090298995E-3</v>
      </c>
      <c r="E447">
        <f t="shared" si="38"/>
        <v>2.0334588053640603E-3</v>
      </c>
      <c r="F447">
        <f t="shared" si="41"/>
        <v>9.1762286496672486E-3</v>
      </c>
      <c r="G447">
        <f t="shared" si="39"/>
        <v>0.22160071234033585</v>
      </c>
      <c r="H447">
        <f t="shared" si="40"/>
        <v>-0.94349197105954485</v>
      </c>
    </row>
    <row r="448" spans="1:8" x14ac:dyDescent="0.45">
      <c r="A448" s="2">
        <v>43010</v>
      </c>
      <c r="B448">
        <v>5350.44</v>
      </c>
      <c r="C448">
        <f t="shared" si="36"/>
        <v>3.8706820693419353E-3</v>
      </c>
      <c r="D448">
        <f t="shared" si="37"/>
        <v>9.8329630277912573E-3</v>
      </c>
      <c r="E448">
        <f t="shared" si="38"/>
        <v>-5.962280958449322E-3</v>
      </c>
      <c r="F448">
        <f t="shared" si="41"/>
        <v>1.0695989398597989E-2</v>
      </c>
      <c r="G448">
        <f t="shared" si="39"/>
        <v>-0.55743145736764166</v>
      </c>
      <c r="H448">
        <f t="shared" si="40"/>
        <v>-1.0743034480361791</v>
      </c>
    </row>
    <row r="449" spans="1:8" x14ac:dyDescent="0.45">
      <c r="A449" s="2">
        <v>43011</v>
      </c>
      <c r="B449">
        <v>5367.41</v>
      </c>
      <c r="C449">
        <f t="shared" si="36"/>
        <v>3.1717017665837677E-3</v>
      </c>
      <c r="D449">
        <f t="shared" si="37"/>
        <v>1.0421229356453348E-2</v>
      </c>
      <c r="E449">
        <f t="shared" si="38"/>
        <v>-7.2495275898695807E-3</v>
      </c>
      <c r="F449">
        <f t="shared" si="41"/>
        <v>1.8336194793938079E-2</v>
      </c>
      <c r="G449">
        <f t="shared" si="39"/>
        <v>-0.39536706886786915</v>
      </c>
      <c r="H449">
        <f t="shared" si="40"/>
        <v>-0.99709609277725786</v>
      </c>
    </row>
    <row r="450" spans="1:8" x14ac:dyDescent="0.45">
      <c r="A450" s="2">
        <v>43013</v>
      </c>
      <c r="B450">
        <v>5379.21</v>
      </c>
      <c r="C450">
        <f t="shared" si="36"/>
        <v>2.1984532577166149E-3</v>
      </c>
      <c r="D450">
        <f t="shared" si="37"/>
        <v>7.0492187300499557E-3</v>
      </c>
      <c r="E450">
        <f t="shared" si="38"/>
        <v>-4.8507654723333408E-3</v>
      </c>
      <c r="F450">
        <f t="shared" si="41"/>
        <v>1.4741944578642044E-2</v>
      </c>
      <c r="G450">
        <f t="shared" si="39"/>
        <v>-0.32904515726921624</v>
      </c>
      <c r="H450">
        <f t="shared" si="40"/>
        <v>-0.9730738909658343</v>
      </c>
    </row>
    <row r="451" spans="1:8" x14ac:dyDescent="0.45">
      <c r="A451" s="2">
        <v>43014</v>
      </c>
      <c r="B451">
        <v>5359.9</v>
      </c>
      <c r="C451">
        <f t="shared" si="36"/>
        <v>-3.5897464497575138E-3</v>
      </c>
      <c r="D451">
        <f t="shared" si="37"/>
        <v>5.3125652598082392E-3</v>
      </c>
      <c r="E451">
        <f t="shared" si="38"/>
        <v>-8.9023117095657529E-3</v>
      </c>
      <c r="F451">
        <f t="shared" si="41"/>
        <v>1.3072992581760229E-2</v>
      </c>
      <c r="G451">
        <f t="shared" si="39"/>
        <v>-0.68096969029007826</v>
      </c>
      <c r="H451">
        <f t="shared" si="40"/>
        <v>-1.1507983927515553</v>
      </c>
    </row>
    <row r="452" spans="1:8" x14ac:dyDescent="0.45">
      <c r="A452" s="2">
        <v>43017</v>
      </c>
      <c r="B452">
        <v>5365.83</v>
      </c>
      <c r="C452">
        <f t="shared" ref="C452:C515" si="42">B452/B451-1</f>
        <v>1.1063639247002044E-3</v>
      </c>
      <c r="D452">
        <f t="shared" si="37"/>
        <v>-2.2380435990038078E-3</v>
      </c>
      <c r="E452">
        <f t="shared" si="38"/>
        <v>3.3444075237040122E-3</v>
      </c>
      <c r="F452">
        <f t="shared" si="41"/>
        <v>2.16304095280105E-2</v>
      </c>
      <c r="G452">
        <f t="shared" si="39"/>
        <v>0.1546160057382705</v>
      </c>
      <c r="H452">
        <f t="shared" si="40"/>
        <v>-0.93089158781990111</v>
      </c>
    </row>
    <row r="453" spans="1:8" x14ac:dyDescent="0.45">
      <c r="A453" s="2">
        <v>43018</v>
      </c>
      <c r="B453">
        <v>5363.65</v>
      </c>
      <c r="C453">
        <f t="shared" si="42"/>
        <v>-4.0627451857411234E-4</v>
      </c>
      <c r="D453">
        <f t="shared" si="37"/>
        <v>-1.8510424339074794E-3</v>
      </c>
      <c r="E453">
        <f t="shared" si="38"/>
        <v>1.4447679153333671E-3</v>
      </c>
      <c r="F453">
        <f t="shared" si="41"/>
        <v>1.060372712666865E-2</v>
      </c>
      <c r="G453">
        <f t="shared" si="39"/>
        <v>0.1362509519600649</v>
      </c>
      <c r="H453">
        <f t="shared" si="40"/>
        <v>-0.92822069415968467</v>
      </c>
    </row>
    <row r="454" spans="1:8" x14ac:dyDescent="0.45">
      <c r="A454" s="2">
        <v>43019</v>
      </c>
      <c r="B454">
        <v>5362.41</v>
      </c>
      <c r="C454">
        <f t="shared" si="42"/>
        <v>-2.3118585291725946E-4</v>
      </c>
      <c r="D454">
        <f t="shared" ref="D454:D517" si="43">SUMPRODUCT(C452:C453,$O$8:$O$9)</f>
        <v>4.9489960092495902E-4</v>
      </c>
      <c r="E454">
        <f t="shared" ref="E454:E517" si="44">C454-D454</f>
        <v>-7.2608545384221848E-4</v>
      </c>
      <c r="F454">
        <f t="shared" si="41"/>
        <v>9.4922740497248286E-3</v>
      </c>
      <c r="G454">
        <f t="shared" ref="G454:G517" si="45">E454/F454</f>
        <v>-7.6492255705919804E-2</v>
      </c>
      <c r="H454">
        <f t="shared" ref="H454:H517" si="46">-(G454^2)/2-LN(2*PI())/2</f>
        <v>-0.92186406579616254</v>
      </c>
    </row>
    <row r="455" spans="1:8" x14ac:dyDescent="0.45">
      <c r="A455" s="2">
        <v>43020</v>
      </c>
      <c r="B455">
        <v>5360.81</v>
      </c>
      <c r="C455">
        <f t="shared" si="42"/>
        <v>-2.9837330603210699E-4</v>
      </c>
      <c r="D455">
        <f t="shared" si="43"/>
        <v>-6.2212785093766006E-4</v>
      </c>
      <c r="E455">
        <f t="shared" si="44"/>
        <v>3.2375454490555307E-4</v>
      </c>
      <c r="F455">
        <f t="shared" ref="F455:F518" si="47">SQRT($O$4+$O$5*F454^2+$O$6*G454^2)</f>
        <v>8.8474459146145219E-3</v>
      </c>
      <c r="G455">
        <f t="shared" si="45"/>
        <v>3.6592995089211447E-2</v>
      </c>
      <c r="H455">
        <f t="shared" si="46"/>
        <v>-0.91960805684947222</v>
      </c>
    </row>
    <row r="456" spans="1:8" x14ac:dyDescent="0.45">
      <c r="A456" s="2">
        <v>43021</v>
      </c>
      <c r="B456">
        <v>5351.74</v>
      </c>
      <c r="C456">
        <f t="shared" si="42"/>
        <v>-1.6919084989023281E-3</v>
      </c>
      <c r="D456">
        <f t="shared" si="43"/>
        <v>-5.471554644930945E-4</v>
      </c>
      <c r="E456">
        <f t="shared" si="44"/>
        <v>-1.1447530344092336E-3</v>
      </c>
      <c r="F456">
        <f t="shared" si="47"/>
        <v>8.5956104578344805E-3</v>
      </c>
      <c r="G456">
        <f t="shared" si="45"/>
        <v>-0.13317879399314181</v>
      </c>
      <c r="H456">
        <f t="shared" si="46"/>
        <v>-0.92780682878940657</v>
      </c>
    </row>
    <row r="457" spans="1:8" x14ac:dyDescent="0.45">
      <c r="A457" s="2">
        <v>43024</v>
      </c>
      <c r="B457">
        <v>5362.88</v>
      </c>
      <c r="C457">
        <f t="shared" si="42"/>
        <v>2.0815659953585808E-3</v>
      </c>
      <c r="D457">
        <f t="shared" si="43"/>
        <v>-2.2191846069463052E-3</v>
      </c>
      <c r="E457">
        <f t="shared" si="44"/>
        <v>4.3007506023048855E-3</v>
      </c>
      <c r="F457">
        <f t="shared" si="47"/>
        <v>9.3526147204215909E-3</v>
      </c>
      <c r="G457">
        <f t="shared" si="45"/>
        <v>0.45984473121876007</v>
      </c>
      <c r="H457">
        <f t="shared" si="46"/>
        <v>-1.0246671216194996</v>
      </c>
    </row>
    <row r="458" spans="1:8" x14ac:dyDescent="0.45">
      <c r="A458" s="2">
        <v>43025</v>
      </c>
      <c r="B458">
        <v>5361.37</v>
      </c>
      <c r="C458">
        <f t="shared" si="42"/>
        <v>-2.8156512918431353E-4</v>
      </c>
      <c r="D458">
        <f t="shared" si="43"/>
        <v>9.3384829486589248E-4</v>
      </c>
      <c r="E458">
        <f t="shared" si="44"/>
        <v>-1.215413424050206E-3</v>
      </c>
      <c r="F458">
        <f t="shared" si="47"/>
        <v>1.5851597971842442E-2</v>
      </c>
      <c r="G458">
        <f t="shared" si="45"/>
        <v>-7.6674504753979564E-2</v>
      </c>
      <c r="H458">
        <f t="shared" si="46"/>
        <v>-0.92187802304430666</v>
      </c>
    </row>
    <row r="459" spans="1:8" x14ac:dyDescent="0.45">
      <c r="A459" s="2">
        <v>43027</v>
      </c>
      <c r="B459">
        <v>5368.29</v>
      </c>
      <c r="C459">
        <f t="shared" si="42"/>
        <v>1.2907148732506091E-3</v>
      </c>
      <c r="D459">
        <f t="shared" si="43"/>
        <v>1.4901270214812096E-3</v>
      </c>
      <c r="E459">
        <f t="shared" si="44"/>
        <v>-1.9941214823060048E-4</v>
      </c>
      <c r="F459">
        <f t="shared" si="47"/>
        <v>9.2945804864294924E-3</v>
      </c>
      <c r="G459">
        <f t="shared" si="45"/>
        <v>-2.1454669043078516E-2</v>
      </c>
      <c r="H459">
        <f t="shared" si="46"/>
        <v>-0.91916868461654666</v>
      </c>
    </row>
    <row r="460" spans="1:8" x14ac:dyDescent="0.45">
      <c r="A460" s="2">
        <v>43028</v>
      </c>
      <c r="B460">
        <v>5372.38</v>
      </c>
      <c r="C460">
        <f t="shared" si="42"/>
        <v>7.6188134396626417E-4</v>
      </c>
      <c r="D460">
        <f t="shared" si="43"/>
        <v>1.2487071202909453E-3</v>
      </c>
      <c r="E460">
        <f t="shared" si="44"/>
        <v>-4.8682577632468116E-4</v>
      </c>
      <c r="F460">
        <f t="shared" si="47"/>
        <v>8.5762279881006816E-3</v>
      </c>
      <c r="G460">
        <f t="shared" si="45"/>
        <v>-5.6764556282801797E-2</v>
      </c>
      <c r="H460">
        <f t="shared" si="46"/>
        <v>-0.92054964062966438</v>
      </c>
    </row>
    <row r="461" spans="1:8" x14ac:dyDescent="0.45">
      <c r="A461" s="2">
        <v>43031</v>
      </c>
      <c r="B461">
        <v>5386.81</v>
      </c>
      <c r="C461">
        <f t="shared" si="42"/>
        <v>2.6859604123312675E-3</v>
      </c>
      <c r="D461">
        <f t="shared" si="43"/>
        <v>2.0082110913773391E-3</v>
      </c>
      <c r="E461">
        <f t="shared" si="44"/>
        <v>6.7774932095392842E-4</v>
      </c>
      <c r="F461">
        <f t="shared" si="47"/>
        <v>8.673699191168123E-3</v>
      </c>
      <c r="G461">
        <f t="shared" si="45"/>
        <v>7.8138439668744508E-2</v>
      </c>
      <c r="H461">
        <f t="shared" si="46"/>
        <v>-0.92199134108160563</v>
      </c>
    </row>
    <row r="462" spans="1:8" x14ac:dyDescent="0.45">
      <c r="A462" s="2">
        <v>43032</v>
      </c>
      <c r="B462">
        <v>5394.8</v>
      </c>
      <c r="C462">
        <f t="shared" si="42"/>
        <v>1.4832526114714195E-3</v>
      </c>
      <c r="D462">
        <f t="shared" si="43"/>
        <v>3.7744797965022087E-3</v>
      </c>
      <c r="E462">
        <f t="shared" si="44"/>
        <v>-2.2912271850307891E-3</v>
      </c>
      <c r="F462">
        <f t="shared" si="47"/>
        <v>8.8173334122207056E-3</v>
      </c>
      <c r="G462">
        <f t="shared" si="45"/>
        <v>-0.25985488785704519</v>
      </c>
      <c r="H462">
        <f t="shared" si="46"/>
        <v>-0.95270081457627143</v>
      </c>
    </row>
    <row r="463" spans="1:8" x14ac:dyDescent="0.45">
      <c r="A463" s="2">
        <v>43033</v>
      </c>
      <c r="B463">
        <v>5374.89</v>
      </c>
      <c r="C463">
        <f t="shared" si="42"/>
        <v>-3.690590939423144E-3</v>
      </c>
      <c r="D463">
        <f t="shared" si="43"/>
        <v>4.0607209332244997E-3</v>
      </c>
      <c r="E463">
        <f t="shared" si="44"/>
        <v>-7.7513118726476437E-3</v>
      </c>
      <c r="F463">
        <f t="shared" si="47"/>
        <v>1.1383693280410201E-2</v>
      </c>
      <c r="G463">
        <f t="shared" si="45"/>
        <v>-0.68091362633483854</v>
      </c>
      <c r="H463">
        <f t="shared" si="46"/>
        <v>-1.1507602164689028</v>
      </c>
    </row>
    <row r="464" spans="1:8" x14ac:dyDescent="0.45">
      <c r="A464" s="2">
        <v>43034</v>
      </c>
      <c r="B464">
        <v>5455.4</v>
      </c>
      <c r="C464">
        <f t="shared" si="42"/>
        <v>1.4978911196322109E-2</v>
      </c>
      <c r="D464">
        <f t="shared" si="43"/>
        <v>-2.978795468062539E-3</v>
      </c>
      <c r="E464">
        <f t="shared" si="44"/>
        <v>1.7957706664384648E-2</v>
      </c>
      <c r="F464">
        <f t="shared" si="47"/>
        <v>2.1580938808237308E-2</v>
      </c>
      <c r="G464">
        <f t="shared" si="45"/>
        <v>0.83210961413459483</v>
      </c>
      <c r="H464">
        <f t="shared" si="46"/>
        <v>-1.2651417381722849</v>
      </c>
    </row>
    <row r="465" spans="1:8" x14ac:dyDescent="0.45">
      <c r="A465" s="2">
        <v>43035</v>
      </c>
      <c r="B465">
        <v>5494.13</v>
      </c>
      <c r="C465">
        <f t="shared" si="42"/>
        <v>7.0993877625840085E-3</v>
      </c>
      <c r="D465">
        <f t="shared" si="43"/>
        <v>1.4122355500248039E-2</v>
      </c>
      <c r="E465">
        <f t="shared" si="44"/>
        <v>-7.0229677376640303E-3</v>
      </c>
      <c r="F465">
        <f t="shared" si="47"/>
        <v>2.598525917587256E-2</v>
      </c>
      <c r="G465">
        <f t="shared" si="45"/>
        <v>-0.27026737313379928</v>
      </c>
      <c r="H465">
        <f t="shared" si="46"/>
        <v>-0.95546075969499478</v>
      </c>
    </row>
    <row r="466" spans="1:8" x14ac:dyDescent="0.45">
      <c r="A466" s="2">
        <v>43039</v>
      </c>
      <c r="B466">
        <v>5503.29</v>
      </c>
      <c r="C466">
        <f t="shared" si="42"/>
        <v>1.6672339387673318E-3</v>
      </c>
      <c r="D466">
        <f t="shared" si="43"/>
        <v>2.1288293974179411E-2</v>
      </c>
      <c r="E466">
        <f t="shared" si="44"/>
        <v>-1.9621060035412079E-2</v>
      </c>
      <c r="F466">
        <f t="shared" si="47"/>
        <v>1.2814904912141444E-2</v>
      </c>
      <c r="G466">
        <f t="shared" si="45"/>
        <v>-1.5311124171371855</v>
      </c>
      <c r="H466">
        <f t="shared" si="46"/>
        <v>-2.0910911501605103</v>
      </c>
    </row>
    <row r="467" spans="1:8" x14ac:dyDescent="0.45">
      <c r="A467" s="2">
        <v>43040</v>
      </c>
      <c r="B467">
        <v>5514.29</v>
      </c>
      <c r="C467">
        <f t="shared" si="42"/>
        <v>1.9988043515788423E-3</v>
      </c>
      <c r="D467">
        <f t="shared" si="43"/>
        <v>8.1243440435712286E-3</v>
      </c>
      <c r="E467">
        <f t="shared" si="44"/>
        <v>-6.1255396919923863E-3</v>
      </c>
      <c r="F467">
        <f t="shared" si="47"/>
        <v>4.5288649567263133E-2</v>
      </c>
      <c r="G467">
        <f t="shared" si="45"/>
        <v>-0.13525551657032026</v>
      </c>
      <c r="H467">
        <f t="shared" si="46"/>
        <v>-0.92808556058602476</v>
      </c>
    </row>
    <row r="468" spans="1:8" x14ac:dyDescent="0.45">
      <c r="A468" s="2">
        <v>43041</v>
      </c>
      <c r="B468">
        <v>5510.5</v>
      </c>
      <c r="C468">
        <f t="shared" si="42"/>
        <v>-6.8730516530690622E-4</v>
      </c>
      <c r="D468">
        <f t="shared" si="43"/>
        <v>3.7688021490198979E-3</v>
      </c>
      <c r="E468">
        <f t="shared" si="44"/>
        <v>-4.4561073143268041E-3</v>
      </c>
      <c r="F468">
        <f t="shared" si="47"/>
        <v>1.3680892204733588E-2</v>
      </c>
      <c r="G468">
        <f t="shared" si="45"/>
        <v>-0.32571759558086361</v>
      </c>
      <c r="H468">
        <f t="shared" si="46"/>
        <v>-0.97198450924016222</v>
      </c>
    </row>
    <row r="469" spans="1:8" x14ac:dyDescent="0.45">
      <c r="A469" s="2">
        <v>43042</v>
      </c>
      <c r="B469">
        <v>5517.97</v>
      </c>
      <c r="C469">
        <f t="shared" si="42"/>
        <v>1.355593866255278E-3</v>
      </c>
      <c r="D469">
        <f t="shared" si="43"/>
        <v>9.4816098964061119E-4</v>
      </c>
      <c r="E469">
        <f t="shared" si="44"/>
        <v>4.0743287661466681E-4</v>
      </c>
      <c r="F469">
        <f t="shared" si="47"/>
        <v>1.2944304916077471E-2</v>
      </c>
      <c r="G469">
        <f t="shared" si="45"/>
        <v>3.1475840476271146E-2</v>
      </c>
      <c r="H469">
        <f t="shared" si="46"/>
        <v>-0.91943389747151649</v>
      </c>
    </row>
    <row r="470" spans="1:8" x14ac:dyDescent="0.45">
      <c r="A470" s="2">
        <v>43045</v>
      </c>
      <c r="B470">
        <v>5507.25</v>
      </c>
      <c r="C470">
        <f t="shared" si="42"/>
        <v>-1.9427434364449603E-3</v>
      </c>
      <c r="D470">
        <f t="shared" si="43"/>
        <v>9.6982407583297737E-4</v>
      </c>
      <c r="E470">
        <f t="shared" si="44"/>
        <v>-2.9125675122779375E-3</v>
      </c>
      <c r="F470">
        <f t="shared" si="47"/>
        <v>8.8358183755563469E-3</v>
      </c>
      <c r="G470">
        <f t="shared" si="45"/>
        <v>-0.32963189016371647</v>
      </c>
      <c r="H470">
        <f t="shared" si="46"/>
        <v>-0.97326712471112486</v>
      </c>
    </row>
    <row r="471" spans="1:8" x14ac:dyDescent="0.45">
      <c r="A471" s="2">
        <v>43046</v>
      </c>
      <c r="B471">
        <v>5480.64</v>
      </c>
      <c r="C471">
        <f t="shared" si="42"/>
        <v>-4.8318126106495773E-3</v>
      </c>
      <c r="D471">
        <f t="shared" si="43"/>
        <v>-1.0665487738416575E-3</v>
      </c>
      <c r="E471">
        <f t="shared" si="44"/>
        <v>-3.7652638368079199E-3</v>
      </c>
      <c r="F471">
        <f t="shared" si="47"/>
        <v>1.2815616835462671E-2</v>
      </c>
      <c r="G471">
        <f t="shared" si="45"/>
        <v>-0.29380277868396382</v>
      </c>
      <c r="H471">
        <f t="shared" si="46"/>
        <v>-0.9620985695858818</v>
      </c>
    </row>
    <row r="472" spans="1:8" x14ac:dyDescent="0.45">
      <c r="A472" s="2">
        <v>43047</v>
      </c>
      <c r="B472">
        <v>5471.43</v>
      </c>
      <c r="C472">
        <f t="shared" si="42"/>
        <v>-1.6804606761253726E-3</v>
      </c>
      <c r="D472">
        <f t="shared" si="43"/>
        <v>-7.2891831203396379E-3</v>
      </c>
      <c r="E472">
        <f t="shared" si="44"/>
        <v>5.6087224442142652E-3</v>
      </c>
      <c r="F472">
        <f t="shared" si="47"/>
        <v>1.2237474450294245E-2</v>
      </c>
      <c r="G472">
        <f t="shared" si="45"/>
        <v>0.45832352639391261</v>
      </c>
      <c r="H472">
        <f t="shared" si="46"/>
        <v>-1.0239687606277483</v>
      </c>
    </row>
    <row r="473" spans="1:8" x14ac:dyDescent="0.45">
      <c r="A473" s="2">
        <v>43048</v>
      </c>
      <c r="B473">
        <v>5407.75</v>
      </c>
      <c r="C473">
        <f t="shared" si="42"/>
        <v>-1.163863925884101E-2</v>
      </c>
      <c r="D473">
        <f t="shared" si="43"/>
        <v>-6.1612510524383509E-3</v>
      </c>
      <c r="E473">
        <f t="shared" si="44"/>
        <v>-5.4773882064026594E-3</v>
      </c>
      <c r="F473">
        <f t="shared" si="47"/>
        <v>1.5912977448131568E-2</v>
      </c>
      <c r="G473">
        <f t="shared" si="45"/>
        <v>-0.34420888386577775</v>
      </c>
      <c r="H473">
        <f t="shared" si="46"/>
        <v>-0.97817841107073489</v>
      </c>
    </row>
    <row r="474" spans="1:8" x14ac:dyDescent="0.45">
      <c r="A474" s="2">
        <v>43049</v>
      </c>
      <c r="B474">
        <v>5380.72</v>
      </c>
      <c r="C474">
        <f t="shared" si="42"/>
        <v>-4.9983819518283346E-3</v>
      </c>
      <c r="D474">
        <f t="shared" si="43"/>
        <v>-1.4941167343942102E-2</v>
      </c>
      <c r="E474">
        <f t="shared" si="44"/>
        <v>9.9427853921137677E-3</v>
      </c>
      <c r="F474">
        <f t="shared" si="47"/>
        <v>1.3464809168912677E-2</v>
      </c>
      <c r="G474">
        <f t="shared" si="45"/>
        <v>0.7384275014509305</v>
      </c>
      <c r="H474">
        <f t="shared" si="46"/>
        <v>-1.1915761206542046</v>
      </c>
    </row>
    <row r="475" spans="1:8" x14ac:dyDescent="0.45">
      <c r="A475" s="2">
        <v>43052</v>
      </c>
      <c r="B475">
        <v>5341.63</v>
      </c>
      <c r="C475">
        <f t="shared" si="42"/>
        <v>-7.264827011998376E-3</v>
      </c>
      <c r="D475">
        <f t="shared" si="43"/>
        <v>-1.5941478032643154E-2</v>
      </c>
      <c r="E475">
        <f t="shared" si="44"/>
        <v>8.6766510206447781E-3</v>
      </c>
      <c r="F475">
        <f t="shared" si="47"/>
        <v>2.3174752449379634E-2</v>
      </c>
      <c r="G475">
        <f t="shared" si="45"/>
        <v>0.37440102281985943</v>
      </c>
      <c r="H475">
        <f t="shared" si="46"/>
        <v>-0.98902659614895116</v>
      </c>
    </row>
    <row r="476" spans="1:8" x14ac:dyDescent="0.45">
      <c r="A476" s="2">
        <v>43053</v>
      </c>
      <c r="B476">
        <v>5315.58</v>
      </c>
      <c r="C476">
        <f t="shared" si="42"/>
        <v>-4.8767885458184113E-3</v>
      </c>
      <c r="D476">
        <f t="shared" si="43"/>
        <v>-1.277205650580281E-2</v>
      </c>
      <c r="E476">
        <f t="shared" si="44"/>
        <v>7.8952679599843985E-3</v>
      </c>
      <c r="F476">
        <f t="shared" si="47"/>
        <v>1.4622422966249099E-2</v>
      </c>
      <c r="G476">
        <f t="shared" si="45"/>
        <v>0.53994252376695329</v>
      </c>
      <c r="H476">
        <f t="shared" si="46"/>
        <v>-1.0647074976905861</v>
      </c>
    </row>
    <row r="477" spans="1:8" x14ac:dyDescent="0.45">
      <c r="A477" s="2">
        <v>43054</v>
      </c>
      <c r="B477">
        <v>5301.25</v>
      </c>
      <c r="C477">
        <f t="shared" si="42"/>
        <v>-2.6958488067153619E-3</v>
      </c>
      <c r="D477">
        <f t="shared" si="43"/>
        <v>-1.1984649778423895E-2</v>
      </c>
      <c r="E477">
        <f t="shared" si="44"/>
        <v>9.2888009717085329E-3</v>
      </c>
      <c r="F477">
        <f t="shared" si="47"/>
        <v>1.8028997837391345E-2</v>
      </c>
      <c r="G477">
        <f t="shared" si="45"/>
        <v>0.51521449253512974</v>
      </c>
      <c r="H477">
        <f t="shared" si="46"/>
        <v>-1.0516615198637882</v>
      </c>
    </row>
    <row r="478" spans="1:8" x14ac:dyDescent="0.45">
      <c r="A478" s="2">
        <v>43055</v>
      </c>
      <c r="B478">
        <v>5336.39</v>
      </c>
      <c r="C478">
        <f t="shared" si="42"/>
        <v>6.628625324216042E-3</v>
      </c>
      <c r="D478">
        <f t="shared" si="43"/>
        <v>-7.3760893841013737E-3</v>
      </c>
      <c r="E478">
        <f t="shared" si="44"/>
        <v>1.4004714708317417E-2</v>
      </c>
      <c r="F478">
        <f t="shared" si="47"/>
        <v>1.7568622660651803E-2</v>
      </c>
      <c r="G478">
        <f t="shared" si="45"/>
        <v>0.79714357686579373</v>
      </c>
      <c r="H478">
        <f t="shared" si="46"/>
        <v>-1.2366574742738685</v>
      </c>
    </row>
    <row r="479" spans="1:8" x14ac:dyDescent="0.45">
      <c r="A479" s="2">
        <v>43056</v>
      </c>
      <c r="B479">
        <v>5319.17</v>
      </c>
      <c r="C479">
        <f t="shared" si="42"/>
        <v>-3.2269005826036645E-3</v>
      </c>
      <c r="D479">
        <f t="shared" si="43"/>
        <v>5.3224361106717719E-3</v>
      </c>
      <c r="E479">
        <f t="shared" si="44"/>
        <v>-8.5493366932754365E-3</v>
      </c>
      <c r="F479">
        <f t="shared" si="47"/>
        <v>2.488736427482505E-2</v>
      </c>
      <c r="G479">
        <f t="shared" si="45"/>
        <v>-0.34352117801094612</v>
      </c>
      <c r="H479">
        <f t="shared" si="46"/>
        <v>-0.97794193307568678</v>
      </c>
    </row>
    <row r="480" spans="1:8" x14ac:dyDescent="0.45">
      <c r="A480" s="2">
        <v>43059</v>
      </c>
      <c r="B480">
        <v>5340.45</v>
      </c>
      <c r="C480">
        <f t="shared" si="42"/>
        <v>4.0006241575283319E-3</v>
      </c>
      <c r="D480">
        <f t="shared" si="43"/>
        <v>2.0472749919698348E-3</v>
      </c>
      <c r="E480">
        <f t="shared" si="44"/>
        <v>1.9533491655584971E-3</v>
      </c>
      <c r="F480">
        <f t="shared" si="47"/>
        <v>1.4116611979589425E-2</v>
      </c>
      <c r="G480">
        <f t="shared" si="45"/>
        <v>0.13837237776194153</v>
      </c>
      <c r="H480">
        <f t="shared" si="46"/>
        <v>-0.92851199066841938</v>
      </c>
    </row>
    <row r="481" spans="1:8" x14ac:dyDescent="0.45">
      <c r="A481" s="2">
        <v>43060</v>
      </c>
      <c r="B481">
        <v>5366.15</v>
      </c>
      <c r="C481">
        <f t="shared" si="42"/>
        <v>4.812328549092193E-3</v>
      </c>
      <c r="D481">
        <f t="shared" si="43"/>
        <v>1.8164539107403121E-3</v>
      </c>
      <c r="E481">
        <f t="shared" si="44"/>
        <v>2.9958746383518808E-3</v>
      </c>
      <c r="F481">
        <f t="shared" si="47"/>
        <v>9.7443287072646843E-3</v>
      </c>
      <c r="G481">
        <f t="shared" si="45"/>
        <v>0.30744802729390358</v>
      </c>
      <c r="H481">
        <f t="shared" si="46"/>
        <v>-0.96620067794812914</v>
      </c>
    </row>
    <row r="482" spans="1:8" x14ac:dyDescent="0.45">
      <c r="A482" s="2">
        <v>43061</v>
      </c>
      <c r="B482">
        <v>5352.76</v>
      </c>
      <c r="C482">
        <f t="shared" si="42"/>
        <v>-2.495271283881273E-3</v>
      </c>
      <c r="D482">
        <f t="shared" si="43"/>
        <v>9.062077973773279E-3</v>
      </c>
      <c r="E482">
        <f t="shared" si="44"/>
        <v>-1.1557349257654552E-2</v>
      </c>
      <c r="F482">
        <f t="shared" si="47"/>
        <v>1.2376864050803276E-2</v>
      </c>
      <c r="G482">
        <f t="shared" si="45"/>
        <v>-0.93378655612723349</v>
      </c>
      <c r="H482">
        <f t="shared" si="46"/>
        <v>-1.3549171994066522</v>
      </c>
    </row>
    <row r="483" spans="1:8" x14ac:dyDescent="0.45">
      <c r="A483" s="2">
        <v>43062</v>
      </c>
      <c r="B483">
        <v>5379.54</v>
      </c>
      <c r="C483">
        <f t="shared" si="42"/>
        <v>5.0030264760609899E-3</v>
      </c>
      <c r="D483">
        <f t="shared" si="43"/>
        <v>1.3096652988100425E-3</v>
      </c>
      <c r="E483">
        <f t="shared" si="44"/>
        <v>3.6933611772509475E-3</v>
      </c>
      <c r="F483">
        <f t="shared" si="47"/>
        <v>2.8473437771380238E-2</v>
      </c>
      <c r="G483">
        <f t="shared" si="45"/>
        <v>0.12971251335738915</v>
      </c>
      <c r="H483">
        <f t="shared" si="46"/>
        <v>-0.92735120126541815</v>
      </c>
    </row>
    <row r="484" spans="1:8" x14ac:dyDescent="0.45">
      <c r="A484" s="2">
        <v>43063</v>
      </c>
      <c r="B484">
        <v>5390.46</v>
      </c>
      <c r="C484">
        <f t="shared" si="42"/>
        <v>2.029913338315259E-3</v>
      </c>
      <c r="D484">
        <f t="shared" si="43"/>
        <v>3.6153466213605925E-3</v>
      </c>
      <c r="E484">
        <f t="shared" si="44"/>
        <v>-1.5854332830453335E-3</v>
      </c>
      <c r="F484">
        <f t="shared" si="47"/>
        <v>1.1121309478497267E-2</v>
      </c>
      <c r="G484">
        <f t="shared" si="45"/>
        <v>-0.14255814804099493</v>
      </c>
      <c r="H484">
        <f t="shared" si="46"/>
        <v>-0.92909994599111179</v>
      </c>
    </row>
    <row r="485" spans="1:8" x14ac:dyDescent="0.45">
      <c r="A485" s="2">
        <v>43066</v>
      </c>
      <c r="B485">
        <v>5360.09</v>
      </c>
      <c r="C485">
        <f t="shared" si="42"/>
        <v>-5.6340275226974823E-3</v>
      </c>
      <c r="D485">
        <f t="shared" si="43"/>
        <v>6.7152210980517841E-3</v>
      </c>
      <c r="E485">
        <f t="shared" si="44"/>
        <v>-1.2349248620749266E-2</v>
      </c>
      <c r="F485">
        <f t="shared" si="47"/>
        <v>9.5993908369924434E-3</v>
      </c>
      <c r="G485">
        <f t="shared" si="45"/>
        <v>-1.2864616964193087</v>
      </c>
      <c r="H485">
        <f t="shared" si="46"/>
        <v>-1.7464303813816955</v>
      </c>
    </row>
    <row r="486" spans="1:8" x14ac:dyDescent="0.45">
      <c r="A486" s="2">
        <v>43067</v>
      </c>
      <c r="B486">
        <v>5390.48</v>
      </c>
      <c r="C486">
        <f t="shared" si="42"/>
        <v>5.6696809195366793E-3</v>
      </c>
      <c r="D486">
        <f t="shared" si="43"/>
        <v>-4.7519221352466997E-3</v>
      </c>
      <c r="E486">
        <f t="shared" si="44"/>
        <v>1.0421603054783379E-2</v>
      </c>
      <c r="F486">
        <f t="shared" si="47"/>
        <v>3.8301573392753939E-2</v>
      </c>
      <c r="G486">
        <f t="shared" si="45"/>
        <v>0.27209334060294726</v>
      </c>
      <c r="H486">
        <f t="shared" si="46"/>
        <v>-0.95595592620490843</v>
      </c>
    </row>
    <row r="487" spans="1:8" x14ac:dyDescent="0.45">
      <c r="A487" s="2">
        <v>43068</v>
      </c>
      <c r="B487">
        <v>5398.05</v>
      </c>
      <c r="C487">
        <f t="shared" si="42"/>
        <v>1.4043276294506413E-3</v>
      </c>
      <c r="D487">
        <f t="shared" si="43"/>
        <v>1.6486950505904515E-3</v>
      </c>
      <c r="E487">
        <f t="shared" si="44"/>
        <v>-2.443674211398102E-4</v>
      </c>
      <c r="F487">
        <f t="shared" si="47"/>
        <v>1.4310539863619709E-2</v>
      </c>
      <c r="G487">
        <f t="shared" si="45"/>
        <v>-1.7076044891991927E-2</v>
      </c>
      <c r="H487">
        <f t="shared" si="46"/>
        <v>-0.91908432885924929</v>
      </c>
    </row>
    <row r="488" spans="1:8" x14ac:dyDescent="0.45">
      <c r="A488" s="2">
        <v>43069</v>
      </c>
      <c r="B488">
        <v>5372.79</v>
      </c>
      <c r="C488">
        <f t="shared" si="42"/>
        <v>-4.679467585517072E-3</v>
      </c>
      <c r="D488">
        <f t="shared" si="43"/>
        <v>6.5725698874704854E-3</v>
      </c>
      <c r="E488">
        <f t="shared" si="44"/>
        <v>-1.1252037472987558E-2</v>
      </c>
      <c r="F488">
        <f t="shared" si="47"/>
        <v>8.907958661039642E-3</v>
      </c>
      <c r="G488">
        <f t="shared" si="45"/>
        <v>-1.2631443298227363</v>
      </c>
      <c r="H488">
        <f t="shared" si="46"/>
        <v>-1.7167053321863375</v>
      </c>
    </row>
    <row r="489" spans="1:8" x14ac:dyDescent="0.45">
      <c r="A489" s="2">
        <v>43070</v>
      </c>
      <c r="B489">
        <v>5316.89</v>
      </c>
      <c r="C489">
        <f t="shared" si="42"/>
        <v>-1.0404277851916666E-2</v>
      </c>
      <c r="D489">
        <f t="shared" si="43"/>
        <v>-4.1925590412125032E-3</v>
      </c>
      <c r="E489">
        <f t="shared" si="44"/>
        <v>-6.2117188107041624E-3</v>
      </c>
      <c r="F489">
        <f t="shared" si="47"/>
        <v>3.7633882877292225E-2</v>
      </c>
      <c r="G489">
        <f t="shared" si="45"/>
        <v>-0.16505654840235021</v>
      </c>
      <c r="H489">
        <f t="shared" si="46"/>
        <v>-0.93256036528992137</v>
      </c>
    </row>
    <row r="490" spans="1:8" x14ac:dyDescent="0.45">
      <c r="A490" s="2">
        <v>43073</v>
      </c>
      <c r="B490">
        <v>5389.29</v>
      </c>
      <c r="C490">
        <f t="shared" si="42"/>
        <v>1.3616982860281013E-2</v>
      </c>
      <c r="D490">
        <f t="shared" si="43"/>
        <v>-1.6128610093730823E-2</v>
      </c>
      <c r="E490">
        <f t="shared" si="44"/>
        <v>2.9745592954011836E-2</v>
      </c>
      <c r="F490">
        <f t="shared" si="47"/>
        <v>1.2761160380116087E-2</v>
      </c>
      <c r="G490">
        <f t="shared" si="45"/>
        <v>2.3309473486721624</v>
      </c>
      <c r="H490">
        <f t="shared" si="46"/>
        <v>-3.6355963043455644</v>
      </c>
    </row>
    <row r="491" spans="1:8" x14ac:dyDescent="0.45">
      <c r="A491" s="2">
        <v>43074</v>
      </c>
      <c r="B491">
        <v>5375.53</v>
      </c>
      <c r="C491">
        <f t="shared" si="42"/>
        <v>-2.5532120186518847E-3</v>
      </c>
      <c r="D491">
        <f t="shared" si="43"/>
        <v>6.6880037551141445E-3</v>
      </c>
      <c r="E491">
        <f t="shared" si="44"/>
        <v>-9.2412157737660292E-3</v>
      </c>
      <c r="F491">
        <f t="shared" si="47"/>
        <v>6.8205964414566292E-2</v>
      </c>
      <c r="G491">
        <f t="shared" si="45"/>
        <v>-0.13548984833051411</v>
      </c>
      <c r="H491">
        <f t="shared" si="46"/>
        <v>-0.9281172827049855</v>
      </c>
    </row>
    <row r="492" spans="1:8" x14ac:dyDescent="0.45">
      <c r="A492" s="2">
        <v>43075</v>
      </c>
      <c r="B492">
        <v>5374.35</v>
      </c>
      <c r="C492">
        <f t="shared" si="42"/>
        <v>-2.1951323869451311E-4</v>
      </c>
      <c r="D492">
        <f t="shared" si="43"/>
        <v>8.9244390130271481E-3</v>
      </c>
      <c r="E492">
        <f t="shared" si="44"/>
        <v>-9.1439522517216612E-3</v>
      </c>
      <c r="F492">
        <f t="shared" si="47"/>
        <v>1.7825622047893584E-2</v>
      </c>
      <c r="G492">
        <f t="shared" si="45"/>
        <v>-0.51296679729626504</v>
      </c>
      <c r="H492">
        <f t="shared" si="46"/>
        <v>-1.0505060007688665</v>
      </c>
    </row>
    <row r="493" spans="1:8" x14ac:dyDescent="0.45">
      <c r="A493" s="2">
        <v>43076</v>
      </c>
      <c r="B493">
        <v>5383.86</v>
      </c>
      <c r="C493">
        <f t="shared" si="42"/>
        <v>1.769516313600672E-3</v>
      </c>
      <c r="D493">
        <f t="shared" si="43"/>
        <v>-2.4817666274945527E-3</v>
      </c>
      <c r="E493">
        <f t="shared" si="44"/>
        <v>4.2512829410952246E-3</v>
      </c>
      <c r="F493">
        <f t="shared" si="47"/>
        <v>1.7502701806994075E-2</v>
      </c>
      <c r="G493">
        <f t="shared" si="45"/>
        <v>0.24289295378365031</v>
      </c>
      <c r="H493">
        <f t="shared" si="46"/>
        <v>-0.9484370267035459</v>
      </c>
    </row>
    <row r="494" spans="1:8" x14ac:dyDescent="0.45">
      <c r="A494" s="2">
        <v>43077</v>
      </c>
      <c r="B494">
        <v>5399.09</v>
      </c>
      <c r="C494">
        <f t="shared" si="42"/>
        <v>2.8288254152226688E-3</v>
      </c>
      <c r="D494">
        <f t="shared" si="43"/>
        <v>1.8571935355712549E-3</v>
      </c>
      <c r="E494">
        <f t="shared" si="44"/>
        <v>9.7163187965141392E-4</v>
      </c>
      <c r="F494">
        <f t="shared" si="47"/>
        <v>1.1570667549431226E-2</v>
      </c>
      <c r="G494">
        <f t="shared" si="45"/>
        <v>8.3973709857317266E-2</v>
      </c>
      <c r="H494">
        <f t="shared" si="46"/>
        <v>-0.92246432517827315</v>
      </c>
    </row>
    <row r="495" spans="1:8" x14ac:dyDescent="0.45">
      <c r="A495" s="2">
        <v>43080</v>
      </c>
      <c r="B495">
        <v>5386.83</v>
      </c>
      <c r="C495">
        <f t="shared" si="42"/>
        <v>-2.2707530343076821E-3</v>
      </c>
      <c r="D495">
        <f t="shared" si="43"/>
        <v>4.8190244067515507E-3</v>
      </c>
      <c r="E495">
        <f t="shared" si="44"/>
        <v>-7.0897774410592328E-3</v>
      </c>
      <c r="F495">
        <f t="shared" si="47"/>
        <v>9.0269132795289045E-3</v>
      </c>
      <c r="G495">
        <f t="shared" si="45"/>
        <v>-0.78540440364452391</v>
      </c>
      <c r="H495">
        <f t="shared" si="46"/>
        <v>-1.2273685718367777</v>
      </c>
    </row>
    <row r="496" spans="1:8" x14ac:dyDescent="0.45">
      <c r="A496" s="2">
        <v>43081</v>
      </c>
      <c r="B496">
        <v>5427.19</v>
      </c>
      <c r="C496">
        <f t="shared" si="42"/>
        <v>7.4923470761096844E-3</v>
      </c>
      <c r="D496">
        <f t="shared" si="43"/>
        <v>-1.609519906157434E-4</v>
      </c>
      <c r="E496">
        <f t="shared" si="44"/>
        <v>7.6532990667254278E-3</v>
      </c>
      <c r="F496">
        <f t="shared" si="47"/>
        <v>2.4337973462693143E-2</v>
      </c>
      <c r="G496">
        <f t="shared" si="45"/>
        <v>0.31445917543039936</v>
      </c>
      <c r="H496">
        <f t="shared" si="46"/>
        <v>-0.96838081971085599</v>
      </c>
    </row>
    <row r="497" spans="1:8" x14ac:dyDescent="0.45">
      <c r="A497" s="2">
        <v>43082</v>
      </c>
      <c r="B497">
        <v>5399.45</v>
      </c>
      <c r="C497">
        <f t="shared" si="42"/>
        <v>-5.1113006915179948E-3</v>
      </c>
      <c r="D497">
        <f t="shared" si="43"/>
        <v>6.6933236046815914E-3</v>
      </c>
      <c r="E497">
        <f t="shared" si="44"/>
        <v>-1.1804624296199585E-2</v>
      </c>
      <c r="F497">
        <f t="shared" si="47"/>
        <v>1.3484060713106902E-2</v>
      </c>
      <c r="G497">
        <f t="shared" si="45"/>
        <v>-0.87545024806400817</v>
      </c>
      <c r="H497">
        <f t="shared" si="46"/>
        <v>-1.3021451016223393</v>
      </c>
    </row>
    <row r="498" spans="1:8" x14ac:dyDescent="0.45">
      <c r="A498" s="2">
        <v>43083</v>
      </c>
      <c r="B498">
        <v>5357.14</v>
      </c>
      <c r="C498">
        <f t="shared" si="42"/>
        <v>-7.8359832945946728E-3</v>
      </c>
      <c r="D498">
        <f t="shared" si="43"/>
        <v>6.1912806103159041E-4</v>
      </c>
      <c r="E498">
        <f t="shared" si="44"/>
        <v>-8.4551113556262623E-3</v>
      </c>
      <c r="F498">
        <f t="shared" si="47"/>
        <v>2.6894265568379691E-2</v>
      </c>
      <c r="G498">
        <f t="shared" si="45"/>
        <v>-0.31438342624113758</v>
      </c>
      <c r="H498">
        <f t="shared" si="46"/>
        <v>-0.96835700255223112</v>
      </c>
    </row>
    <row r="499" spans="1:8" x14ac:dyDescent="0.45">
      <c r="A499" s="2">
        <v>43084</v>
      </c>
      <c r="B499">
        <v>5349.3</v>
      </c>
      <c r="C499">
        <f t="shared" si="42"/>
        <v>-1.4634674471826203E-3</v>
      </c>
      <c r="D499">
        <f t="shared" si="43"/>
        <v>-1.353184981909804E-2</v>
      </c>
      <c r="E499">
        <f t="shared" si="44"/>
        <v>1.2068382371915419E-2</v>
      </c>
      <c r="F499">
        <f t="shared" si="47"/>
        <v>1.3724151363222531E-2</v>
      </c>
      <c r="G499">
        <f t="shared" si="45"/>
        <v>0.87935363378866693</v>
      </c>
      <c r="H499">
        <f t="shared" si="46"/>
        <v>-1.3055699398333391</v>
      </c>
    </row>
    <row r="500" spans="1:8" x14ac:dyDescent="0.45">
      <c r="A500" s="2">
        <v>43087</v>
      </c>
      <c r="B500">
        <v>5420.58</v>
      </c>
      <c r="C500">
        <f t="shared" si="42"/>
        <v>1.332510795805053E-2</v>
      </c>
      <c r="D500">
        <f t="shared" si="43"/>
        <v>-8.531089410982521E-3</v>
      </c>
      <c r="E500">
        <f t="shared" si="44"/>
        <v>2.1856197369033051E-2</v>
      </c>
      <c r="F500">
        <f t="shared" si="47"/>
        <v>2.7007351515944914E-2</v>
      </c>
      <c r="G500">
        <f t="shared" si="45"/>
        <v>0.80926844515388097</v>
      </c>
      <c r="H500">
        <f t="shared" si="46"/>
        <v>-1.2463962413655627</v>
      </c>
    </row>
    <row r="501" spans="1:8" x14ac:dyDescent="0.45">
      <c r="A501" s="2">
        <v>43088</v>
      </c>
      <c r="B501">
        <v>5382.91</v>
      </c>
      <c r="C501">
        <f t="shared" si="42"/>
        <v>-6.9494408347445802E-3</v>
      </c>
      <c r="D501">
        <f t="shared" si="43"/>
        <v>1.4150725783649003E-2</v>
      </c>
      <c r="E501">
        <f t="shared" si="44"/>
        <v>-2.1100166618393583E-2</v>
      </c>
      <c r="F501">
        <f t="shared" si="47"/>
        <v>2.5629999174557782E-2</v>
      </c>
      <c r="G501">
        <f t="shared" si="45"/>
        <v>-0.82326052664641347</v>
      </c>
      <c r="H501">
        <f t="shared" si="46"/>
        <v>-1.2578174805717377</v>
      </c>
    </row>
    <row r="502" spans="1:8" x14ac:dyDescent="0.45">
      <c r="A502" s="2">
        <v>43089</v>
      </c>
      <c r="B502">
        <v>5352.77</v>
      </c>
      <c r="C502">
        <f t="shared" si="42"/>
        <v>-5.599201918664698E-3</v>
      </c>
      <c r="D502">
        <f t="shared" si="43"/>
        <v>3.5799113343574791E-3</v>
      </c>
      <c r="E502">
        <f t="shared" si="44"/>
        <v>-9.179113253022177E-3</v>
      </c>
      <c r="F502">
        <f t="shared" si="47"/>
        <v>2.593246222117794E-2</v>
      </c>
      <c r="G502">
        <f t="shared" si="45"/>
        <v>-0.35396227225681581</v>
      </c>
      <c r="H502">
        <f t="shared" si="46"/>
        <v>-0.98158317829527675</v>
      </c>
    </row>
    <row r="503" spans="1:8" x14ac:dyDescent="0.45">
      <c r="A503" s="2">
        <v>43090</v>
      </c>
      <c r="B503">
        <v>5385.97</v>
      </c>
      <c r="C503">
        <f t="shared" si="42"/>
        <v>6.2023961425579088E-3</v>
      </c>
      <c r="D503">
        <f t="shared" si="43"/>
        <v>-1.2545879699491457E-2</v>
      </c>
      <c r="E503">
        <f t="shared" si="44"/>
        <v>1.8748275842049366E-2</v>
      </c>
      <c r="F503">
        <f t="shared" si="47"/>
        <v>1.4424850323431399E-2</v>
      </c>
      <c r="G503">
        <f t="shared" si="45"/>
        <v>1.2997206502444669</v>
      </c>
      <c r="H503">
        <f t="shared" si="46"/>
        <v>-1.7635754175406226</v>
      </c>
    </row>
    <row r="504" spans="1:8" x14ac:dyDescent="0.45">
      <c r="A504" s="2">
        <v>43091</v>
      </c>
      <c r="B504">
        <v>5364.72</v>
      </c>
      <c r="C504">
        <f t="shared" si="42"/>
        <v>-3.9454360124545618E-3</v>
      </c>
      <c r="D504">
        <f t="shared" si="43"/>
        <v>2.2958475581566053E-3</v>
      </c>
      <c r="E504">
        <f t="shared" si="44"/>
        <v>-6.2412835706111671E-3</v>
      </c>
      <c r="F504">
        <f t="shared" si="47"/>
        <v>3.8751799424867867E-2</v>
      </c>
      <c r="G504">
        <f t="shared" si="45"/>
        <v>-0.16105790345843915</v>
      </c>
      <c r="H504">
        <f t="shared" si="46"/>
        <v>-0.93190835733788657</v>
      </c>
    </row>
    <row r="505" spans="1:8" x14ac:dyDescent="0.45">
      <c r="A505" s="2">
        <v>43096</v>
      </c>
      <c r="B505">
        <v>5368.84</v>
      </c>
      <c r="C505">
        <f t="shared" si="42"/>
        <v>7.679804351392594E-4</v>
      </c>
      <c r="D505">
        <f t="shared" si="43"/>
        <v>8.4349270240857439E-4</v>
      </c>
      <c r="E505">
        <f t="shared" si="44"/>
        <v>-7.5512267269314988E-5</v>
      </c>
      <c r="F505">
        <f t="shared" si="47"/>
        <v>1.2885444585457992E-2</v>
      </c>
      <c r="G505">
        <f t="shared" si="45"/>
        <v>-5.8602764358270708E-3</v>
      </c>
      <c r="H505">
        <f t="shared" si="46"/>
        <v>-0.91895570462462484</v>
      </c>
    </row>
    <row r="506" spans="1:8" x14ac:dyDescent="0.45">
      <c r="A506" s="2">
        <v>43097</v>
      </c>
      <c r="B506">
        <v>5339.42</v>
      </c>
      <c r="C506">
        <f t="shared" si="42"/>
        <v>-5.4797684416000303E-3</v>
      </c>
      <c r="D506">
        <f t="shared" si="43"/>
        <v>-2.5531475555077691E-3</v>
      </c>
      <c r="E506">
        <f t="shared" si="44"/>
        <v>-2.9266208860922612E-3</v>
      </c>
      <c r="F506">
        <f t="shared" si="47"/>
        <v>8.7857882168092052E-3</v>
      </c>
      <c r="G506">
        <f t="shared" si="45"/>
        <v>-0.33310851728624324</v>
      </c>
      <c r="H506">
        <f t="shared" si="46"/>
        <v>-0.97441917534899236</v>
      </c>
    </row>
    <row r="507" spans="1:8" x14ac:dyDescent="0.45">
      <c r="A507" s="2">
        <v>43098</v>
      </c>
      <c r="B507">
        <v>5312.56</v>
      </c>
      <c r="C507">
        <f t="shared" si="42"/>
        <v>-5.0305089316816654E-3</v>
      </c>
      <c r="D507">
        <f t="shared" si="43"/>
        <v>-5.6743309381899519E-3</v>
      </c>
      <c r="E507">
        <f t="shared" si="44"/>
        <v>6.4382200650828659E-4</v>
      </c>
      <c r="F507">
        <f t="shared" si="47"/>
        <v>1.288937271417185E-2</v>
      </c>
      <c r="G507">
        <f t="shared" si="45"/>
        <v>4.994983237628043E-2</v>
      </c>
      <c r="H507">
        <f t="shared" si="46"/>
        <v>-0.92018602608188194</v>
      </c>
    </row>
    <row r="508" spans="1:8" x14ac:dyDescent="0.45">
      <c r="A508" s="2">
        <v>43102</v>
      </c>
      <c r="B508">
        <v>5288.6</v>
      </c>
      <c r="C508">
        <f t="shared" si="42"/>
        <v>-4.5100667098347813E-3</v>
      </c>
      <c r="D508">
        <f t="shared" si="43"/>
        <v>-1.0605202286368631E-2</v>
      </c>
      <c r="E508">
        <f t="shared" si="44"/>
        <v>6.09513557653385E-3</v>
      </c>
      <c r="F508">
        <f t="shared" si="47"/>
        <v>8.9032077342916273E-3</v>
      </c>
      <c r="G508">
        <f t="shared" si="45"/>
        <v>0.68459995076356617</v>
      </c>
      <c r="H508">
        <f t="shared" si="46"/>
        <v>-1.1532770794974112</v>
      </c>
    </row>
    <row r="509" spans="1:8" x14ac:dyDescent="0.45">
      <c r="A509" s="2">
        <v>43103</v>
      </c>
      <c r="B509">
        <v>5331.28</v>
      </c>
      <c r="C509">
        <f t="shared" si="42"/>
        <v>8.0701887077865297E-3</v>
      </c>
      <c r="D509">
        <f t="shared" si="43"/>
        <v>-9.6106752762302461E-3</v>
      </c>
      <c r="E509">
        <f t="shared" si="44"/>
        <v>1.7680863984016776E-2</v>
      </c>
      <c r="F509">
        <f t="shared" si="47"/>
        <v>2.1620594134572468E-2</v>
      </c>
      <c r="G509">
        <f t="shared" si="45"/>
        <v>0.81777882115386202</v>
      </c>
      <c r="H509">
        <f t="shared" si="46"/>
        <v>-1.2533196333685728</v>
      </c>
    </row>
    <row r="510" spans="1:8" x14ac:dyDescent="0.45">
      <c r="A510" s="2">
        <v>43104</v>
      </c>
      <c r="B510">
        <v>5413.69</v>
      </c>
      <c r="C510">
        <f t="shared" si="42"/>
        <v>1.5457826263111318E-2</v>
      </c>
      <c r="D510">
        <f t="shared" si="43"/>
        <v>5.4085889302520687E-3</v>
      </c>
      <c r="E510">
        <f t="shared" si="44"/>
        <v>1.004923733285925E-2</v>
      </c>
      <c r="F510">
        <f t="shared" si="47"/>
        <v>2.5600983832774978E-2</v>
      </c>
      <c r="G510">
        <f t="shared" si="45"/>
        <v>0.39253324788221539</v>
      </c>
      <c r="H510">
        <f t="shared" si="46"/>
        <v>-0.99597970855115303</v>
      </c>
    </row>
    <row r="511" spans="1:8" x14ac:dyDescent="0.45">
      <c r="A511" s="2">
        <v>43105</v>
      </c>
      <c r="B511">
        <v>5470.75</v>
      </c>
      <c r="C511">
        <f t="shared" si="42"/>
        <v>1.0539945951836938E-2</v>
      </c>
      <c r="D511">
        <f t="shared" si="43"/>
        <v>2.4937841791501682E-2</v>
      </c>
      <c r="E511">
        <f t="shared" si="44"/>
        <v>-1.4397895839664745E-2</v>
      </c>
      <c r="F511">
        <f t="shared" si="47"/>
        <v>1.5213935855955841E-2</v>
      </c>
      <c r="G511">
        <f t="shared" si="45"/>
        <v>-0.94636233358564881</v>
      </c>
      <c r="H511">
        <f t="shared" si="46"/>
        <v>-1.3667393664195102</v>
      </c>
    </row>
    <row r="512" spans="1:8" x14ac:dyDescent="0.45">
      <c r="A512" s="2">
        <v>43108</v>
      </c>
      <c r="B512">
        <v>5487.42</v>
      </c>
      <c r="C512">
        <f t="shared" si="42"/>
        <v>3.0471141982360006E-3</v>
      </c>
      <c r="D512">
        <f t="shared" si="43"/>
        <v>2.5689551818262005E-2</v>
      </c>
      <c r="E512">
        <f t="shared" si="44"/>
        <v>-2.2642437620026004E-2</v>
      </c>
      <c r="F512">
        <f t="shared" si="47"/>
        <v>2.8889002240497803E-2</v>
      </c>
      <c r="G512">
        <f t="shared" si="45"/>
        <v>-0.78377361154705771</v>
      </c>
      <c r="H512">
        <f t="shared" si="46"/>
        <v>-1.2260890702834317</v>
      </c>
    </row>
    <row r="513" spans="1:8" x14ac:dyDescent="0.45">
      <c r="A513" s="2">
        <v>43109</v>
      </c>
      <c r="B513">
        <v>5523.94</v>
      </c>
      <c r="C513">
        <f t="shared" si="42"/>
        <v>6.6552223084801465E-3</v>
      </c>
      <c r="D513">
        <f t="shared" si="43"/>
        <v>1.2723751390043933E-2</v>
      </c>
      <c r="E513">
        <f t="shared" si="44"/>
        <v>-6.0685290815637866E-3</v>
      </c>
      <c r="F513">
        <f t="shared" si="47"/>
        <v>2.5059458940750869E-2</v>
      </c>
      <c r="G513">
        <f t="shared" si="45"/>
        <v>-0.24216520779286835</v>
      </c>
      <c r="H513">
        <f t="shared" si="46"/>
        <v>-0.9482605271373542</v>
      </c>
    </row>
    <row r="514" spans="1:8" x14ac:dyDescent="0.45">
      <c r="A514" s="2">
        <v>43110</v>
      </c>
      <c r="B514">
        <v>5504.68</v>
      </c>
      <c r="C514">
        <f t="shared" si="42"/>
        <v>-3.486641781047406E-3</v>
      </c>
      <c r="D514">
        <f t="shared" si="43"/>
        <v>1.03638314836072E-2</v>
      </c>
      <c r="E514">
        <f t="shared" si="44"/>
        <v>-1.3850473264654606E-2</v>
      </c>
      <c r="F514">
        <f t="shared" si="47"/>
        <v>1.223619338502176E-2</v>
      </c>
      <c r="G514">
        <f t="shared" si="45"/>
        <v>-1.1319266399964611</v>
      </c>
      <c r="H514">
        <f t="shared" si="46"/>
        <v>-1.5595674923715117</v>
      </c>
    </row>
    <row r="515" spans="1:8" x14ac:dyDescent="0.45">
      <c r="A515" s="2">
        <v>43111</v>
      </c>
      <c r="B515">
        <v>5488.55</v>
      </c>
      <c r="C515">
        <f t="shared" si="42"/>
        <v>-2.9302339100547581E-3</v>
      </c>
      <c r="D515">
        <f t="shared" si="43"/>
        <v>1.769756617269495E-3</v>
      </c>
      <c r="E515">
        <f t="shared" si="44"/>
        <v>-4.6999905273242531E-3</v>
      </c>
      <c r="F515">
        <f t="shared" si="47"/>
        <v>3.3988367297319841E-2</v>
      </c>
      <c r="G515">
        <f t="shared" si="45"/>
        <v>-0.13828232719183517</v>
      </c>
      <c r="H515">
        <f t="shared" si="46"/>
        <v>-0.92849953421146758</v>
      </c>
    </row>
    <row r="516" spans="1:8" x14ac:dyDescent="0.45">
      <c r="A516" s="2">
        <v>43112</v>
      </c>
      <c r="B516">
        <v>5517.06</v>
      </c>
      <c r="C516">
        <f t="shared" ref="C516:C579" si="48">B516/B515-1</f>
        <v>5.1944502646419366E-3</v>
      </c>
      <c r="D516">
        <f t="shared" si="43"/>
        <v>-6.4345854123522353E-3</v>
      </c>
      <c r="E516">
        <f t="shared" si="44"/>
        <v>1.1629035676994172E-2</v>
      </c>
      <c r="F516">
        <f t="shared" si="47"/>
        <v>1.195428750162871E-2</v>
      </c>
      <c r="G516">
        <f t="shared" si="45"/>
        <v>0.9727920359460801</v>
      </c>
      <c r="H516">
        <f t="shared" si="46"/>
        <v>-1.3921007058047326</v>
      </c>
    </row>
    <row r="517" spans="1:8" x14ac:dyDescent="0.45">
      <c r="A517" s="2">
        <v>43116</v>
      </c>
      <c r="B517">
        <v>5513.82</v>
      </c>
      <c r="C517">
        <f t="shared" si="48"/>
        <v>-5.8726930647856612E-4</v>
      </c>
      <c r="D517">
        <f t="shared" si="43"/>
        <v>3.4574788037292827E-3</v>
      </c>
      <c r="E517">
        <f t="shared" si="44"/>
        <v>-4.0447481102078488E-3</v>
      </c>
      <c r="F517">
        <f t="shared" si="47"/>
        <v>2.9543873010318505E-2</v>
      </c>
      <c r="G517">
        <f t="shared" si="45"/>
        <v>-0.13690649525859994</v>
      </c>
      <c r="H517">
        <f t="shared" si="46"/>
        <v>-0.92831022742666924</v>
      </c>
    </row>
    <row r="518" spans="1:8" x14ac:dyDescent="0.45">
      <c r="A518" s="2">
        <v>43117</v>
      </c>
      <c r="B518">
        <v>5493.99</v>
      </c>
      <c r="C518">
        <f t="shared" si="48"/>
        <v>-3.5964177285439103E-3</v>
      </c>
      <c r="D518">
        <f t="shared" ref="D518:D581" si="49">SUMPRODUCT(C516:C517,$O$8:$O$9)</f>
        <v>3.8521075396038933E-3</v>
      </c>
      <c r="E518">
        <f t="shared" ref="E518:E581" si="50">C518-D518</f>
        <v>-7.4485252681478036E-3</v>
      </c>
      <c r="F518">
        <f t="shared" si="47"/>
        <v>1.1332048188712928E-2</v>
      </c>
      <c r="G518">
        <f t="shared" ref="G518:G581" si="51">E518/F518</f>
        <v>-0.65729735208563322</v>
      </c>
      <c r="H518">
        <f t="shared" ref="H518:H581" si="52">-(G518^2)/2-LN(2*PI())/2</f>
        <v>-1.1349584377340651</v>
      </c>
    </row>
    <row r="519" spans="1:8" x14ac:dyDescent="0.45">
      <c r="A519" s="2">
        <v>43118</v>
      </c>
      <c r="B519">
        <v>5494.83</v>
      </c>
      <c r="C519">
        <f t="shared" si="48"/>
        <v>1.5289434454746065E-4</v>
      </c>
      <c r="D519">
        <f t="shared" si="49"/>
        <v>-4.6762457363250234E-3</v>
      </c>
      <c r="E519">
        <f t="shared" si="50"/>
        <v>4.8291400808724841E-3</v>
      </c>
      <c r="F519">
        <f t="shared" ref="F519:F582" si="53">SQRT($O$4+$O$5*F518^2+$O$6*G518^2)</f>
        <v>2.0953918043325734E-2</v>
      </c>
      <c r="G519">
        <f t="shared" si="51"/>
        <v>0.23046477851480704</v>
      </c>
      <c r="H519">
        <f t="shared" si="52"/>
        <v>-0.94549554027261218</v>
      </c>
    </row>
    <row r="520" spans="1:8" x14ac:dyDescent="0.45">
      <c r="A520" s="2">
        <v>43123</v>
      </c>
      <c r="B520">
        <v>5535.26</v>
      </c>
      <c r="C520">
        <f t="shared" si="48"/>
        <v>7.3578254468291693E-3</v>
      </c>
      <c r="D520">
        <f t="shared" si="49"/>
        <v>-2.9607726730604684E-3</v>
      </c>
      <c r="E520">
        <f t="shared" si="50"/>
        <v>1.0318598119889638E-2</v>
      </c>
      <c r="F520">
        <f t="shared" si="53"/>
        <v>1.1644201035089863E-2</v>
      </c>
      <c r="G520">
        <f t="shared" si="51"/>
        <v>0.8861576752921464</v>
      </c>
      <c r="H520">
        <f t="shared" si="52"/>
        <v>-1.3115762459442633</v>
      </c>
    </row>
    <row r="521" spans="1:8" x14ac:dyDescent="0.45">
      <c r="A521" s="2">
        <v>43124</v>
      </c>
      <c r="B521">
        <v>5495.16</v>
      </c>
      <c r="C521">
        <f t="shared" si="48"/>
        <v>-7.2444654812963138E-3</v>
      </c>
      <c r="D521">
        <f t="shared" si="49"/>
        <v>8.6521529744603646E-3</v>
      </c>
      <c r="E521">
        <f t="shared" si="50"/>
        <v>-1.5896618455756677E-2</v>
      </c>
      <c r="F521">
        <f t="shared" si="53"/>
        <v>2.7145240017184817E-2</v>
      </c>
      <c r="G521">
        <f t="shared" si="51"/>
        <v>-0.58561347940534014</v>
      </c>
      <c r="H521">
        <f t="shared" si="52"/>
        <v>-1.0904101068352872</v>
      </c>
    </row>
    <row r="522" spans="1:8" x14ac:dyDescent="0.45">
      <c r="A522" s="2">
        <v>43125</v>
      </c>
      <c r="B522">
        <v>5481.21</v>
      </c>
      <c r="C522">
        <f t="shared" si="48"/>
        <v>-2.5385976022536116E-3</v>
      </c>
      <c r="D522">
        <f t="shared" si="49"/>
        <v>-1.9679782544783728E-3</v>
      </c>
      <c r="E522">
        <f t="shared" si="50"/>
        <v>-5.706193477752388E-4</v>
      </c>
      <c r="F522">
        <f t="shared" si="53"/>
        <v>1.9864023272851878E-2</v>
      </c>
      <c r="G522">
        <f t="shared" si="51"/>
        <v>-2.8726272615432501E-2</v>
      </c>
      <c r="H522">
        <f t="shared" si="52"/>
        <v>-0.9193511325738607</v>
      </c>
    </row>
    <row r="523" spans="1:8" x14ac:dyDescent="0.45">
      <c r="A523" s="2">
        <v>43126</v>
      </c>
      <c r="B523">
        <v>5529.15</v>
      </c>
      <c r="C523">
        <f t="shared" si="48"/>
        <v>8.7462439862731056E-3</v>
      </c>
      <c r="D523">
        <f t="shared" si="49"/>
        <v>-9.2597699537684992E-3</v>
      </c>
      <c r="E523">
        <f t="shared" si="50"/>
        <v>1.8006013940041605E-2</v>
      </c>
      <c r="F523">
        <f t="shared" si="53"/>
        <v>9.4512263646140196E-3</v>
      </c>
      <c r="G523">
        <f t="shared" si="51"/>
        <v>1.905151061396354</v>
      </c>
      <c r="H523">
        <f t="shared" si="52"/>
        <v>-2.7337388165744998</v>
      </c>
    </row>
    <row r="524" spans="1:8" x14ac:dyDescent="0.45">
      <c r="A524" s="2">
        <v>43129</v>
      </c>
      <c r="B524">
        <v>5521.59</v>
      </c>
      <c r="C524">
        <f t="shared" si="48"/>
        <v>-1.3672987710587892E-3</v>
      </c>
      <c r="D524">
        <f t="shared" si="49"/>
        <v>7.9113744293888323E-3</v>
      </c>
      <c r="E524">
        <f t="shared" si="50"/>
        <v>-9.2786732004476215E-3</v>
      </c>
      <c r="F524">
        <f t="shared" si="53"/>
        <v>5.5942552812170261E-2</v>
      </c>
      <c r="G524">
        <f t="shared" si="51"/>
        <v>-0.16586073988438105</v>
      </c>
      <c r="H524">
        <f t="shared" si="52"/>
        <v>-0.93269342572216984</v>
      </c>
    </row>
    <row r="525" spans="1:8" x14ac:dyDescent="0.45">
      <c r="A525" s="2">
        <v>43130</v>
      </c>
      <c r="B525">
        <v>5473.78</v>
      </c>
      <c r="C525">
        <f t="shared" si="48"/>
        <v>-8.6587377911073737E-3</v>
      </c>
      <c r="D525">
        <f t="shared" si="49"/>
        <v>6.0478611901088053E-3</v>
      </c>
      <c r="E525">
        <f t="shared" si="50"/>
        <v>-1.4706598981216179E-2</v>
      </c>
      <c r="F525">
        <f t="shared" si="53"/>
        <v>1.5781395259160245E-2</v>
      </c>
      <c r="G525">
        <f t="shared" si="51"/>
        <v>-0.9318947241169816</v>
      </c>
      <c r="H525">
        <f t="shared" si="52"/>
        <v>-1.3531524216232054</v>
      </c>
    </row>
    <row r="526" spans="1:8" x14ac:dyDescent="0.45">
      <c r="A526" s="2">
        <v>43131</v>
      </c>
      <c r="B526">
        <v>5481.93</v>
      </c>
      <c r="C526">
        <f t="shared" si="48"/>
        <v>1.4889162516580345E-3</v>
      </c>
      <c r="D526">
        <f t="shared" si="49"/>
        <v>-1.1217865241547441E-2</v>
      </c>
      <c r="E526">
        <f t="shared" si="50"/>
        <v>1.2706781493205475E-2</v>
      </c>
      <c r="F526">
        <f t="shared" si="53"/>
        <v>2.8505713940381577E-2</v>
      </c>
      <c r="G526">
        <f t="shared" si="51"/>
        <v>0.44576261165677655</v>
      </c>
      <c r="H526">
        <f t="shared" si="52"/>
        <v>-1.0182906861802077</v>
      </c>
    </row>
    <row r="527" spans="1:8" x14ac:dyDescent="0.45">
      <c r="A527" s="2">
        <v>43132</v>
      </c>
      <c r="B527">
        <v>5454.55</v>
      </c>
      <c r="C527">
        <f t="shared" si="48"/>
        <v>-4.994591320939934E-3</v>
      </c>
      <c r="D527">
        <f t="shared" si="49"/>
        <v>-5.8307075641244304E-3</v>
      </c>
      <c r="E527">
        <f t="shared" si="50"/>
        <v>8.3611624318449644E-4</v>
      </c>
      <c r="F527">
        <f t="shared" si="53"/>
        <v>1.6641052567571146E-2</v>
      </c>
      <c r="G527">
        <f t="shared" si="51"/>
        <v>5.0244192174109109E-2</v>
      </c>
      <c r="H527">
        <f t="shared" si="52"/>
        <v>-0.92020077262828703</v>
      </c>
    </row>
    <row r="528" spans="1:8" x14ac:dyDescent="0.45">
      <c r="A528" s="2">
        <v>43133</v>
      </c>
      <c r="B528">
        <v>5364.98</v>
      </c>
      <c r="C528">
        <f t="shared" si="48"/>
        <v>-1.6421152982372678E-2</v>
      </c>
      <c r="D528">
        <f t="shared" si="49"/>
        <v>-4.4836019503737652E-3</v>
      </c>
      <c r="E528">
        <f t="shared" si="50"/>
        <v>-1.1937551031998912E-2</v>
      </c>
      <c r="F528">
        <f t="shared" si="53"/>
        <v>9.2115117995689791E-3</v>
      </c>
      <c r="G528">
        <f t="shared" si="51"/>
        <v>-1.2959383097742423</v>
      </c>
      <c r="H528">
        <f t="shared" si="52"/>
        <v>-1.7586665845749327</v>
      </c>
    </row>
    <row r="529" spans="1:8" x14ac:dyDescent="0.45">
      <c r="A529" s="2">
        <v>43136</v>
      </c>
      <c r="B529">
        <v>5285.83</v>
      </c>
      <c r="C529">
        <f t="shared" si="48"/>
        <v>-1.4753083888476737E-2</v>
      </c>
      <c r="D529">
        <f t="shared" si="49"/>
        <v>-2.3369776606693683E-2</v>
      </c>
      <c r="E529">
        <f t="shared" si="50"/>
        <v>8.6166927182169464E-3</v>
      </c>
      <c r="F529">
        <f t="shared" si="53"/>
        <v>3.856489364612737E-2</v>
      </c>
      <c r="G529">
        <f t="shared" si="51"/>
        <v>0.22343359214948133</v>
      </c>
      <c r="H529">
        <f t="shared" si="52"/>
        <v>-0.94389981825508307</v>
      </c>
    </row>
    <row r="530" spans="1:8" x14ac:dyDescent="0.45">
      <c r="A530" s="2">
        <v>43137</v>
      </c>
      <c r="B530">
        <v>5161.8100000000004</v>
      </c>
      <c r="C530">
        <f t="shared" si="48"/>
        <v>-2.3462729599703303E-2</v>
      </c>
      <c r="D530">
        <f t="shared" si="49"/>
        <v>-3.1407926332592803E-2</v>
      </c>
      <c r="E530">
        <f t="shared" si="50"/>
        <v>7.9451967328895007E-3</v>
      </c>
      <c r="F530">
        <f t="shared" si="53"/>
        <v>1.3619983775291078E-2</v>
      </c>
      <c r="G530">
        <f t="shared" si="51"/>
        <v>0.58334847265408729</v>
      </c>
      <c r="H530">
        <f t="shared" si="52"/>
        <v>-1.0890862534786008</v>
      </c>
    </row>
    <row r="531" spans="1:8" x14ac:dyDescent="0.45">
      <c r="A531" s="2">
        <v>43138</v>
      </c>
      <c r="B531">
        <v>5255.9</v>
      </c>
      <c r="C531">
        <f t="shared" si="48"/>
        <v>1.8228102157963777E-2</v>
      </c>
      <c r="D531">
        <f t="shared" si="49"/>
        <v>-4.0036443855847606E-2</v>
      </c>
      <c r="E531">
        <f t="shared" si="50"/>
        <v>5.8264546013811383E-2</v>
      </c>
      <c r="F531">
        <f t="shared" si="53"/>
        <v>1.9096585217251622E-2</v>
      </c>
      <c r="G531">
        <f t="shared" si="51"/>
        <v>3.0510452707102789</v>
      </c>
      <c r="H531">
        <f t="shared" si="52"/>
        <v>-5.5733771551664528</v>
      </c>
    </row>
    <row r="532" spans="1:8" x14ac:dyDescent="0.45">
      <c r="A532" s="2">
        <v>43139</v>
      </c>
      <c r="B532">
        <v>5151.68</v>
      </c>
      <c r="C532">
        <f t="shared" si="48"/>
        <v>-1.9829144390113851E-2</v>
      </c>
      <c r="D532">
        <f t="shared" si="49"/>
        <v>6.3347771172401687E-4</v>
      </c>
      <c r="E532">
        <f t="shared" si="50"/>
        <v>-2.0462622101837868E-2</v>
      </c>
      <c r="F532">
        <f t="shared" si="53"/>
        <v>8.902555134053336E-2</v>
      </c>
      <c r="G532">
        <f t="shared" si="51"/>
        <v>-0.22985111345804415</v>
      </c>
      <c r="H532">
        <f t="shared" si="52"/>
        <v>-0.945354300383624</v>
      </c>
    </row>
    <row r="533" spans="1:8" x14ac:dyDescent="0.45">
      <c r="A533" s="2">
        <v>43140</v>
      </c>
      <c r="B533">
        <v>5079.21</v>
      </c>
      <c r="C533">
        <f t="shared" si="48"/>
        <v>-1.4067255730169648E-2</v>
      </c>
      <c r="D533">
        <f t="shared" si="49"/>
        <v>-7.0542261237946588E-3</v>
      </c>
      <c r="E533">
        <f t="shared" si="50"/>
        <v>-7.0130296063749889E-3</v>
      </c>
      <c r="F533">
        <f t="shared" si="53"/>
        <v>2.2606720846685625E-2</v>
      </c>
      <c r="G533">
        <f t="shared" si="51"/>
        <v>-0.3102187908602928</v>
      </c>
      <c r="H533">
        <f t="shared" si="52"/>
        <v>-0.96705638230608371</v>
      </c>
    </row>
    <row r="534" spans="1:8" x14ac:dyDescent="0.45">
      <c r="A534" s="2">
        <v>43143</v>
      </c>
      <c r="B534">
        <v>5140.0600000000004</v>
      </c>
      <c r="C534">
        <f t="shared" si="48"/>
        <v>1.1980209520771945E-2</v>
      </c>
      <c r="D534">
        <f t="shared" si="49"/>
        <v>-3.3587280358966076E-2</v>
      </c>
      <c r="E534">
        <f t="shared" si="50"/>
        <v>4.5567489879738021E-2</v>
      </c>
      <c r="F534">
        <f t="shared" si="53"/>
        <v>1.3248044952128998E-2</v>
      </c>
      <c r="G534">
        <f t="shared" si="51"/>
        <v>3.4395633502447618</v>
      </c>
      <c r="H534">
        <f t="shared" si="52"/>
        <v>-6.8342365533781582</v>
      </c>
    </row>
    <row r="535" spans="1:8" x14ac:dyDescent="0.45">
      <c r="A535" s="2">
        <v>43144</v>
      </c>
      <c r="B535">
        <v>5109.24</v>
      </c>
      <c r="C535">
        <f t="shared" si="48"/>
        <v>-5.9960389567438321E-3</v>
      </c>
      <c r="D535">
        <f t="shared" si="49"/>
        <v>1.5971142683079195E-3</v>
      </c>
      <c r="E535">
        <f t="shared" si="50"/>
        <v>-7.5931532250517516E-3</v>
      </c>
      <c r="F535">
        <f t="shared" si="53"/>
        <v>0.10019698398006036</v>
      </c>
      <c r="G535">
        <f t="shared" si="51"/>
        <v>-7.5782253351685938E-2</v>
      </c>
      <c r="H535">
        <f t="shared" si="52"/>
        <v>-0.92181000816620218</v>
      </c>
    </row>
    <row r="536" spans="1:8" x14ac:dyDescent="0.45">
      <c r="A536" s="2">
        <v>43145</v>
      </c>
      <c r="B536">
        <v>5165.26</v>
      </c>
      <c r="C536">
        <f t="shared" si="48"/>
        <v>1.0964448724272158E-2</v>
      </c>
      <c r="D536">
        <f t="shared" si="49"/>
        <v>3.5103499955974355E-3</v>
      </c>
      <c r="E536">
        <f t="shared" si="50"/>
        <v>7.4540987286747223E-3</v>
      </c>
      <c r="F536">
        <f t="shared" si="53"/>
        <v>2.4031237323134204E-2</v>
      </c>
      <c r="G536">
        <f t="shared" si="51"/>
        <v>0.31018372580836145</v>
      </c>
      <c r="H536">
        <f t="shared" si="52"/>
        <v>-0.96704550508285103</v>
      </c>
    </row>
    <row r="537" spans="1:8" x14ac:dyDescent="0.45">
      <c r="A537" s="2">
        <v>43146</v>
      </c>
      <c r="B537">
        <v>5222.5200000000004</v>
      </c>
      <c r="C537">
        <f t="shared" si="48"/>
        <v>1.1085598788831641E-2</v>
      </c>
      <c r="D537">
        <f t="shared" si="49"/>
        <v>7.4630341497636714E-3</v>
      </c>
      <c r="E537">
        <f t="shared" si="50"/>
        <v>3.6225646390679695E-3</v>
      </c>
      <c r="F537">
        <f t="shared" si="53"/>
        <v>1.3372604106123709E-2</v>
      </c>
      <c r="G537">
        <f t="shared" si="51"/>
        <v>0.27089448026125973</v>
      </c>
      <c r="H537">
        <f t="shared" si="52"/>
        <v>-0.95563044292268173</v>
      </c>
    </row>
    <row r="538" spans="1:8" x14ac:dyDescent="0.45">
      <c r="A538" s="2">
        <v>43147</v>
      </c>
      <c r="B538">
        <v>5281.58</v>
      </c>
      <c r="C538">
        <f t="shared" si="48"/>
        <v>1.1308716864655288E-2</v>
      </c>
      <c r="D538">
        <f t="shared" si="49"/>
        <v>2.2400931162971059E-2</v>
      </c>
      <c r="E538">
        <f t="shared" si="50"/>
        <v>-1.1092214298315771E-2</v>
      </c>
      <c r="F538">
        <f t="shared" si="53"/>
        <v>1.1815033288639963E-2</v>
      </c>
      <c r="G538">
        <f t="shared" si="51"/>
        <v>-0.93882209447355724</v>
      </c>
      <c r="H538">
        <f t="shared" si="52"/>
        <v>-1.3596319957405312</v>
      </c>
    </row>
    <row r="539" spans="1:8" x14ac:dyDescent="0.45">
      <c r="A539" s="2">
        <v>43150</v>
      </c>
      <c r="B539">
        <v>5256.18</v>
      </c>
      <c r="C539">
        <f t="shared" si="48"/>
        <v>-4.809166953828159E-3</v>
      </c>
      <c r="D539">
        <f t="shared" si="49"/>
        <v>2.2764953823130585E-2</v>
      </c>
      <c r="E539">
        <f t="shared" si="50"/>
        <v>-2.7574120776958744E-2</v>
      </c>
      <c r="F539">
        <f t="shared" si="53"/>
        <v>2.8600605105777489E-2</v>
      </c>
      <c r="G539">
        <f t="shared" si="51"/>
        <v>-0.9641096989024408</v>
      </c>
      <c r="H539">
        <f t="shared" si="52"/>
        <v>-1.3836922889635501</v>
      </c>
    </row>
    <row r="540" spans="1:8" x14ac:dyDescent="0.45">
      <c r="A540" s="2">
        <v>43151</v>
      </c>
      <c r="B540">
        <v>5289.86</v>
      </c>
      <c r="C540">
        <f t="shared" si="48"/>
        <v>6.4076953224583288E-3</v>
      </c>
      <c r="D540">
        <f t="shared" si="49"/>
        <v>4.2986270200400132E-3</v>
      </c>
      <c r="E540">
        <f t="shared" si="50"/>
        <v>2.1090683024183156E-3</v>
      </c>
      <c r="F540">
        <f t="shared" si="53"/>
        <v>2.9875740586793705E-2</v>
      </c>
      <c r="G540">
        <f t="shared" si="51"/>
        <v>7.0594678524910262E-2</v>
      </c>
      <c r="H540">
        <f t="shared" si="52"/>
        <v>-0.92143033752269043</v>
      </c>
    </row>
    <row r="541" spans="1:8" x14ac:dyDescent="0.45">
      <c r="A541" s="2">
        <v>43152</v>
      </c>
      <c r="B541">
        <v>5302.17</v>
      </c>
      <c r="C541">
        <f t="shared" si="48"/>
        <v>2.3270937227073407E-3</v>
      </c>
      <c r="D541">
        <f t="shared" si="49"/>
        <v>3.2228263692322644E-3</v>
      </c>
      <c r="E541">
        <f t="shared" si="50"/>
        <v>-8.9573264652492365E-4</v>
      </c>
      <c r="F541">
        <f t="shared" si="53"/>
        <v>1.0854432602839106E-2</v>
      </c>
      <c r="G541">
        <f t="shared" si="51"/>
        <v>-8.2522291058367628E-2</v>
      </c>
      <c r="H541">
        <f t="shared" si="52"/>
        <v>-0.92234349746543365</v>
      </c>
    </row>
    <row r="542" spans="1:8" x14ac:dyDescent="0.45">
      <c r="A542" s="2">
        <v>43153</v>
      </c>
      <c r="B542">
        <v>5309.23</v>
      </c>
      <c r="C542">
        <f t="shared" si="48"/>
        <v>1.3315302979721721E-3</v>
      </c>
      <c r="D542">
        <f t="shared" si="49"/>
        <v>8.2848320829535457E-3</v>
      </c>
      <c r="E542">
        <f t="shared" si="50"/>
        <v>-6.9533017849813736E-3</v>
      </c>
      <c r="F542">
        <f t="shared" si="53"/>
        <v>8.9708202556652589E-3</v>
      </c>
      <c r="G542">
        <f t="shared" si="51"/>
        <v>-0.77510211851477229</v>
      </c>
      <c r="H542">
        <f t="shared" si="52"/>
        <v>-1.2193301802677168</v>
      </c>
    </row>
    <row r="543" spans="1:8" x14ac:dyDescent="0.45">
      <c r="A543" s="2">
        <v>43154</v>
      </c>
      <c r="B543">
        <v>5317.37</v>
      </c>
      <c r="C543">
        <f t="shared" si="48"/>
        <v>1.5331790108923382E-3</v>
      </c>
      <c r="D543">
        <f t="shared" si="49"/>
        <v>3.5719567499769766E-3</v>
      </c>
      <c r="E543">
        <f t="shared" si="50"/>
        <v>-2.0387777390846384E-3</v>
      </c>
      <c r="F543">
        <f t="shared" si="53"/>
        <v>2.4057203540174727E-2</v>
      </c>
      <c r="G543">
        <f t="shared" si="51"/>
        <v>-8.4747079421760213E-2</v>
      </c>
      <c r="H543">
        <f t="shared" si="52"/>
        <v>-0.92252956693993171</v>
      </c>
    </row>
    <row r="544" spans="1:8" x14ac:dyDescent="0.45">
      <c r="A544" s="2">
        <v>43157</v>
      </c>
      <c r="B544">
        <v>5344.26</v>
      </c>
      <c r="C544">
        <f t="shared" si="48"/>
        <v>5.0570112668482103E-3</v>
      </c>
      <c r="D544">
        <f t="shared" si="49"/>
        <v>2.9368159838984846E-3</v>
      </c>
      <c r="E544">
        <f t="shared" si="50"/>
        <v>2.1201952829497258E-3</v>
      </c>
      <c r="F544">
        <f t="shared" si="53"/>
        <v>1.0194168802195494E-2</v>
      </c>
      <c r="G544">
        <f t="shared" si="51"/>
        <v>0.20798118258480322</v>
      </c>
      <c r="H544">
        <f t="shared" si="52"/>
        <v>-0.94056661935935926</v>
      </c>
    </row>
    <row r="545" spans="1:8" x14ac:dyDescent="0.45">
      <c r="A545" s="2">
        <v>43158</v>
      </c>
      <c r="B545">
        <v>5343.93</v>
      </c>
      <c r="C545">
        <f t="shared" si="48"/>
        <v>-6.1748492775404173E-5</v>
      </c>
      <c r="D545">
        <f t="shared" si="49"/>
        <v>7.1925785691946765E-3</v>
      </c>
      <c r="E545">
        <f t="shared" si="50"/>
        <v>-7.2543270619700806E-3</v>
      </c>
      <c r="F545">
        <f t="shared" si="53"/>
        <v>1.0510339552492415E-2</v>
      </c>
      <c r="G545">
        <f t="shared" si="51"/>
        <v>-0.6902086298676996</v>
      </c>
      <c r="H545">
        <f t="shared" si="52"/>
        <v>-1.1571325095765963</v>
      </c>
    </row>
    <row r="546" spans="1:8" x14ac:dyDescent="0.45">
      <c r="A546" s="2">
        <v>43159</v>
      </c>
      <c r="B546">
        <v>5320.49</v>
      </c>
      <c r="C546">
        <f t="shared" si="48"/>
        <v>-4.3862849999907194E-3</v>
      </c>
      <c r="D546">
        <f t="shared" si="49"/>
        <v>4.3406336260954576E-3</v>
      </c>
      <c r="E546">
        <f t="shared" si="50"/>
        <v>-8.7269186260861761E-3</v>
      </c>
      <c r="F546">
        <f t="shared" si="53"/>
        <v>2.180616242809166E-2</v>
      </c>
      <c r="G546">
        <f t="shared" si="51"/>
        <v>-0.4002042383598764</v>
      </c>
      <c r="H546">
        <f t="shared" si="52"/>
        <v>-0.99902024940527701</v>
      </c>
    </row>
    <row r="547" spans="1:8" x14ac:dyDescent="0.45">
      <c r="A547" s="2">
        <v>43160</v>
      </c>
      <c r="B547">
        <v>5262.56</v>
      </c>
      <c r="C547">
        <f t="shared" si="48"/>
        <v>-1.0888094893515277E-2</v>
      </c>
      <c r="D547">
        <f t="shared" si="49"/>
        <v>-5.1322349609322238E-3</v>
      </c>
      <c r="E547">
        <f t="shared" si="50"/>
        <v>-5.7558599325830528E-3</v>
      </c>
      <c r="F547">
        <f t="shared" si="53"/>
        <v>1.5084954461566583E-2</v>
      </c>
      <c r="G547">
        <f t="shared" si="51"/>
        <v>-0.38156296376285531</v>
      </c>
      <c r="H547">
        <f t="shared" si="52"/>
        <v>-0.99173368086241964</v>
      </c>
    </row>
    <row r="548" spans="1:8" x14ac:dyDescent="0.45">
      <c r="A548" s="2">
        <v>43161</v>
      </c>
      <c r="B548">
        <v>5136.58</v>
      </c>
      <c r="C548">
        <f t="shared" si="48"/>
        <v>-2.3938919461250929E-2</v>
      </c>
      <c r="D548">
        <f t="shared" si="49"/>
        <v>-1.6432969649008429E-2</v>
      </c>
      <c r="E548">
        <f t="shared" si="50"/>
        <v>-7.5059498122425003E-3</v>
      </c>
      <c r="F548">
        <f t="shared" si="53"/>
        <v>1.4242227551467873E-2</v>
      </c>
      <c r="G548">
        <f t="shared" si="51"/>
        <v>-0.52702077572611883</v>
      </c>
      <c r="H548">
        <f t="shared" si="52"/>
        <v>-1.0578139822281527</v>
      </c>
    </row>
    <row r="549" spans="1:8" x14ac:dyDescent="0.45">
      <c r="A549" s="2">
        <v>43164</v>
      </c>
      <c r="B549">
        <v>5167.2299999999996</v>
      </c>
      <c r="C549">
        <f t="shared" si="48"/>
        <v>5.9670052836711118E-3</v>
      </c>
      <c r="D549">
        <f t="shared" si="49"/>
        <v>-3.7215654646765267E-2</v>
      </c>
      <c r="E549">
        <f t="shared" si="50"/>
        <v>4.3182659930436379E-2</v>
      </c>
      <c r="F549">
        <f t="shared" si="53"/>
        <v>1.7688550689932619E-2</v>
      </c>
      <c r="G549">
        <f t="shared" si="51"/>
        <v>2.4412774504478567</v>
      </c>
      <c r="H549">
        <f t="shared" si="52"/>
        <v>-3.8988563282372666</v>
      </c>
    </row>
    <row r="550" spans="1:8" x14ac:dyDescent="0.45">
      <c r="A550" s="2">
        <v>43165</v>
      </c>
      <c r="B550">
        <v>5170.2299999999996</v>
      </c>
      <c r="C550">
        <f t="shared" si="48"/>
        <v>5.8058185913933968E-4</v>
      </c>
      <c r="D550">
        <f t="shared" si="49"/>
        <v>-1.3977661393008172E-2</v>
      </c>
      <c r="E550">
        <f t="shared" si="50"/>
        <v>1.4558243252147511E-2</v>
      </c>
      <c r="F550">
        <f t="shared" si="53"/>
        <v>7.1434814007758043E-2</v>
      </c>
      <c r="G550">
        <f t="shared" si="51"/>
        <v>0.20379759441336881</v>
      </c>
      <c r="H550">
        <f t="shared" si="52"/>
        <v>-0.93970526294901069</v>
      </c>
    </row>
    <row r="551" spans="1:8" x14ac:dyDescent="0.45">
      <c r="A551" s="2">
        <v>43166</v>
      </c>
      <c r="B551">
        <v>5187.83</v>
      </c>
      <c r="C551">
        <f t="shared" si="48"/>
        <v>3.4041038793246603E-3</v>
      </c>
      <c r="D551">
        <f t="shared" si="49"/>
        <v>5.8782606508097478E-3</v>
      </c>
      <c r="E551">
        <f t="shared" si="50"/>
        <v>-2.4741567714850875E-3</v>
      </c>
      <c r="F551">
        <f t="shared" si="53"/>
        <v>1.8970911769362948E-2</v>
      </c>
      <c r="G551">
        <f t="shared" si="51"/>
        <v>-0.13041844280150647</v>
      </c>
      <c r="H551">
        <f t="shared" si="52"/>
        <v>-0.92744301831605758</v>
      </c>
    </row>
    <row r="552" spans="1:8" x14ac:dyDescent="0.45">
      <c r="A552" s="2">
        <v>43167</v>
      </c>
      <c r="B552">
        <v>5254.1</v>
      </c>
      <c r="C552">
        <f t="shared" si="48"/>
        <v>1.2774127139864033E-2</v>
      </c>
      <c r="D552">
        <f t="shared" si="49"/>
        <v>4.4477536240178873E-3</v>
      </c>
      <c r="E552">
        <f t="shared" si="50"/>
        <v>8.3263735158461451E-3</v>
      </c>
      <c r="F552">
        <f t="shared" si="53"/>
        <v>1.0060436193113394E-2</v>
      </c>
      <c r="G552">
        <f t="shared" si="51"/>
        <v>0.82763543806835571</v>
      </c>
      <c r="H552">
        <f t="shared" si="52"/>
        <v>-1.2614287423779722</v>
      </c>
    </row>
    <row r="553" spans="1:8" x14ac:dyDescent="0.45">
      <c r="A553" s="2">
        <v>43168</v>
      </c>
      <c r="B553">
        <v>5274.4</v>
      </c>
      <c r="C553">
        <f t="shared" si="48"/>
        <v>3.8636493405148631E-3</v>
      </c>
      <c r="D553">
        <f t="shared" si="49"/>
        <v>1.7759653190315357E-2</v>
      </c>
      <c r="E553">
        <f t="shared" si="50"/>
        <v>-1.3896003849800494E-2</v>
      </c>
      <c r="F553">
        <f t="shared" si="53"/>
        <v>2.5508563651898752E-2</v>
      </c>
      <c r="G553">
        <f t="shared" si="51"/>
        <v>-0.54475838151577516</v>
      </c>
      <c r="H553">
        <f t="shared" si="52"/>
        <v>-1.0673193803205161</v>
      </c>
    </row>
    <row r="554" spans="1:8" x14ac:dyDescent="0.45">
      <c r="A554" s="2">
        <v>43171</v>
      </c>
      <c r="B554">
        <v>5276.71</v>
      </c>
      <c r="C554">
        <f t="shared" si="48"/>
        <v>4.3796450781141694E-4</v>
      </c>
      <c r="D554">
        <f t="shared" si="49"/>
        <v>1.5618392105264459E-2</v>
      </c>
      <c r="E554">
        <f t="shared" si="50"/>
        <v>-1.5180427597453042E-2</v>
      </c>
      <c r="F554">
        <f t="shared" si="53"/>
        <v>1.8744814407999001E-2</v>
      </c>
      <c r="G554">
        <f t="shared" si="51"/>
        <v>-0.80984678039677338</v>
      </c>
      <c r="H554">
        <f t="shared" si="52"/>
        <v>-1.2468644370641826</v>
      </c>
    </row>
    <row r="555" spans="1:8" x14ac:dyDescent="0.45">
      <c r="A555" s="2">
        <v>43172</v>
      </c>
      <c r="B555">
        <v>5242.79</v>
      </c>
      <c r="C555">
        <f t="shared" si="48"/>
        <v>-6.4282479044708296E-3</v>
      </c>
      <c r="D555">
        <f t="shared" si="49"/>
        <v>3.8780116604509116E-3</v>
      </c>
      <c r="E555">
        <f t="shared" si="50"/>
        <v>-1.0306259564921741E-2</v>
      </c>
      <c r="F555">
        <f t="shared" si="53"/>
        <v>2.5272785547176907E-2</v>
      </c>
      <c r="G555">
        <f t="shared" si="51"/>
        <v>-0.40780069714448236</v>
      </c>
      <c r="H555">
        <f t="shared" si="52"/>
        <v>-1.0020892375004355</v>
      </c>
    </row>
    <row r="556" spans="1:8" x14ac:dyDescent="0.45">
      <c r="A556" s="2">
        <v>43173</v>
      </c>
      <c r="B556">
        <v>5233.3599999999997</v>
      </c>
      <c r="C556">
        <f t="shared" si="48"/>
        <v>-1.7986606367984548E-3</v>
      </c>
      <c r="D556">
        <f t="shared" si="49"/>
        <v>-7.0603944082331081E-3</v>
      </c>
      <c r="E556">
        <f t="shared" si="50"/>
        <v>5.2617337714346533E-3</v>
      </c>
      <c r="F556">
        <f t="shared" si="53"/>
        <v>1.5521430596061057E-2</v>
      </c>
      <c r="G556">
        <f t="shared" si="51"/>
        <v>0.33899798983541807</v>
      </c>
      <c r="H556">
        <f t="shared" si="52"/>
        <v>-0.97639835176089973</v>
      </c>
    </row>
    <row r="557" spans="1:8" x14ac:dyDescent="0.45">
      <c r="A557" s="2">
        <v>43174</v>
      </c>
      <c r="B557">
        <v>5267.26</v>
      </c>
      <c r="C557">
        <f t="shared" si="48"/>
        <v>6.4776739991134757E-3</v>
      </c>
      <c r="D557">
        <f t="shared" si="49"/>
        <v>-7.6909535371298323E-3</v>
      </c>
      <c r="E557">
        <f t="shared" si="50"/>
        <v>1.4168627536243308E-2</v>
      </c>
      <c r="F557">
        <f t="shared" si="53"/>
        <v>1.3329877978283129E-2</v>
      </c>
      <c r="G557">
        <f t="shared" si="51"/>
        <v>1.0629225233214183</v>
      </c>
      <c r="H557">
        <f t="shared" si="52"/>
        <v>-1.4838406784966582</v>
      </c>
    </row>
    <row r="558" spans="1:8" x14ac:dyDescent="0.45">
      <c r="A558" s="2">
        <v>43175</v>
      </c>
      <c r="B558">
        <v>5282.75</v>
      </c>
      <c r="C558">
        <f t="shared" si="48"/>
        <v>2.9408079342960747E-3</v>
      </c>
      <c r="D558">
        <f t="shared" si="49"/>
        <v>5.9304432628876644E-3</v>
      </c>
      <c r="E558">
        <f t="shared" si="50"/>
        <v>-2.9896353285915897E-3</v>
      </c>
      <c r="F558">
        <f t="shared" si="53"/>
        <v>3.2079320681478778E-2</v>
      </c>
      <c r="G558">
        <f t="shared" si="51"/>
        <v>-9.3195094692814895E-2</v>
      </c>
      <c r="H558">
        <f t="shared" si="52"/>
        <v>-0.92328119604207404</v>
      </c>
    </row>
    <row r="559" spans="1:8" x14ac:dyDescent="0.45">
      <c r="A559" s="2">
        <v>43178</v>
      </c>
      <c r="B559">
        <v>5222.84</v>
      </c>
      <c r="C559">
        <f t="shared" si="48"/>
        <v>-1.1340684302683202E-2</v>
      </c>
      <c r="D559">
        <f t="shared" si="49"/>
        <v>9.056433982913642E-3</v>
      </c>
      <c r="E559">
        <f t="shared" si="50"/>
        <v>-2.0397118285596844E-2</v>
      </c>
      <c r="F559">
        <f t="shared" si="53"/>
        <v>1.1304299514246097E-2</v>
      </c>
      <c r="G559">
        <f t="shared" si="51"/>
        <v>-1.8043681751259013</v>
      </c>
      <c r="H559">
        <f t="shared" si="52"/>
        <v>-2.5468107889082603</v>
      </c>
    </row>
    <row r="560" spans="1:8" x14ac:dyDescent="0.45">
      <c r="A560" s="2">
        <v>43179</v>
      </c>
      <c r="B560">
        <v>5252.43</v>
      </c>
      <c r="C560">
        <f t="shared" si="48"/>
        <v>5.6654999961707198E-3</v>
      </c>
      <c r="D560">
        <f t="shared" si="49"/>
        <v>-1.0564250969831461E-2</v>
      </c>
      <c r="E560">
        <f t="shared" si="50"/>
        <v>1.6229750966002182E-2</v>
      </c>
      <c r="F560">
        <f t="shared" si="53"/>
        <v>5.3072580715496344E-2</v>
      </c>
      <c r="G560">
        <f t="shared" si="51"/>
        <v>0.30580293528600455</v>
      </c>
      <c r="H560">
        <f t="shared" si="52"/>
        <v>-0.96569625081944077</v>
      </c>
    </row>
    <row r="561" spans="1:8" x14ac:dyDescent="0.45">
      <c r="A561" s="2">
        <v>43180</v>
      </c>
      <c r="B561">
        <v>5239.74</v>
      </c>
      <c r="C561">
        <f t="shared" si="48"/>
        <v>-2.4160245829074611E-3</v>
      </c>
      <c r="D561">
        <f t="shared" si="49"/>
        <v>-3.3350710773143565E-3</v>
      </c>
      <c r="E561">
        <f t="shared" si="50"/>
        <v>9.1904649440689538E-4</v>
      </c>
      <c r="F561">
        <f t="shared" si="53"/>
        <v>1.6997941511475684E-2</v>
      </c>
      <c r="G561">
        <f t="shared" si="51"/>
        <v>5.4068105469502109E-2</v>
      </c>
      <c r="H561">
        <f t="shared" si="52"/>
        <v>-0.92040021321920329</v>
      </c>
    </row>
    <row r="562" spans="1:8" x14ac:dyDescent="0.45">
      <c r="A562" s="2">
        <v>43181</v>
      </c>
      <c r="B562">
        <v>5167.21</v>
      </c>
      <c r="C562">
        <f t="shared" si="48"/>
        <v>-1.3842289884612557E-2</v>
      </c>
      <c r="D562">
        <f t="shared" si="49"/>
        <v>2.1457879617543347E-3</v>
      </c>
      <c r="E562">
        <f t="shared" si="50"/>
        <v>-1.5988077846366893E-2</v>
      </c>
      <c r="F562">
        <f t="shared" si="53"/>
        <v>9.2623064542812304E-3</v>
      </c>
      <c r="G562">
        <f t="shared" si="51"/>
        <v>-1.7261443383766331</v>
      </c>
      <c r="H562">
        <f t="shared" si="52"/>
        <v>-2.4087256716595249</v>
      </c>
    </row>
    <row r="563" spans="1:8" x14ac:dyDescent="0.45">
      <c r="A563" s="2">
        <v>43182</v>
      </c>
      <c r="B563">
        <v>5095.22</v>
      </c>
      <c r="C563">
        <f t="shared" si="48"/>
        <v>-1.3932083271243068E-2</v>
      </c>
      <c r="D563">
        <f t="shared" si="49"/>
        <v>-1.8134276306609857E-2</v>
      </c>
      <c r="E563">
        <f t="shared" si="50"/>
        <v>4.2021930353667893E-3</v>
      </c>
      <c r="F563">
        <f t="shared" si="53"/>
        <v>5.0813833186036508E-2</v>
      </c>
      <c r="G563">
        <f t="shared" si="51"/>
        <v>8.2697816163208482E-2</v>
      </c>
      <c r="H563">
        <f t="shared" si="52"/>
        <v>-0.92235799760375459</v>
      </c>
    </row>
    <row r="564" spans="1:8" x14ac:dyDescent="0.45">
      <c r="A564" s="2">
        <v>43185</v>
      </c>
      <c r="B564">
        <v>5066.28</v>
      </c>
      <c r="C564">
        <f t="shared" si="48"/>
        <v>-5.6798332554827136E-3</v>
      </c>
      <c r="D564">
        <f t="shared" si="49"/>
        <v>-2.8207388609179644E-2</v>
      </c>
      <c r="E564">
        <f t="shared" si="50"/>
        <v>2.2527555353696931E-2</v>
      </c>
      <c r="F564">
        <f t="shared" si="53"/>
        <v>1.4288770545909171E-2</v>
      </c>
      <c r="G564">
        <f t="shared" si="51"/>
        <v>1.5765915815721805</v>
      </c>
      <c r="H564">
        <f t="shared" si="52"/>
        <v>-2.1617590407468077</v>
      </c>
    </row>
    <row r="565" spans="1:8" x14ac:dyDescent="0.45">
      <c r="A565" s="2">
        <v>43186</v>
      </c>
      <c r="B565">
        <v>5115.74</v>
      </c>
      <c r="C565">
        <f t="shared" si="48"/>
        <v>9.7625871448083767E-3</v>
      </c>
      <c r="D565">
        <f t="shared" si="49"/>
        <v>-1.8731426579524826E-2</v>
      </c>
      <c r="E565">
        <f t="shared" si="50"/>
        <v>2.8494013724333203E-2</v>
      </c>
      <c r="F565">
        <f t="shared" si="53"/>
        <v>4.6605541567612901E-2</v>
      </c>
      <c r="G565">
        <f t="shared" si="51"/>
        <v>0.61138681723064126</v>
      </c>
      <c r="H565">
        <f t="shared" si="52"/>
        <v>-1.1058354533463794</v>
      </c>
    </row>
    <row r="566" spans="1:8" x14ac:dyDescent="0.45">
      <c r="A566" s="2">
        <v>43187</v>
      </c>
      <c r="B566">
        <v>5130.4399999999996</v>
      </c>
      <c r="C566">
        <f t="shared" si="48"/>
        <v>2.873484578965968E-3</v>
      </c>
      <c r="D566">
        <f t="shared" si="49"/>
        <v>6.3474228484825508E-3</v>
      </c>
      <c r="E566">
        <f t="shared" si="50"/>
        <v>-3.4739382695165829E-3</v>
      </c>
      <c r="F566">
        <f t="shared" si="53"/>
        <v>2.2194232817178985E-2</v>
      </c>
      <c r="G566">
        <f t="shared" si="51"/>
        <v>-0.15652436820558416</v>
      </c>
      <c r="H566">
        <f t="shared" si="52"/>
        <v>-0.93118847212575129</v>
      </c>
    </row>
    <row r="567" spans="1:8" x14ac:dyDescent="0.45">
      <c r="A567" s="2">
        <v>43188</v>
      </c>
      <c r="B567">
        <v>5167.3</v>
      </c>
      <c r="C567">
        <f t="shared" si="48"/>
        <v>7.184568964845317E-3</v>
      </c>
      <c r="D567">
        <f t="shared" si="49"/>
        <v>1.1844498672446746E-2</v>
      </c>
      <c r="E567">
        <f t="shared" si="50"/>
        <v>-4.659929707601429E-3</v>
      </c>
      <c r="F567">
        <f t="shared" si="53"/>
        <v>1.0685460217208167E-2</v>
      </c>
      <c r="G567">
        <f t="shared" si="51"/>
        <v>-0.43610004743613628</v>
      </c>
      <c r="H567">
        <f t="shared" si="52"/>
        <v>-1.0140301588915728</v>
      </c>
    </row>
    <row r="568" spans="1:8" x14ac:dyDescent="0.45">
      <c r="A568" s="2">
        <v>43193</v>
      </c>
      <c r="B568">
        <v>5152.12</v>
      </c>
      <c r="C568">
        <f t="shared" si="48"/>
        <v>-2.9377044104271777E-3</v>
      </c>
      <c r="D568">
        <f t="shared" si="49"/>
        <v>1.0825211584122583E-2</v>
      </c>
      <c r="E568">
        <f t="shared" si="50"/>
        <v>-1.3762915994549761E-2</v>
      </c>
      <c r="F568">
        <f t="shared" si="53"/>
        <v>1.5319923936296912E-2</v>
      </c>
      <c r="G568">
        <f t="shared" si="51"/>
        <v>-0.89836712321670265</v>
      </c>
      <c r="H568">
        <f t="shared" si="52"/>
        <v>-1.3224702772429997</v>
      </c>
    </row>
    <row r="569" spans="1:8" x14ac:dyDescent="0.45">
      <c r="A569" s="2">
        <v>43194</v>
      </c>
      <c r="B569">
        <v>5141.8</v>
      </c>
      <c r="C569">
        <f t="shared" si="48"/>
        <v>-2.0030589349626648E-3</v>
      </c>
      <c r="D569">
        <f t="shared" si="49"/>
        <v>2.8671489669837027E-3</v>
      </c>
      <c r="E569">
        <f t="shared" si="50"/>
        <v>-4.8702079019463679E-3</v>
      </c>
      <c r="F569">
        <f t="shared" si="53"/>
        <v>2.7571442579571632E-2</v>
      </c>
      <c r="G569">
        <f t="shared" si="51"/>
        <v>-0.17663957509262959</v>
      </c>
      <c r="H569">
        <f t="shared" si="52"/>
        <v>-0.93453930294912502</v>
      </c>
    </row>
    <row r="570" spans="1:8" x14ac:dyDescent="0.45">
      <c r="A570" s="2">
        <v>43195</v>
      </c>
      <c r="B570">
        <v>5276.67</v>
      </c>
      <c r="C570">
        <f t="shared" si="48"/>
        <v>2.6230113967871116E-2</v>
      </c>
      <c r="D570">
        <f t="shared" si="49"/>
        <v>-4.8821840141133272E-3</v>
      </c>
      <c r="E570">
        <f t="shared" si="50"/>
        <v>3.1112297981984442E-2</v>
      </c>
      <c r="F570">
        <f t="shared" si="53"/>
        <v>1.1543475262931821E-2</v>
      </c>
      <c r="G570">
        <f t="shared" si="51"/>
        <v>2.6952280204464625</v>
      </c>
      <c r="H570">
        <f t="shared" si="52"/>
        <v>-4.5510655743045509</v>
      </c>
    </row>
    <row r="571" spans="1:8" x14ac:dyDescent="0.45">
      <c r="A571" s="2">
        <v>43196</v>
      </c>
      <c r="B571">
        <v>5258.24</v>
      </c>
      <c r="C571">
        <f t="shared" si="48"/>
        <v>-3.4927331062962752E-3</v>
      </c>
      <c r="D571">
        <f t="shared" si="49"/>
        <v>2.8621125509844941E-2</v>
      </c>
      <c r="E571">
        <f t="shared" si="50"/>
        <v>-3.2113858616141217E-2</v>
      </c>
      <c r="F571">
        <f t="shared" si="53"/>
        <v>7.8691080822411177E-2</v>
      </c>
      <c r="G571">
        <f t="shared" si="51"/>
        <v>-0.40810036258893534</v>
      </c>
      <c r="H571">
        <f t="shared" si="52"/>
        <v>-1.0022114861772828</v>
      </c>
    </row>
    <row r="572" spans="1:8" x14ac:dyDescent="0.45">
      <c r="A572" s="2">
        <v>43199</v>
      </c>
      <c r="B572">
        <v>5263.39</v>
      </c>
      <c r="C572">
        <f t="shared" si="48"/>
        <v>9.7941516553068375E-4</v>
      </c>
      <c r="D572">
        <f t="shared" si="49"/>
        <v>1.8841342632518632E-2</v>
      </c>
      <c r="E572">
        <f t="shared" si="50"/>
        <v>-1.7861927466987948E-2</v>
      </c>
      <c r="F572">
        <f t="shared" si="53"/>
        <v>2.2799792769542911E-2</v>
      </c>
      <c r="G572">
        <f t="shared" si="51"/>
        <v>-0.78342499195206683</v>
      </c>
      <c r="H572">
        <f t="shared" si="52"/>
        <v>-1.2258158922122206</v>
      </c>
    </row>
    <row r="573" spans="1:8" x14ac:dyDescent="0.45">
      <c r="A573" s="2">
        <v>43200</v>
      </c>
      <c r="B573">
        <v>5307.56</v>
      </c>
      <c r="C573">
        <f t="shared" si="48"/>
        <v>8.3919299158907723E-3</v>
      </c>
      <c r="D573">
        <f t="shared" si="49"/>
        <v>-1.9133795041822608E-3</v>
      </c>
      <c r="E573">
        <f t="shared" si="50"/>
        <v>1.0305309420073034E-2</v>
      </c>
      <c r="F573">
        <f t="shared" si="53"/>
        <v>2.4732989925275534E-2</v>
      </c>
      <c r="G573">
        <f t="shared" si="51"/>
        <v>0.41666250021561957</v>
      </c>
      <c r="H573">
        <f t="shared" si="52"/>
        <v>-1.0057423527476383</v>
      </c>
    </row>
    <row r="574" spans="1:8" x14ac:dyDescent="0.45">
      <c r="A574" s="2">
        <v>43201</v>
      </c>
      <c r="B574">
        <v>5277.94</v>
      </c>
      <c r="C574">
        <f t="shared" si="48"/>
        <v>-5.5807188237158023E-3</v>
      </c>
      <c r="D574">
        <f t="shared" si="49"/>
        <v>1.0570540506980539E-2</v>
      </c>
      <c r="E574">
        <f t="shared" si="50"/>
        <v>-1.615125933069634E-2</v>
      </c>
      <c r="F574">
        <f t="shared" si="53"/>
        <v>1.5675211847888094E-2</v>
      </c>
      <c r="G574">
        <f t="shared" si="51"/>
        <v>-1.0303694449190097</v>
      </c>
      <c r="H574">
        <f t="shared" si="52"/>
        <v>-1.4497691297160267</v>
      </c>
    </row>
    <row r="575" spans="1:8" x14ac:dyDescent="0.45">
      <c r="A575" s="2">
        <v>43202</v>
      </c>
      <c r="B575">
        <v>5309.22</v>
      </c>
      <c r="C575">
        <f t="shared" si="48"/>
        <v>5.9265546785300938E-3</v>
      </c>
      <c r="D575">
        <f t="shared" si="49"/>
        <v>8.6050944176766907E-4</v>
      </c>
      <c r="E575">
        <f t="shared" si="50"/>
        <v>5.0660452367624247E-3</v>
      </c>
      <c r="F575">
        <f t="shared" si="53"/>
        <v>3.1226875810585156E-2</v>
      </c>
      <c r="G575">
        <f t="shared" si="51"/>
        <v>0.16223349615542257</v>
      </c>
      <c r="H575">
        <f t="shared" si="52"/>
        <v>-0.93209838684207846</v>
      </c>
    </row>
    <row r="576" spans="1:8" x14ac:dyDescent="0.45">
      <c r="A576" s="2">
        <v>43203</v>
      </c>
      <c r="B576">
        <v>5315.02</v>
      </c>
      <c r="C576">
        <f t="shared" si="48"/>
        <v>1.0924391906910191E-3</v>
      </c>
      <c r="D576">
        <f t="shared" si="49"/>
        <v>1.9926094093618988E-3</v>
      </c>
      <c r="E576">
        <f t="shared" si="50"/>
        <v>-9.0017021867087963E-4</v>
      </c>
      <c r="F576">
        <f t="shared" si="53"/>
        <v>1.1829104587514728E-2</v>
      </c>
      <c r="G576">
        <f t="shared" si="51"/>
        <v>-7.6097916964990131E-2</v>
      </c>
      <c r="H576">
        <f t="shared" si="52"/>
        <v>-0.92183397968787795</v>
      </c>
    </row>
    <row r="577" spans="1:8" x14ac:dyDescent="0.45">
      <c r="A577" s="2">
        <v>43206</v>
      </c>
      <c r="B577">
        <v>5312.96</v>
      </c>
      <c r="C577">
        <f t="shared" si="48"/>
        <v>-3.8758085576351409E-4</v>
      </c>
      <c r="D577">
        <f t="shared" si="49"/>
        <v>6.4355875271805592E-3</v>
      </c>
      <c r="E577">
        <f t="shared" si="50"/>
        <v>-6.8231683829440733E-3</v>
      </c>
      <c r="F577">
        <f t="shared" si="53"/>
        <v>8.984826448246306E-3</v>
      </c>
      <c r="G577">
        <f t="shared" si="51"/>
        <v>-0.75941014801413842</v>
      </c>
      <c r="H577">
        <f t="shared" si="52"/>
        <v>-1.2072904196581005</v>
      </c>
    </row>
    <row r="578" spans="1:8" x14ac:dyDescent="0.45">
      <c r="A578" s="2">
        <v>43207</v>
      </c>
      <c r="B578">
        <v>5353.54</v>
      </c>
      <c r="C578">
        <f t="shared" si="48"/>
        <v>7.6379268806840983E-3</v>
      </c>
      <c r="D578">
        <f t="shared" si="49"/>
        <v>5.0439377595455528E-4</v>
      </c>
      <c r="E578">
        <f t="shared" si="50"/>
        <v>7.1335331047295428E-3</v>
      </c>
      <c r="F578">
        <f t="shared" si="53"/>
        <v>2.3632304522278585E-2</v>
      </c>
      <c r="G578">
        <f t="shared" si="51"/>
        <v>0.30185516177673816</v>
      </c>
      <c r="H578">
        <f t="shared" si="52"/>
        <v>-0.96449680255030301</v>
      </c>
    </row>
    <row r="579" spans="1:8" x14ac:dyDescent="0.45">
      <c r="A579" s="2">
        <v>43208</v>
      </c>
      <c r="B579">
        <v>5380.17</v>
      </c>
      <c r="C579">
        <f t="shared" si="48"/>
        <v>4.9742787015694123E-3</v>
      </c>
      <c r="D579">
        <f t="shared" si="49"/>
        <v>8.5048972474989909E-3</v>
      </c>
      <c r="E579">
        <f t="shared" si="50"/>
        <v>-3.5306185459295786E-3</v>
      </c>
      <c r="F579">
        <f t="shared" si="53"/>
        <v>1.3174979275144251E-2</v>
      </c>
      <c r="G579">
        <f t="shared" si="51"/>
        <v>-0.267979058805079</v>
      </c>
      <c r="H579">
        <f t="shared" si="52"/>
        <v>-0.95484492118370068</v>
      </c>
    </row>
    <row r="580" spans="1:8" x14ac:dyDescent="0.45">
      <c r="A580" s="2">
        <v>43209</v>
      </c>
      <c r="B580">
        <v>5391.64</v>
      </c>
      <c r="C580">
        <f t="shared" ref="C580:C643" si="54">B580/B579-1</f>
        <v>2.1319028952617725E-3</v>
      </c>
      <c r="D580">
        <f t="shared" si="49"/>
        <v>1.2423043076023344E-2</v>
      </c>
      <c r="E580">
        <f t="shared" si="50"/>
        <v>-1.0291140180761571E-2</v>
      </c>
      <c r="F580">
        <f t="shared" si="53"/>
        <v>1.1747716274745303E-2</v>
      </c>
      <c r="G580">
        <f t="shared" si="51"/>
        <v>-0.87601197884604931</v>
      </c>
      <c r="H580">
        <f t="shared" si="52"/>
        <v>-1.3026370267455583</v>
      </c>
    </row>
    <row r="581" spans="1:8" x14ac:dyDescent="0.45">
      <c r="A581" s="2">
        <v>43210</v>
      </c>
      <c r="B581">
        <v>5412.83</v>
      </c>
      <c r="C581">
        <f t="shared" si="54"/>
        <v>3.9301585417423901E-3</v>
      </c>
      <c r="D581">
        <f t="shared" si="49"/>
        <v>6.8082209826519713E-3</v>
      </c>
      <c r="E581">
        <f t="shared" si="50"/>
        <v>-2.8780624409095812E-3</v>
      </c>
      <c r="F581">
        <f t="shared" si="53"/>
        <v>2.6868778734232285E-2</v>
      </c>
      <c r="G581">
        <f t="shared" si="51"/>
        <v>-0.10711549152931067</v>
      </c>
      <c r="H581">
        <f t="shared" si="52"/>
        <v>-0.92467539746745553</v>
      </c>
    </row>
    <row r="582" spans="1:8" x14ac:dyDescent="0.45">
      <c r="A582" s="2">
        <v>43213</v>
      </c>
      <c r="B582">
        <v>5438.55</v>
      </c>
      <c r="C582">
        <f t="shared" si="54"/>
        <v>4.7516733390851051E-3</v>
      </c>
      <c r="D582">
        <f t="shared" ref="D582:D645" si="55">SUMPRODUCT(C580:C581,$O$8:$O$9)</f>
        <v>6.4103017071277454E-3</v>
      </c>
      <c r="E582">
        <f t="shared" ref="E582:E645" si="56">C582-D582</f>
        <v>-1.6586283680426403E-3</v>
      </c>
      <c r="F582">
        <f t="shared" si="53"/>
        <v>1.0710766246963408E-2</v>
      </c>
      <c r="G582">
        <f t="shared" ref="G582:G645" si="57">E582/F582</f>
        <v>-0.15485618206940846</v>
      </c>
      <c r="H582">
        <f t="shared" ref="H582:H645" si="58">-(G582^2)/2-LN(2*PI())/2</f>
        <v>-0.93092875176722956</v>
      </c>
    </row>
    <row r="583" spans="1:8" x14ac:dyDescent="0.45">
      <c r="A583" s="2">
        <v>43214</v>
      </c>
      <c r="B583">
        <v>5444.16</v>
      </c>
      <c r="C583">
        <f t="shared" si="54"/>
        <v>1.0315249469068366E-3</v>
      </c>
      <c r="D583">
        <f t="shared" si="55"/>
        <v>8.930372863492653E-3</v>
      </c>
      <c r="E583">
        <f t="shared" si="56"/>
        <v>-7.8988479165858164E-3</v>
      </c>
      <c r="F583">
        <f t="shared" ref="F583:F646" si="59">SQRT($O$4+$O$5*F582^2+$O$6*G582^2)</f>
        <v>9.7354164571300961E-3</v>
      </c>
      <c r="G583">
        <f t="shared" si="57"/>
        <v>-0.81135182571473863</v>
      </c>
      <c r="H583">
        <f t="shared" si="58"/>
        <v>-1.2480844257499926</v>
      </c>
    </row>
    <row r="584" spans="1:8" x14ac:dyDescent="0.45">
      <c r="A584" s="2">
        <v>43215</v>
      </c>
      <c r="B584">
        <v>5413.3</v>
      </c>
      <c r="C584">
        <f t="shared" si="54"/>
        <v>-5.6684594133896704E-3</v>
      </c>
      <c r="D584">
        <f t="shared" si="55"/>
        <v>5.3400054381360675E-3</v>
      </c>
      <c r="E584">
        <f t="shared" si="56"/>
        <v>-1.1008464851525738E-2</v>
      </c>
      <c r="F584">
        <f t="shared" si="59"/>
        <v>2.5057755439028877E-2</v>
      </c>
      <c r="G584">
        <f t="shared" si="57"/>
        <v>-0.43932366082476121</v>
      </c>
      <c r="H584">
        <f t="shared" si="58"/>
        <v>-1.0154411726849075</v>
      </c>
    </row>
    <row r="585" spans="1:8" x14ac:dyDescent="0.45">
      <c r="A585" s="2">
        <v>43216</v>
      </c>
      <c r="B585">
        <v>5453.58</v>
      </c>
      <c r="C585">
        <f t="shared" si="54"/>
        <v>7.4409325180573305E-3</v>
      </c>
      <c r="D585">
        <f t="shared" si="55"/>
        <v>-5.6628574395444081E-3</v>
      </c>
      <c r="E585">
        <f t="shared" si="56"/>
        <v>1.3103789957601739E-2</v>
      </c>
      <c r="F585">
        <f t="shared" si="59"/>
        <v>1.6212874954802795E-2</v>
      </c>
      <c r="G585">
        <f t="shared" si="57"/>
        <v>0.80823357943187979</v>
      </c>
      <c r="H585">
        <f t="shared" si="58"/>
        <v>-1.245559292665307</v>
      </c>
    </row>
    <row r="586" spans="1:8" x14ac:dyDescent="0.45">
      <c r="A586" s="2">
        <v>43217</v>
      </c>
      <c r="B586">
        <v>5483.19</v>
      </c>
      <c r="C586">
        <f t="shared" si="54"/>
        <v>5.4294610145995126E-3</v>
      </c>
      <c r="D586">
        <f t="shared" si="55"/>
        <v>3.6693768459298689E-3</v>
      </c>
      <c r="E586">
        <f t="shared" si="56"/>
        <v>1.7600841686696437E-3</v>
      </c>
      <c r="F586">
        <f t="shared" si="59"/>
        <v>2.5141077076048509E-2</v>
      </c>
      <c r="G586">
        <f t="shared" si="57"/>
        <v>7.0008304073274838E-2</v>
      </c>
      <c r="H586">
        <f t="shared" si="58"/>
        <v>-0.92138911452428074</v>
      </c>
    </row>
    <row r="587" spans="1:8" x14ac:dyDescent="0.45">
      <c r="A587" s="2">
        <v>43220</v>
      </c>
      <c r="B587">
        <v>5520.5</v>
      </c>
      <c r="C587">
        <f t="shared" si="54"/>
        <v>6.8044331857914919E-3</v>
      </c>
      <c r="D587">
        <f t="shared" si="55"/>
        <v>1.2778171855393684E-2</v>
      </c>
      <c r="E587">
        <f t="shared" si="56"/>
        <v>-5.9737386696021924E-3</v>
      </c>
      <c r="F587">
        <f t="shared" si="59"/>
        <v>1.0231158732660303E-2</v>
      </c>
      <c r="G587">
        <f t="shared" si="57"/>
        <v>-0.58387703931643553</v>
      </c>
      <c r="H587">
        <f t="shared" si="58"/>
        <v>-1.0893947317251358</v>
      </c>
    </row>
    <row r="588" spans="1:8" x14ac:dyDescent="0.45">
      <c r="A588" s="2">
        <v>43222</v>
      </c>
      <c r="B588">
        <v>5529.22</v>
      </c>
      <c r="C588">
        <f t="shared" si="54"/>
        <v>1.5795670682003937E-3</v>
      </c>
      <c r="D588">
        <f t="shared" si="55"/>
        <v>1.2615127396844728E-2</v>
      </c>
      <c r="E588">
        <f t="shared" si="56"/>
        <v>-1.1035560328644334E-2</v>
      </c>
      <c r="F588">
        <f t="shared" si="59"/>
        <v>1.9003754651638633E-2</v>
      </c>
      <c r="G588">
        <f t="shared" si="57"/>
        <v>-0.58070420982270321</v>
      </c>
      <c r="H588">
        <f t="shared" si="58"/>
        <v>-1.0875472228575778</v>
      </c>
    </row>
    <row r="589" spans="1:8" x14ac:dyDescent="0.45">
      <c r="A589" s="2">
        <v>43223</v>
      </c>
      <c r="B589">
        <v>5501.66</v>
      </c>
      <c r="C589">
        <f t="shared" si="54"/>
        <v>-4.9844281833604231E-3</v>
      </c>
      <c r="D589">
        <f t="shared" si="55"/>
        <v>7.7655039191629324E-3</v>
      </c>
      <c r="E589">
        <f t="shared" si="56"/>
        <v>-1.2749932102523356E-2</v>
      </c>
      <c r="F589">
        <f t="shared" si="59"/>
        <v>1.9258823345058403E-2</v>
      </c>
      <c r="G589">
        <f t="shared" si="57"/>
        <v>-0.66203068973031753</v>
      </c>
      <c r="H589">
        <f t="shared" si="58"/>
        <v>-1.1380808502770727</v>
      </c>
    </row>
    <row r="590" spans="1:8" x14ac:dyDescent="0.45">
      <c r="A590" s="2">
        <v>43224</v>
      </c>
      <c r="B590">
        <v>5516.05</v>
      </c>
      <c r="C590">
        <f t="shared" si="54"/>
        <v>2.6155742085116618E-3</v>
      </c>
      <c r="D590">
        <f t="shared" si="55"/>
        <v>-4.3927445223967826E-3</v>
      </c>
      <c r="E590">
        <f t="shared" si="56"/>
        <v>7.0083187309084444E-3</v>
      </c>
      <c r="F590">
        <f t="shared" si="59"/>
        <v>2.1365730273590369E-2</v>
      </c>
      <c r="G590">
        <f t="shared" si="57"/>
        <v>0.32801681202403121</v>
      </c>
      <c r="H590">
        <f t="shared" si="58"/>
        <v>-0.97273604768987698</v>
      </c>
    </row>
    <row r="591" spans="1:8" x14ac:dyDescent="0.45">
      <c r="A591" s="2">
        <v>43227</v>
      </c>
      <c r="B591">
        <v>5531.42</v>
      </c>
      <c r="C591">
        <f t="shared" si="54"/>
        <v>2.7864141913143126E-3</v>
      </c>
      <c r="D591">
        <f t="shared" si="55"/>
        <v>-1.3205336998601989E-3</v>
      </c>
      <c r="E591">
        <f t="shared" si="56"/>
        <v>4.1069478911745115E-3</v>
      </c>
      <c r="F591">
        <f t="shared" si="59"/>
        <v>1.3503224367787753E-2</v>
      </c>
      <c r="G591">
        <f t="shared" si="57"/>
        <v>0.30414571951953406</v>
      </c>
      <c r="H591">
        <f t="shared" si="58"/>
        <v>-0.9651908425557002</v>
      </c>
    </row>
    <row r="592" spans="1:8" x14ac:dyDescent="0.45">
      <c r="A592" s="2">
        <v>43228</v>
      </c>
      <c r="B592">
        <v>5521.93</v>
      </c>
      <c r="C592">
        <f t="shared" si="54"/>
        <v>-1.7156534850002458E-3</v>
      </c>
      <c r="D592">
        <f t="shared" si="55"/>
        <v>5.5080873323432953E-3</v>
      </c>
      <c r="E592">
        <f t="shared" si="56"/>
        <v>-7.2237408173435411E-3</v>
      </c>
      <c r="F592">
        <f t="shared" si="59"/>
        <v>1.248485519186756E-2</v>
      </c>
      <c r="G592">
        <f t="shared" si="57"/>
        <v>-0.57860028861600044</v>
      </c>
      <c r="H592">
        <f t="shared" si="58"/>
        <v>-1.0863276801979322</v>
      </c>
    </row>
    <row r="593" spans="1:8" x14ac:dyDescent="0.45">
      <c r="A593" s="2">
        <v>43229</v>
      </c>
      <c r="B593">
        <v>5534.63</v>
      </c>
      <c r="C593">
        <f t="shared" si="54"/>
        <v>2.2999204988110034E-3</v>
      </c>
      <c r="D593">
        <f t="shared" si="55"/>
        <v>4.4472934305289907E-4</v>
      </c>
      <c r="E593">
        <f t="shared" si="56"/>
        <v>1.8551911557581043E-3</v>
      </c>
      <c r="F593">
        <f t="shared" si="59"/>
        <v>1.8935332209626919E-2</v>
      </c>
      <c r="G593">
        <f t="shared" si="57"/>
        <v>9.7975104699504864E-2</v>
      </c>
      <c r="H593">
        <f t="shared" si="58"/>
        <v>-0.92373809377511218</v>
      </c>
    </row>
    <row r="594" spans="1:8" x14ac:dyDescent="0.45">
      <c r="A594" s="2">
        <v>43230</v>
      </c>
      <c r="B594">
        <v>5545.95</v>
      </c>
      <c r="C594">
        <f t="shared" si="54"/>
        <v>2.0453038414491864E-3</v>
      </c>
      <c r="D594">
        <f t="shared" si="55"/>
        <v>1.1659382105364681E-3</v>
      </c>
      <c r="E594">
        <f t="shared" si="56"/>
        <v>8.7936563091271834E-4</v>
      </c>
      <c r="F594">
        <f t="shared" si="59"/>
        <v>9.7419364061749596E-3</v>
      </c>
      <c r="G594">
        <f t="shared" si="57"/>
        <v>9.0265999925366935E-2</v>
      </c>
      <c r="H594">
        <f t="shared" si="58"/>
        <v>-0.92301250857593586</v>
      </c>
    </row>
    <row r="595" spans="1:8" x14ac:dyDescent="0.45">
      <c r="A595" s="2">
        <v>43231</v>
      </c>
      <c r="B595">
        <v>5541.94</v>
      </c>
      <c r="C595">
        <f t="shared" si="54"/>
        <v>-7.230501537157652E-4</v>
      </c>
      <c r="D595">
        <f t="shared" si="55"/>
        <v>4.3746427435101803E-3</v>
      </c>
      <c r="E595">
        <f t="shared" si="56"/>
        <v>-5.0976928972259455E-3</v>
      </c>
      <c r="F595">
        <f t="shared" si="59"/>
        <v>8.9695237502878371E-3</v>
      </c>
      <c r="G595">
        <f t="shared" si="57"/>
        <v>-0.56833484576729698</v>
      </c>
      <c r="H595">
        <f t="shared" si="58"/>
        <v>-1.0804407816613413</v>
      </c>
    </row>
    <row r="596" spans="1:8" x14ac:dyDescent="0.45">
      <c r="A596" s="2">
        <v>43234</v>
      </c>
      <c r="B596">
        <v>5540.68</v>
      </c>
      <c r="C596">
        <f t="shared" si="54"/>
        <v>-2.2735720704292195E-4</v>
      </c>
      <c r="D596">
        <f t="shared" si="55"/>
        <v>9.4734581868422853E-4</v>
      </c>
      <c r="E596">
        <f t="shared" si="56"/>
        <v>-1.1747030257271505E-3</v>
      </c>
      <c r="F596">
        <f t="shared" si="59"/>
        <v>1.8570079876366496E-2</v>
      </c>
      <c r="G596">
        <f t="shared" si="57"/>
        <v>-6.3257833759894314E-2</v>
      </c>
      <c r="H596">
        <f t="shared" si="58"/>
        <v>-0.92093930997066986</v>
      </c>
    </row>
    <row r="597" spans="1:8" x14ac:dyDescent="0.45">
      <c r="A597" s="2">
        <v>43235</v>
      </c>
      <c r="B597">
        <v>5553.16</v>
      </c>
      <c r="C597">
        <f t="shared" si="54"/>
        <v>2.2524311095388772E-3</v>
      </c>
      <c r="D597">
        <f t="shared" si="55"/>
        <v>-8.940745005984812E-4</v>
      </c>
      <c r="E597">
        <f t="shared" si="56"/>
        <v>3.1465056101373581E-3</v>
      </c>
      <c r="F597">
        <f t="shared" si="59"/>
        <v>9.4606805002889621E-3</v>
      </c>
      <c r="G597">
        <f t="shared" si="57"/>
        <v>0.3325876621709456</v>
      </c>
      <c r="H597">
        <f t="shared" si="58"/>
        <v>-0.97424580971884023</v>
      </c>
    </row>
    <row r="598" spans="1:8" x14ac:dyDescent="0.45">
      <c r="A598" s="2">
        <v>43236</v>
      </c>
      <c r="B598">
        <v>5567.54</v>
      </c>
      <c r="C598">
        <f t="shared" si="54"/>
        <v>2.5895165995577507E-3</v>
      </c>
      <c r="D598">
        <f t="shared" si="55"/>
        <v>2.4094598051443614E-3</v>
      </c>
      <c r="E598">
        <f t="shared" si="56"/>
        <v>1.8005679441338929E-4</v>
      </c>
      <c r="F598">
        <f t="shared" si="59"/>
        <v>1.2902014383028466E-2</v>
      </c>
      <c r="G598">
        <f t="shared" si="57"/>
        <v>1.3955711803440487E-2</v>
      </c>
      <c r="H598">
        <f t="shared" si="58"/>
        <v>-0.91903591415064301</v>
      </c>
    </row>
    <row r="599" spans="1:8" x14ac:dyDescent="0.45">
      <c r="A599" s="2">
        <v>43237</v>
      </c>
      <c r="B599">
        <v>5621.92</v>
      </c>
      <c r="C599">
        <f t="shared" si="54"/>
        <v>9.7673299159053428E-3</v>
      </c>
      <c r="D599">
        <f t="shared" si="55"/>
        <v>4.9632889673718907E-3</v>
      </c>
      <c r="E599">
        <f t="shared" si="56"/>
        <v>4.8040409485334522E-3</v>
      </c>
      <c r="F599">
        <f t="shared" si="59"/>
        <v>8.794691430111844E-3</v>
      </c>
      <c r="G599">
        <f t="shared" si="57"/>
        <v>0.54624326353111841</v>
      </c>
      <c r="H599">
        <f t="shared" si="58"/>
        <v>-1.0681293846812361</v>
      </c>
    </row>
    <row r="600" spans="1:8" x14ac:dyDescent="0.45">
      <c r="A600" s="2">
        <v>43238</v>
      </c>
      <c r="B600">
        <v>5614.51</v>
      </c>
      <c r="C600">
        <f t="shared" si="54"/>
        <v>-1.3180550416939107E-3</v>
      </c>
      <c r="D600">
        <f t="shared" si="55"/>
        <v>1.3567729675280884E-2</v>
      </c>
      <c r="E600">
        <f t="shared" si="56"/>
        <v>-1.4885784716974795E-2</v>
      </c>
      <c r="F600">
        <f t="shared" si="59"/>
        <v>1.7998852738220987E-2</v>
      </c>
      <c r="G600">
        <f t="shared" si="57"/>
        <v>-0.82704075273444966</v>
      </c>
      <c r="H600">
        <f t="shared" si="58"/>
        <v>-1.2609367365464552</v>
      </c>
    </row>
    <row r="601" spans="1:8" x14ac:dyDescent="0.45">
      <c r="A601" s="2">
        <v>43241</v>
      </c>
      <c r="B601">
        <v>5637.51</v>
      </c>
      <c r="C601">
        <f t="shared" si="54"/>
        <v>4.0965284592957563E-3</v>
      </c>
      <c r="D601">
        <f t="shared" si="55"/>
        <v>6.9957484463419473E-3</v>
      </c>
      <c r="E601">
        <f t="shared" si="56"/>
        <v>-2.8992199870461911E-3</v>
      </c>
      <c r="F601">
        <f t="shared" si="59"/>
        <v>2.5710638329026776E-2</v>
      </c>
      <c r="G601">
        <f t="shared" si="57"/>
        <v>-0.11276343861805375</v>
      </c>
      <c r="H601">
        <f t="shared" si="58"/>
        <v>-0.92529632974915643</v>
      </c>
    </row>
    <row r="602" spans="1:8" x14ac:dyDescent="0.45">
      <c r="A602" s="2">
        <v>43242</v>
      </c>
      <c r="B602">
        <v>5640.1</v>
      </c>
      <c r="C602">
        <f t="shared" si="54"/>
        <v>4.5942268838539135E-4</v>
      </c>
      <c r="D602">
        <f t="shared" si="55"/>
        <v>3.5929135742471287E-3</v>
      </c>
      <c r="E602">
        <f t="shared" si="56"/>
        <v>-3.1334908858617373E-3</v>
      </c>
      <c r="F602">
        <f t="shared" si="59"/>
        <v>1.0616505291817999E-2</v>
      </c>
      <c r="G602">
        <f t="shared" si="57"/>
        <v>-0.29515276446729394</v>
      </c>
      <c r="H602">
        <f t="shared" si="58"/>
        <v>-0.96249611039101557</v>
      </c>
    </row>
    <row r="603" spans="1:8" x14ac:dyDescent="0.45">
      <c r="A603" s="2">
        <v>43243</v>
      </c>
      <c r="B603">
        <v>5565.85</v>
      </c>
      <c r="C603">
        <f t="shared" si="54"/>
        <v>-1.3164660201060219E-2</v>
      </c>
      <c r="D603">
        <f t="shared" si="55"/>
        <v>4.1060371744980105E-3</v>
      </c>
      <c r="E603">
        <f t="shared" si="56"/>
        <v>-1.7270697375558228E-2</v>
      </c>
      <c r="F603">
        <f t="shared" si="59"/>
        <v>1.215891475140499E-2</v>
      </c>
      <c r="G603">
        <f t="shared" si="57"/>
        <v>-1.4204143814366788</v>
      </c>
      <c r="H603">
        <f t="shared" si="58"/>
        <v>-1.9277270407007441</v>
      </c>
    </row>
    <row r="604" spans="1:8" x14ac:dyDescent="0.45">
      <c r="A604" s="2">
        <v>43244</v>
      </c>
      <c r="B604">
        <v>5548.45</v>
      </c>
      <c r="C604">
        <f t="shared" si="54"/>
        <v>-3.1262071381730205E-3</v>
      </c>
      <c r="D604">
        <f t="shared" si="55"/>
        <v>-1.4840968032664216E-2</v>
      </c>
      <c r="E604">
        <f t="shared" si="56"/>
        <v>1.1714760894491196E-2</v>
      </c>
      <c r="F604">
        <f t="shared" si="59"/>
        <v>4.2132201213049635E-2</v>
      </c>
      <c r="G604">
        <f t="shared" si="57"/>
        <v>0.27804768222892601</v>
      </c>
      <c r="H604">
        <f t="shared" si="58"/>
        <v>-0.95759379000111156</v>
      </c>
    </row>
    <row r="605" spans="1:8" x14ac:dyDescent="0.45">
      <c r="A605" s="2">
        <v>43245</v>
      </c>
      <c r="B605">
        <v>5542.55</v>
      </c>
      <c r="C605">
        <f t="shared" si="54"/>
        <v>-1.0633600374878593E-3</v>
      </c>
      <c r="D605">
        <f t="shared" si="55"/>
        <v>-1.5105325990617731E-2</v>
      </c>
      <c r="E605">
        <f t="shared" si="56"/>
        <v>1.4041965953129872E-2</v>
      </c>
      <c r="F605">
        <f t="shared" si="59"/>
        <v>1.4933607760902457E-2</v>
      </c>
      <c r="G605">
        <f t="shared" si="57"/>
        <v>0.94029294045696143</v>
      </c>
      <c r="H605">
        <f t="shared" si="58"/>
        <v>-1.3610139401412722</v>
      </c>
    </row>
    <row r="606" spans="1:8" x14ac:dyDescent="0.45">
      <c r="A606" s="2">
        <v>43248</v>
      </c>
      <c r="B606">
        <v>5508.93</v>
      </c>
      <c r="C606">
        <f t="shared" si="54"/>
        <v>-6.0658000378887023E-3</v>
      </c>
      <c r="D606">
        <f t="shared" si="55"/>
        <v>-3.9586820091267773E-3</v>
      </c>
      <c r="E606">
        <f t="shared" si="56"/>
        <v>-2.107118028761925E-3</v>
      </c>
      <c r="F606">
        <f t="shared" si="59"/>
        <v>2.8714252212717853E-2</v>
      </c>
      <c r="G606">
        <f t="shared" si="57"/>
        <v>-7.3382305523828323E-2</v>
      </c>
      <c r="H606">
        <f t="shared" si="58"/>
        <v>-0.92163101458666896</v>
      </c>
    </row>
    <row r="607" spans="1:8" x14ac:dyDescent="0.45">
      <c r="A607" s="2">
        <v>43249</v>
      </c>
      <c r="B607">
        <v>5438.06</v>
      </c>
      <c r="C607">
        <f t="shared" si="54"/>
        <v>-1.286456716640072E-2</v>
      </c>
      <c r="D607">
        <f t="shared" si="55"/>
        <v>-7.9506296785341792E-3</v>
      </c>
      <c r="E607">
        <f t="shared" si="56"/>
        <v>-4.9139374878665407E-3</v>
      </c>
      <c r="F607">
        <f t="shared" si="59"/>
        <v>1.0711743363116616E-2</v>
      </c>
      <c r="G607">
        <f t="shared" si="57"/>
        <v>-0.4587430188802446</v>
      </c>
      <c r="H607">
        <f t="shared" si="58"/>
        <v>-1.0241611118903529</v>
      </c>
    </row>
    <row r="608" spans="1:8" x14ac:dyDescent="0.45">
      <c r="A608" s="2">
        <v>43250</v>
      </c>
      <c r="B608">
        <v>5427.35</v>
      </c>
      <c r="C608">
        <f t="shared" si="54"/>
        <v>-1.9694523414600651E-3</v>
      </c>
      <c r="D608">
        <f t="shared" si="55"/>
        <v>-2.0186631098132173E-2</v>
      </c>
      <c r="E608">
        <f t="shared" si="56"/>
        <v>1.8217178756672107E-2</v>
      </c>
      <c r="F608">
        <f t="shared" si="59"/>
        <v>1.5867878448242063E-2</v>
      </c>
      <c r="G608">
        <f t="shared" si="57"/>
        <v>1.1480538382048366</v>
      </c>
      <c r="H608">
        <f t="shared" si="58"/>
        <v>-1.5779523409131013</v>
      </c>
    </row>
    <row r="609" spans="1:8" x14ac:dyDescent="0.45">
      <c r="A609" s="2">
        <v>43251</v>
      </c>
      <c r="B609">
        <v>5398.4</v>
      </c>
      <c r="C609">
        <f t="shared" si="54"/>
        <v>-5.3340949081965849E-3</v>
      </c>
      <c r="D609">
        <f t="shared" si="55"/>
        <v>-1.3504232163820842E-2</v>
      </c>
      <c r="E609">
        <f t="shared" si="56"/>
        <v>8.1701372556242571E-3</v>
      </c>
      <c r="F609">
        <f t="shared" si="59"/>
        <v>3.4515109214277549E-2</v>
      </c>
      <c r="G609">
        <f t="shared" si="57"/>
        <v>0.2367119050645968</v>
      </c>
      <c r="H609">
        <f t="shared" si="58"/>
        <v>-0.94695479620432799</v>
      </c>
    </row>
    <row r="610" spans="1:8" x14ac:dyDescent="0.45">
      <c r="A610" s="2">
        <v>43252</v>
      </c>
      <c r="B610">
        <v>5465.53</v>
      </c>
      <c r="C610">
        <f t="shared" si="54"/>
        <v>1.2435165975103857E-2</v>
      </c>
      <c r="D610">
        <f t="shared" si="55"/>
        <v>-7.8940193099971273E-3</v>
      </c>
      <c r="E610">
        <f t="shared" si="56"/>
        <v>2.0329185285100984E-2</v>
      </c>
      <c r="F610">
        <f t="shared" si="59"/>
        <v>1.3258804520458422E-2</v>
      </c>
      <c r="G610">
        <f t="shared" si="57"/>
        <v>1.5332592960197067</v>
      </c>
      <c r="H610">
        <f t="shared" si="58"/>
        <v>-2.0943805676200959</v>
      </c>
    </row>
    <row r="611" spans="1:8" x14ac:dyDescent="0.45">
      <c r="A611" s="2">
        <v>43255</v>
      </c>
      <c r="B611">
        <v>5472.91</v>
      </c>
      <c r="C611">
        <f t="shared" si="54"/>
        <v>1.3502807595970889E-3</v>
      </c>
      <c r="D611">
        <f t="shared" si="55"/>
        <v>9.7433345914829106E-3</v>
      </c>
      <c r="E611">
        <f t="shared" si="56"/>
        <v>-8.3930538318858217E-3</v>
      </c>
      <c r="F611">
        <f t="shared" si="59"/>
        <v>4.535617109401998E-2</v>
      </c>
      <c r="G611">
        <f t="shared" si="57"/>
        <v>-0.18504767112037837</v>
      </c>
      <c r="H611">
        <f t="shared" si="58"/>
        <v>-0.93605985349821053</v>
      </c>
    </row>
    <row r="612" spans="1:8" x14ac:dyDescent="0.45">
      <c r="A612" s="2">
        <v>43256</v>
      </c>
      <c r="B612">
        <v>5460.95</v>
      </c>
      <c r="C612">
        <f t="shared" si="54"/>
        <v>-2.1853090951614584E-3</v>
      </c>
      <c r="D612">
        <f t="shared" si="55"/>
        <v>1.2412724021840585E-2</v>
      </c>
      <c r="E612">
        <f t="shared" si="56"/>
        <v>-1.4598033117002043E-2</v>
      </c>
      <c r="F612">
        <f t="shared" si="59"/>
        <v>1.4174035073240851E-2</v>
      </c>
      <c r="G612">
        <f t="shared" si="57"/>
        <v>-1.0299137148716146</v>
      </c>
      <c r="H612">
        <f t="shared" si="58"/>
        <v>-1.4492996632449975</v>
      </c>
    </row>
    <row r="613" spans="1:8" x14ac:dyDescent="0.45">
      <c r="A613" s="2">
        <v>43257</v>
      </c>
      <c r="B613">
        <v>5457.56</v>
      </c>
      <c r="C613">
        <f t="shared" si="54"/>
        <v>-6.2077111125347084E-4</v>
      </c>
      <c r="D613">
        <f t="shared" si="55"/>
        <v>-1.3520224350348942E-3</v>
      </c>
      <c r="E613">
        <f t="shared" si="56"/>
        <v>7.3125132378142337E-4</v>
      </c>
      <c r="F613">
        <f t="shared" si="59"/>
        <v>3.1178171631590965E-2</v>
      </c>
      <c r="G613">
        <f t="shared" si="57"/>
        <v>2.3453951451100821E-2</v>
      </c>
      <c r="H613">
        <f t="shared" si="58"/>
        <v>-0.91921357712400797</v>
      </c>
    </row>
    <row r="614" spans="1:8" x14ac:dyDescent="0.45">
      <c r="A614" s="2">
        <v>43258</v>
      </c>
      <c r="B614">
        <v>5448.36</v>
      </c>
      <c r="C614">
        <f t="shared" si="54"/>
        <v>-1.6857350171139984E-3</v>
      </c>
      <c r="D614">
        <f t="shared" si="55"/>
        <v>-2.6253489216089688E-3</v>
      </c>
      <c r="E614">
        <f t="shared" si="56"/>
        <v>9.3961390449497041E-4</v>
      </c>
      <c r="F614">
        <f t="shared" si="59"/>
        <v>1.0866287781412579E-2</v>
      </c>
      <c r="G614">
        <f t="shared" si="57"/>
        <v>8.6470552169825188E-2</v>
      </c>
      <c r="H614">
        <f t="shared" si="58"/>
        <v>-0.92267711140094988</v>
      </c>
    </row>
    <row r="615" spans="1:8" x14ac:dyDescent="0.45">
      <c r="A615" s="2">
        <v>43259</v>
      </c>
      <c r="B615">
        <v>5450.22</v>
      </c>
      <c r="C615">
        <f t="shared" si="54"/>
        <v>3.4138713300890799E-4</v>
      </c>
      <c r="D615">
        <f t="shared" si="55"/>
        <v>-2.493321661166384E-3</v>
      </c>
      <c r="E615">
        <f t="shared" si="56"/>
        <v>2.834708794175292E-3</v>
      </c>
      <c r="F615">
        <f t="shared" si="59"/>
        <v>9.0027978729117133E-3</v>
      </c>
      <c r="G615">
        <f t="shared" si="57"/>
        <v>0.31486975873406803</v>
      </c>
      <c r="H615">
        <f t="shared" si="58"/>
        <v>-0.96851001568729778</v>
      </c>
    </row>
    <row r="616" spans="1:8" x14ac:dyDescent="0.45">
      <c r="A616" s="2">
        <v>43262</v>
      </c>
      <c r="B616">
        <v>5473.91</v>
      </c>
      <c r="C616">
        <f t="shared" si="54"/>
        <v>4.346613531196919E-3</v>
      </c>
      <c r="D616">
        <f t="shared" si="55"/>
        <v>-1.0755128584259801E-3</v>
      </c>
      <c r="E616">
        <f t="shared" si="56"/>
        <v>5.4221263896228993E-3</v>
      </c>
      <c r="F616">
        <f t="shared" si="59"/>
        <v>1.2505126912458692E-2</v>
      </c>
      <c r="G616">
        <f t="shared" si="57"/>
        <v>0.43359227200012712</v>
      </c>
      <c r="H616">
        <f t="shared" si="58"/>
        <v>-1.0129396623737887</v>
      </c>
    </row>
    <row r="617" spans="1:8" x14ac:dyDescent="0.45">
      <c r="A617" s="2">
        <v>43263</v>
      </c>
      <c r="B617">
        <v>5453.37</v>
      </c>
      <c r="C617">
        <f t="shared" si="54"/>
        <v>-3.7523452157598447E-3</v>
      </c>
      <c r="D617">
        <f t="shared" si="55"/>
        <v>5.3302822777069932E-3</v>
      </c>
      <c r="E617">
        <f t="shared" si="56"/>
        <v>-9.0826274934668379E-3</v>
      </c>
      <c r="F617">
        <f t="shared" si="59"/>
        <v>1.5329102570299987E-2</v>
      </c>
      <c r="G617">
        <f t="shared" si="57"/>
        <v>-0.59250875593098029</v>
      </c>
      <c r="H617">
        <f t="shared" si="58"/>
        <v>-1.0944718461321117</v>
      </c>
    </row>
    <row r="618" spans="1:8" x14ac:dyDescent="0.45">
      <c r="A618" s="2">
        <v>43264</v>
      </c>
      <c r="B618">
        <v>5452.73</v>
      </c>
      <c r="C618">
        <f t="shared" si="54"/>
        <v>-1.1735862411688114E-4</v>
      </c>
      <c r="D618">
        <f t="shared" si="55"/>
        <v>-5.5207752901117449E-4</v>
      </c>
      <c r="E618">
        <f t="shared" si="56"/>
        <v>4.3471890489429335E-4</v>
      </c>
      <c r="F618">
        <f t="shared" si="59"/>
        <v>1.9396710074060564E-2</v>
      </c>
      <c r="G618">
        <f t="shared" si="57"/>
        <v>2.2411991684901645E-2</v>
      </c>
      <c r="H618">
        <f t="shared" si="58"/>
        <v>-0.91918968189031469</v>
      </c>
    </row>
    <row r="619" spans="1:8" x14ac:dyDescent="0.45">
      <c r="A619" s="2">
        <v>43265</v>
      </c>
      <c r="B619">
        <v>5528.46</v>
      </c>
      <c r="C619">
        <f t="shared" si="54"/>
        <v>1.3888455874397021E-2</v>
      </c>
      <c r="D619">
        <f t="shared" si="55"/>
        <v>-3.4097097468676883E-3</v>
      </c>
      <c r="E619">
        <f t="shared" si="56"/>
        <v>1.7298165621264711E-2</v>
      </c>
      <c r="F619">
        <f t="shared" si="59"/>
        <v>9.3879191044719881E-3</v>
      </c>
      <c r="G619">
        <f t="shared" si="57"/>
        <v>1.842598495871639</v>
      </c>
      <c r="H619">
        <f t="shared" si="58"/>
        <v>-2.6165231416988859</v>
      </c>
    </row>
    <row r="620" spans="1:8" x14ac:dyDescent="0.45">
      <c r="A620" s="2">
        <v>43266</v>
      </c>
      <c r="B620">
        <v>5501.88</v>
      </c>
      <c r="C620">
        <f t="shared" si="54"/>
        <v>-4.8078488403642261E-3</v>
      </c>
      <c r="D620">
        <f t="shared" si="55"/>
        <v>1.5977408425673183E-2</v>
      </c>
      <c r="E620">
        <f t="shared" si="56"/>
        <v>-2.0785257266037409E-2</v>
      </c>
      <c r="F620">
        <f t="shared" si="59"/>
        <v>5.4148956635252911E-2</v>
      </c>
      <c r="G620">
        <f t="shared" si="57"/>
        <v>-0.38385332899480951</v>
      </c>
      <c r="H620">
        <f t="shared" si="58"/>
        <v>-0.99261022229487139</v>
      </c>
    </row>
    <row r="621" spans="1:8" x14ac:dyDescent="0.45">
      <c r="A621" s="2">
        <v>43269</v>
      </c>
      <c r="B621">
        <v>5450.48</v>
      </c>
      <c r="C621">
        <f t="shared" si="54"/>
        <v>-9.3422611907203468E-3</v>
      </c>
      <c r="D621">
        <f t="shared" si="55"/>
        <v>6.5509154918214846E-3</v>
      </c>
      <c r="E621">
        <f t="shared" si="56"/>
        <v>-1.5893176682541831E-2</v>
      </c>
      <c r="F621">
        <f t="shared" si="59"/>
        <v>1.8440365955856564E-2</v>
      </c>
      <c r="G621">
        <f t="shared" si="57"/>
        <v>-0.8618688327871411</v>
      </c>
      <c r="H621">
        <f t="shared" si="58"/>
        <v>-1.2903474756696072</v>
      </c>
    </row>
    <row r="622" spans="1:8" x14ac:dyDescent="0.45">
      <c r="A622" s="2">
        <v>43270</v>
      </c>
      <c r="B622">
        <v>5390.63</v>
      </c>
      <c r="C622">
        <f t="shared" si="54"/>
        <v>-1.09806842700092E-2</v>
      </c>
      <c r="D622">
        <f t="shared" si="55"/>
        <v>-1.5011036222023535E-2</v>
      </c>
      <c r="E622">
        <f t="shared" si="56"/>
        <v>4.0303519520143351E-3</v>
      </c>
      <c r="F622">
        <f t="shared" si="59"/>
        <v>2.6671598903839244E-2</v>
      </c>
      <c r="G622">
        <f t="shared" si="57"/>
        <v>0.15111024901601178</v>
      </c>
      <c r="H622">
        <f t="shared" si="58"/>
        <v>-0.93035568688351322</v>
      </c>
    </row>
    <row r="623" spans="1:8" x14ac:dyDescent="0.45">
      <c r="A623" s="2">
        <v>43271</v>
      </c>
      <c r="B623">
        <v>5372.31</v>
      </c>
      <c r="C623">
        <f t="shared" si="54"/>
        <v>-3.3984896014008781E-3</v>
      </c>
      <c r="D623">
        <f t="shared" si="55"/>
        <v>-2.086414208953901E-2</v>
      </c>
      <c r="E623">
        <f t="shared" si="56"/>
        <v>1.7465652488138132E-2</v>
      </c>
      <c r="F623">
        <f t="shared" si="59"/>
        <v>1.1124600044802691E-2</v>
      </c>
      <c r="G623">
        <f t="shared" si="57"/>
        <v>1.5700027342823819</v>
      </c>
      <c r="H623">
        <f t="shared" si="58"/>
        <v>-2.1513928260317501</v>
      </c>
    </row>
    <row r="624" spans="1:8" x14ac:dyDescent="0.45">
      <c r="A624" s="2">
        <v>43272</v>
      </c>
      <c r="B624">
        <v>5316.01</v>
      </c>
      <c r="C624">
        <f t="shared" si="54"/>
        <v>-1.0479663310568488E-2</v>
      </c>
      <c r="D624">
        <f t="shared" si="55"/>
        <v>-1.3515101376748728E-2</v>
      </c>
      <c r="E624">
        <f t="shared" si="56"/>
        <v>3.0354380661802398E-3</v>
      </c>
      <c r="F624">
        <f t="shared" si="59"/>
        <v>4.6374383982794809E-2</v>
      </c>
      <c r="G624">
        <f t="shared" si="57"/>
        <v>6.5455059571387655E-2</v>
      </c>
      <c r="H624">
        <f t="shared" si="58"/>
        <v>-0.92108071561641958</v>
      </c>
    </row>
    <row r="625" spans="1:8" x14ac:dyDescent="0.45">
      <c r="A625" s="2">
        <v>43273</v>
      </c>
      <c r="B625">
        <v>5387.38</v>
      </c>
      <c r="C625">
        <f t="shared" si="54"/>
        <v>1.3425482645818887E-2</v>
      </c>
      <c r="D625">
        <f t="shared" si="55"/>
        <v>-1.5098266457268106E-2</v>
      </c>
      <c r="E625">
        <f t="shared" si="56"/>
        <v>2.8523749103086991E-2</v>
      </c>
      <c r="F625">
        <f t="shared" si="59"/>
        <v>1.3429992581622209E-2</v>
      </c>
      <c r="G625">
        <f t="shared" si="57"/>
        <v>2.123884203936143</v>
      </c>
      <c r="H625">
        <f t="shared" si="58"/>
        <v>-3.1743805890694046</v>
      </c>
    </row>
    <row r="626" spans="1:8" x14ac:dyDescent="0.45">
      <c r="A626" s="2">
        <v>43276</v>
      </c>
      <c r="B626">
        <v>5283.86</v>
      </c>
      <c r="C626">
        <f t="shared" si="54"/>
        <v>-1.9215277184828294E-2</v>
      </c>
      <c r="D626">
        <f t="shared" si="55"/>
        <v>6.4005162346095542E-3</v>
      </c>
      <c r="E626">
        <f t="shared" si="56"/>
        <v>-2.561579341943785E-2</v>
      </c>
      <c r="F626">
        <f t="shared" si="59"/>
        <v>6.2259227189374683E-2</v>
      </c>
      <c r="G626">
        <f t="shared" si="57"/>
        <v>-0.41143770290501624</v>
      </c>
      <c r="H626">
        <f t="shared" si="58"/>
        <v>-1.003579024890551</v>
      </c>
    </row>
    <row r="627" spans="1:8" x14ac:dyDescent="0.45">
      <c r="A627" s="2">
        <v>43277</v>
      </c>
      <c r="B627">
        <v>5281.29</v>
      </c>
      <c r="C627">
        <f t="shared" si="54"/>
        <v>-4.8638684598001358E-4</v>
      </c>
      <c r="D627">
        <f t="shared" si="55"/>
        <v>-1.0533675867716235E-2</v>
      </c>
      <c r="E627">
        <f t="shared" si="56"/>
        <v>1.0047289021736221E-2</v>
      </c>
      <c r="F627">
        <f t="shared" si="59"/>
        <v>2.0146954454369956E-2</v>
      </c>
      <c r="G627">
        <f t="shared" si="57"/>
        <v>0.49870014073302893</v>
      </c>
      <c r="H627">
        <f t="shared" si="58"/>
        <v>-1.043289448388244</v>
      </c>
    </row>
    <row r="628" spans="1:8" x14ac:dyDescent="0.45">
      <c r="A628" s="2">
        <v>43278</v>
      </c>
      <c r="B628">
        <v>5327.2</v>
      </c>
      <c r="C628">
        <f t="shared" si="54"/>
        <v>8.6929519113700948E-3</v>
      </c>
      <c r="D628">
        <f t="shared" si="55"/>
        <v>-1.7328012987942454E-2</v>
      </c>
      <c r="E628">
        <f t="shared" si="56"/>
        <v>2.6020964899312549E-2</v>
      </c>
      <c r="F628">
        <f t="shared" si="59"/>
        <v>1.7280482626035081E-2</v>
      </c>
      <c r="G628">
        <f t="shared" si="57"/>
        <v>1.5058008194811008</v>
      </c>
      <c r="H628">
        <f t="shared" si="58"/>
        <v>-2.05265658717965</v>
      </c>
    </row>
    <row r="629" spans="1:8" x14ac:dyDescent="0.45">
      <c r="A629" s="2">
        <v>43279</v>
      </c>
      <c r="B629">
        <v>5275.64</v>
      </c>
      <c r="C629">
        <f t="shared" si="54"/>
        <v>-9.6786304249886213E-3</v>
      </c>
      <c r="D629">
        <f t="shared" si="55"/>
        <v>9.6401800684686751E-3</v>
      </c>
      <c r="E629">
        <f t="shared" si="56"/>
        <v>-1.9318810493457295E-2</v>
      </c>
      <c r="F629">
        <f t="shared" si="59"/>
        <v>4.4643921827123359E-2</v>
      </c>
      <c r="G629">
        <f t="shared" si="57"/>
        <v>-0.43273103488233811</v>
      </c>
      <c r="H629">
        <f t="shared" si="58"/>
        <v>-1.0125666074798423</v>
      </c>
    </row>
    <row r="630" spans="1:8" x14ac:dyDescent="0.45">
      <c r="A630" s="2">
        <v>43280</v>
      </c>
      <c r="B630">
        <v>5323.53</v>
      </c>
      <c r="C630">
        <f t="shared" si="54"/>
        <v>9.077571631119552E-3</v>
      </c>
      <c r="D630">
        <f t="shared" si="55"/>
        <v>-3.6213432262007213E-3</v>
      </c>
      <c r="E630">
        <f t="shared" si="56"/>
        <v>1.2698914857320272E-2</v>
      </c>
      <c r="F630">
        <f t="shared" si="59"/>
        <v>1.807012086331812E-2</v>
      </c>
      <c r="G630">
        <f t="shared" si="57"/>
        <v>0.70275760485358696</v>
      </c>
      <c r="H630">
        <f t="shared" si="58"/>
        <v>-1.1658726587944477</v>
      </c>
    </row>
    <row r="631" spans="1:8" x14ac:dyDescent="0.45">
      <c r="A631" s="2">
        <v>43283</v>
      </c>
      <c r="B631">
        <v>5276.76</v>
      </c>
      <c r="C631">
        <f t="shared" si="54"/>
        <v>-8.7855238911022093E-3</v>
      </c>
      <c r="D631">
        <f t="shared" si="55"/>
        <v>2.0654666931872803E-3</v>
      </c>
      <c r="E631">
        <f t="shared" si="56"/>
        <v>-1.085099058428949E-2</v>
      </c>
      <c r="F631">
        <f t="shared" si="59"/>
        <v>2.2384615226854015E-2</v>
      </c>
      <c r="G631">
        <f t="shared" si="57"/>
        <v>-0.48475216010288835</v>
      </c>
      <c r="H631">
        <f t="shared" si="58"/>
        <v>-1.0364308615668809</v>
      </c>
    </row>
    <row r="632" spans="1:8" x14ac:dyDescent="0.45">
      <c r="A632" s="2">
        <v>43284</v>
      </c>
      <c r="B632">
        <v>5316.77</v>
      </c>
      <c r="C632">
        <f t="shared" si="54"/>
        <v>7.5823042927858353E-3</v>
      </c>
      <c r="D632">
        <f t="shared" si="55"/>
        <v>-2.2517489832086148E-3</v>
      </c>
      <c r="E632">
        <f t="shared" si="56"/>
        <v>9.8340532759944501E-3</v>
      </c>
      <c r="F632">
        <f t="shared" si="59"/>
        <v>1.7083352904096079E-2</v>
      </c>
      <c r="G632">
        <f t="shared" si="57"/>
        <v>0.57565123961330433</v>
      </c>
      <c r="H632">
        <f t="shared" si="58"/>
        <v>-1.0846257080388395</v>
      </c>
    </row>
    <row r="633" spans="1:8" x14ac:dyDescent="0.45">
      <c r="A633" s="2">
        <v>43285</v>
      </c>
      <c r="B633">
        <v>5320.5</v>
      </c>
      <c r="C633">
        <f t="shared" si="54"/>
        <v>7.0155376290492732E-4</v>
      </c>
      <c r="D633">
        <f t="shared" si="55"/>
        <v>1.1134881322159267E-3</v>
      </c>
      <c r="E633">
        <f t="shared" si="56"/>
        <v>-4.119343693109994E-4</v>
      </c>
      <c r="F633">
        <f t="shared" si="59"/>
        <v>1.90395450051314E-2</v>
      </c>
      <c r="G633">
        <f t="shared" si="57"/>
        <v>-2.1635725496590274E-2</v>
      </c>
      <c r="H633">
        <f t="shared" si="58"/>
        <v>-0.91917258551355452</v>
      </c>
    </row>
    <row r="634" spans="1:8" x14ac:dyDescent="0.45">
      <c r="A634" s="2">
        <v>43286</v>
      </c>
      <c r="B634">
        <v>5366.32</v>
      </c>
      <c r="C634">
        <f t="shared" si="54"/>
        <v>8.6119725589699492E-3</v>
      </c>
      <c r="D634">
        <f t="shared" si="55"/>
        <v>7.4276305942712166E-3</v>
      </c>
      <c r="E634">
        <f t="shared" si="56"/>
        <v>1.1843419646987326E-3</v>
      </c>
      <c r="F634">
        <f t="shared" si="59"/>
        <v>9.3496138958461868E-3</v>
      </c>
      <c r="G634">
        <f t="shared" si="57"/>
        <v>0.12667282070598743</v>
      </c>
      <c r="H634">
        <f t="shared" si="58"/>
        <v>-0.92696153495747824</v>
      </c>
    </row>
    <row r="635" spans="1:8" x14ac:dyDescent="0.45">
      <c r="A635" s="2">
        <v>43287</v>
      </c>
      <c r="B635">
        <v>5375.77</v>
      </c>
      <c r="C635">
        <f t="shared" si="54"/>
        <v>1.7609833181773116E-3</v>
      </c>
      <c r="D635">
        <f t="shared" si="55"/>
        <v>1.0582874247149843E-2</v>
      </c>
      <c r="E635">
        <f t="shared" si="56"/>
        <v>-8.8218909289725315E-3</v>
      </c>
      <c r="F635">
        <f t="shared" si="59"/>
        <v>9.3127286770365147E-3</v>
      </c>
      <c r="G635">
        <f t="shared" si="57"/>
        <v>-0.94729388505924161</v>
      </c>
      <c r="H635">
        <f t="shared" si="58"/>
        <v>-1.3676213855399886</v>
      </c>
    </row>
    <row r="636" spans="1:8" x14ac:dyDescent="0.45">
      <c r="A636" s="2">
        <v>43290</v>
      </c>
      <c r="B636">
        <v>5398.11</v>
      </c>
      <c r="C636">
        <f t="shared" si="54"/>
        <v>4.1556837439100658E-3</v>
      </c>
      <c r="D636">
        <f t="shared" si="55"/>
        <v>9.5525804788878683E-3</v>
      </c>
      <c r="E636">
        <f t="shared" si="56"/>
        <v>-5.3968967349778026E-3</v>
      </c>
      <c r="F636">
        <f t="shared" si="59"/>
        <v>2.8788819239691926E-2</v>
      </c>
      <c r="G636">
        <f t="shared" si="57"/>
        <v>-0.18746502557273884</v>
      </c>
      <c r="H636">
        <f t="shared" si="58"/>
        <v>-0.9365101011111665</v>
      </c>
    </row>
    <row r="637" spans="1:8" x14ac:dyDescent="0.45">
      <c r="A637" s="2">
        <v>43291</v>
      </c>
      <c r="B637">
        <v>5434.36</v>
      </c>
      <c r="C637">
        <f t="shared" si="54"/>
        <v>6.715313322625871E-3</v>
      </c>
      <c r="D637">
        <f t="shared" si="55"/>
        <v>6.3477919579033038E-3</v>
      </c>
      <c r="E637">
        <f t="shared" si="56"/>
        <v>3.6752136472256725E-4</v>
      </c>
      <c r="F637">
        <f t="shared" si="59"/>
        <v>1.1832756005927574E-2</v>
      </c>
      <c r="G637">
        <f t="shared" si="57"/>
        <v>3.1059658843506855E-2</v>
      </c>
      <c r="H637">
        <f t="shared" si="58"/>
        <v>-0.91942088440841019</v>
      </c>
    </row>
    <row r="638" spans="1:8" x14ac:dyDescent="0.45">
      <c r="A638" s="2">
        <v>43292</v>
      </c>
      <c r="B638">
        <v>5353.93</v>
      </c>
      <c r="C638">
        <f t="shared" si="54"/>
        <v>-1.4800270869062659E-2</v>
      </c>
      <c r="D638">
        <f t="shared" si="55"/>
        <v>1.1400604952084939E-2</v>
      </c>
      <c r="E638">
        <f t="shared" si="56"/>
        <v>-2.62008758211476E-2</v>
      </c>
      <c r="F638">
        <f t="shared" si="59"/>
        <v>8.7560043163962403E-3</v>
      </c>
      <c r="G638">
        <f t="shared" si="57"/>
        <v>-2.9923324468998489</v>
      </c>
      <c r="H638">
        <f t="shared" si="58"/>
        <v>-5.3959652695894906</v>
      </c>
    </row>
    <row r="639" spans="1:8" x14ac:dyDescent="0.45">
      <c r="A639" s="2">
        <v>43293</v>
      </c>
      <c r="B639">
        <v>5405.9</v>
      </c>
      <c r="C639">
        <f t="shared" si="54"/>
        <v>9.7068882110897814E-3</v>
      </c>
      <c r="D639">
        <f t="shared" si="55"/>
        <v>-1.1276528940199149E-2</v>
      </c>
      <c r="E639">
        <f t="shared" si="56"/>
        <v>2.098341715128893E-2</v>
      </c>
      <c r="F639">
        <f t="shared" si="59"/>
        <v>8.7248610249988104E-2</v>
      </c>
      <c r="G639">
        <f t="shared" si="57"/>
        <v>0.24050144857512834</v>
      </c>
      <c r="H639">
        <f t="shared" si="58"/>
        <v>-0.94785900658804023</v>
      </c>
    </row>
    <row r="640" spans="1:8" x14ac:dyDescent="0.45">
      <c r="A640" s="2">
        <v>43294</v>
      </c>
      <c r="B640">
        <v>5429.2</v>
      </c>
      <c r="C640">
        <f t="shared" si="54"/>
        <v>4.3101056253354031E-3</v>
      </c>
      <c r="D640">
        <f t="shared" si="55"/>
        <v>-1.6744344016723176E-3</v>
      </c>
      <c r="E640">
        <f t="shared" si="56"/>
        <v>5.9845400270077207E-3</v>
      </c>
      <c r="F640">
        <f t="shared" si="59"/>
        <v>2.2350891130454277E-2</v>
      </c>
      <c r="G640">
        <f t="shared" si="57"/>
        <v>0.26775397867038359</v>
      </c>
      <c r="H640">
        <f t="shared" si="58"/>
        <v>-0.95478462975158274</v>
      </c>
    </row>
    <row r="641" spans="1:8" x14ac:dyDescent="0.45">
      <c r="A641" s="2">
        <v>43297</v>
      </c>
      <c r="B641">
        <v>5409.43</v>
      </c>
      <c r="C641">
        <f t="shared" si="54"/>
        <v>-3.6414204671036954E-3</v>
      </c>
      <c r="D641">
        <f t="shared" si="55"/>
        <v>1.3459196311789809E-2</v>
      </c>
      <c r="E641">
        <f t="shared" si="56"/>
        <v>-1.7100616778893504E-2</v>
      </c>
      <c r="F641">
        <f t="shared" si="59"/>
        <v>1.2420424580645874E-2</v>
      </c>
      <c r="G641">
        <f t="shared" si="57"/>
        <v>-1.376814187619684</v>
      </c>
      <c r="H641">
        <f t="shared" si="58"/>
        <v>-1.8667471868200978</v>
      </c>
    </row>
    <row r="642" spans="1:8" x14ac:dyDescent="0.45">
      <c r="A642" s="2">
        <v>43298</v>
      </c>
      <c r="B642">
        <v>5422.54</v>
      </c>
      <c r="C642">
        <f t="shared" si="54"/>
        <v>2.4235455491612434E-3</v>
      </c>
      <c r="D642">
        <f t="shared" si="55"/>
        <v>-4.555031767184115E-4</v>
      </c>
      <c r="E642">
        <f t="shared" si="56"/>
        <v>2.8790487258796549E-3</v>
      </c>
      <c r="F642">
        <f t="shared" si="59"/>
        <v>4.0899271148793617E-2</v>
      </c>
      <c r="G642">
        <f t="shared" si="57"/>
        <v>7.0393643823273275E-2</v>
      </c>
      <c r="H642">
        <f t="shared" si="58"/>
        <v>-0.9214161657500316</v>
      </c>
    </row>
    <row r="643" spans="1:8" x14ac:dyDescent="0.45">
      <c r="A643" s="2">
        <v>43299</v>
      </c>
      <c r="B643">
        <v>5447.44</v>
      </c>
      <c r="C643">
        <f t="shared" si="54"/>
        <v>4.591943996724801E-3</v>
      </c>
      <c r="D643">
        <f t="shared" si="55"/>
        <v>-3.7111793444118048E-4</v>
      </c>
      <c r="E643">
        <f t="shared" si="56"/>
        <v>4.9630619311659815E-3</v>
      </c>
      <c r="F643">
        <f t="shared" si="59"/>
        <v>1.2527938353962808E-2</v>
      </c>
      <c r="G643">
        <f t="shared" si="57"/>
        <v>0.39615951092192897</v>
      </c>
      <c r="H643">
        <f t="shared" si="58"/>
        <v>-0.99740971225162367</v>
      </c>
    </row>
    <row r="644" spans="1:8" x14ac:dyDescent="0.45">
      <c r="A644" s="2">
        <v>43300</v>
      </c>
      <c r="B644">
        <v>5417.07</v>
      </c>
      <c r="C644">
        <f t="shared" ref="C644:C707" si="60">B644/B643-1</f>
        <v>-5.575095824827736E-3</v>
      </c>
      <c r="D644">
        <f t="shared" si="55"/>
        <v>7.4309562896825269E-3</v>
      </c>
      <c r="E644">
        <f t="shared" si="56"/>
        <v>-1.3006052114510263E-2</v>
      </c>
      <c r="F644">
        <f t="shared" si="59"/>
        <v>1.4451867018506441E-2</v>
      </c>
      <c r="G644">
        <f t="shared" si="57"/>
        <v>-0.89995653141945398</v>
      </c>
      <c r="H644">
        <f t="shared" si="58"/>
        <v>-1.3238994124269401</v>
      </c>
    </row>
    <row r="645" spans="1:8" x14ac:dyDescent="0.45">
      <c r="A645" s="2">
        <v>43301</v>
      </c>
      <c r="B645">
        <v>5398.32</v>
      </c>
      <c r="C645">
        <f t="shared" si="60"/>
        <v>-3.4612807292503378E-3</v>
      </c>
      <c r="D645">
        <f t="shared" si="55"/>
        <v>-2.4483798307699473E-3</v>
      </c>
      <c r="E645">
        <f t="shared" si="56"/>
        <v>-1.0129008984803905E-3</v>
      </c>
      <c r="F645">
        <f t="shared" si="59"/>
        <v>2.7591560952666717E-2</v>
      </c>
      <c r="G645">
        <f t="shared" si="57"/>
        <v>-3.6710532623290888E-2</v>
      </c>
      <c r="H645">
        <f t="shared" si="58"/>
        <v>-0.91961236480741548</v>
      </c>
    </row>
    <row r="646" spans="1:8" x14ac:dyDescent="0.45">
      <c r="A646" s="2">
        <v>43304</v>
      </c>
      <c r="B646">
        <v>5378.25</v>
      </c>
      <c r="C646">
        <f t="shared" si="60"/>
        <v>-3.7178233228114532E-3</v>
      </c>
      <c r="D646">
        <f t="shared" ref="D646:D709" si="61">SUMPRODUCT(C644:C645,$O$8:$O$9)</f>
        <v>-8.8715494004641526E-3</v>
      </c>
      <c r="E646">
        <f t="shared" ref="E646:E709" si="62">C646-D646</f>
        <v>5.1537260776526993E-3</v>
      </c>
      <c r="F646">
        <f t="shared" si="59"/>
        <v>1.0400454321809678E-2</v>
      </c>
      <c r="G646">
        <f t="shared" ref="G646:G709" si="63">E646/F646</f>
        <v>0.49552893731241843</v>
      </c>
      <c r="H646">
        <f t="shared" ref="H646:H709" si="64">-(G646^2)/2-LN(2*PI())/2</f>
        <v>-1.0417129970616601</v>
      </c>
    </row>
    <row r="647" spans="1:8" x14ac:dyDescent="0.45">
      <c r="A647" s="2">
        <v>43305</v>
      </c>
      <c r="B647">
        <v>5434.19</v>
      </c>
      <c r="C647">
        <f t="shared" si="60"/>
        <v>1.0401152791335466E-2</v>
      </c>
      <c r="D647">
        <f t="shared" si="61"/>
        <v>-7.3243151521520588E-3</v>
      </c>
      <c r="E647">
        <f t="shared" si="62"/>
        <v>1.7725467943487526E-2</v>
      </c>
      <c r="F647">
        <f t="shared" ref="F647:F710" si="65">SQRT($O$4+$O$5*F646^2+$O$6*G646^2)</f>
        <v>1.6763603957688725E-2</v>
      </c>
      <c r="G647">
        <f t="shared" si="63"/>
        <v>1.0573781144094399</v>
      </c>
      <c r="H647">
        <f t="shared" si="64"/>
        <v>-1.477962771620704</v>
      </c>
    </row>
    <row r="648" spans="1:8" x14ac:dyDescent="0.45">
      <c r="A648" s="2">
        <v>43306</v>
      </c>
      <c r="B648">
        <v>5426.41</v>
      </c>
      <c r="C648">
        <f t="shared" si="60"/>
        <v>-1.431676109962976E-3</v>
      </c>
      <c r="D648">
        <f t="shared" si="61"/>
        <v>8.7985506245040479E-3</v>
      </c>
      <c r="E648">
        <f t="shared" si="62"/>
        <v>-1.0230226734467024E-2</v>
      </c>
      <c r="F648">
        <f t="shared" si="65"/>
        <v>3.2005777795895717E-2</v>
      </c>
      <c r="G648">
        <f t="shared" si="63"/>
        <v>-0.3196368730579297</v>
      </c>
      <c r="H648">
        <f t="shared" si="64"/>
        <v>-0.97002239851379823</v>
      </c>
    </row>
    <row r="649" spans="1:8" x14ac:dyDescent="0.45">
      <c r="A649" s="2">
        <v>43307</v>
      </c>
      <c r="B649">
        <v>5480.55</v>
      </c>
      <c r="C649">
        <f t="shared" si="60"/>
        <v>9.9771303679596635E-3</v>
      </c>
      <c r="D649">
        <f t="shared" si="61"/>
        <v>7.4171957855372807E-3</v>
      </c>
      <c r="E649">
        <f t="shared" si="62"/>
        <v>2.5599345824223827E-3</v>
      </c>
      <c r="F649">
        <f t="shared" si="65"/>
        <v>1.4361974110491069E-2</v>
      </c>
      <c r="G649">
        <f t="shared" si="63"/>
        <v>0.17824392125539437</v>
      </c>
      <c r="H649">
        <f t="shared" si="64"/>
        <v>-0.93482398093692232</v>
      </c>
    </row>
    <row r="650" spans="1:8" x14ac:dyDescent="0.45">
      <c r="A650" s="2">
        <v>43308</v>
      </c>
      <c r="B650">
        <v>5511.76</v>
      </c>
      <c r="C650">
        <f t="shared" si="60"/>
        <v>5.6946839277078887E-3</v>
      </c>
      <c r="D650">
        <f t="shared" si="61"/>
        <v>1.0302235548844803E-2</v>
      </c>
      <c r="E650">
        <f t="shared" si="62"/>
        <v>-4.6075516211369141E-3</v>
      </c>
      <c r="F650">
        <f t="shared" si="65"/>
        <v>1.0292350350524339E-2</v>
      </c>
      <c r="G650">
        <f t="shared" si="63"/>
        <v>-0.4476675845864676</v>
      </c>
      <c r="H650">
        <f t="shared" si="64"/>
        <v>-1.0191416663494137</v>
      </c>
    </row>
    <row r="651" spans="1:8" x14ac:dyDescent="0.45">
      <c r="A651" s="2">
        <v>43311</v>
      </c>
      <c r="B651">
        <v>5491.22</v>
      </c>
      <c r="C651">
        <f t="shared" si="60"/>
        <v>-3.7265773546018011E-3</v>
      </c>
      <c r="D651">
        <f t="shared" si="61"/>
        <v>1.5298015843722895E-2</v>
      </c>
      <c r="E651">
        <f t="shared" si="62"/>
        <v>-1.9024593198324696E-2</v>
      </c>
      <c r="F651">
        <f t="shared" si="65"/>
        <v>1.558506865830428E-2</v>
      </c>
      <c r="G651">
        <f t="shared" si="63"/>
        <v>-1.2206935763601987</v>
      </c>
      <c r="H651">
        <f t="shared" si="64"/>
        <v>-1.6639849368881987</v>
      </c>
    </row>
    <row r="652" spans="1:8" x14ac:dyDescent="0.45">
      <c r="A652" s="2">
        <v>43312</v>
      </c>
      <c r="B652">
        <v>5511.3</v>
      </c>
      <c r="C652">
        <f t="shared" si="60"/>
        <v>3.6567465881898187E-3</v>
      </c>
      <c r="D652">
        <f t="shared" si="61"/>
        <v>6.5391614956840805E-4</v>
      </c>
      <c r="E652">
        <f t="shared" si="62"/>
        <v>3.0028304386214106E-3</v>
      </c>
      <c r="F652">
        <f t="shared" si="65"/>
        <v>3.6547662030224019E-2</v>
      </c>
      <c r="G652">
        <f t="shared" si="63"/>
        <v>8.216203915145498E-2</v>
      </c>
      <c r="H652">
        <f t="shared" si="64"/>
        <v>-0.92231383354343532</v>
      </c>
    </row>
    <row r="653" spans="1:8" x14ac:dyDescent="0.45">
      <c r="A653" s="2">
        <v>43313</v>
      </c>
      <c r="B653">
        <v>5498.37</v>
      </c>
      <c r="C653">
        <f t="shared" si="60"/>
        <v>-2.3460889445321431E-3</v>
      </c>
      <c r="D653">
        <f t="shared" si="61"/>
        <v>9.8236234699235377E-4</v>
      </c>
      <c r="E653">
        <f t="shared" si="62"/>
        <v>-3.3284512915244969E-3</v>
      </c>
      <c r="F653">
        <f t="shared" si="65"/>
        <v>1.1897371908822301E-2</v>
      </c>
      <c r="G653">
        <f t="shared" si="63"/>
        <v>-0.27976357442910049</v>
      </c>
      <c r="H653">
        <f t="shared" si="64"/>
        <v>-0.95807236199334611</v>
      </c>
    </row>
    <row r="654" spans="1:8" x14ac:dyDescent="0.45">
      <c r="A654" s="2">
        <v>43314</v>
      </c>
      <c r="B654">
        <v>5460.98</v>
      </c>
      <c r="C654">
        <f t="shared" si="60"/>
        <v>-6.800197149336995E-3</v>
      </c>
      <c r="D654">
        <f t="shared" si="61"/>
        <v>4.741674644394016E-4</v>
      </c>
      <c r="E654">
        <f t="shared" si="62"/>
        <v>-7.2743646137763962E-3</v>
      </c>
      <c r="F654">
        <f t="shared" si="65"/>
        <v>1.190951330993034E-2</v>
      </c>
      <c r="G654">
        <f t="shared" si="63"/>
        <v>-0.61080284512641803</v>
      </c>
      <c r="H654">
        <f t="shared" si="64"/>
        <v>-1.1054785910119362</v>
      </c>
    </row>
    <row r="655" spans="1:8" x14ac:dyDescent="0.45">
      <c r="A655" s="2">
        <v>43315</v>
      </c>
      <c r="B655">
        <v>5478.98</v>
      </c>
      <c r="C655">
        <f t="shared" si="60"/>
        <v>3.296111686913239E-3</v>
      </c>
      <c r="D655">
        <f t="shared" si="61"/>
        <v>-9.9200524563111837E-3</v>
      </c>
      <c r="E655">
        <f t="shared" si="62"/>
        <v>1.3216164143224423E-2</v>
      </c>
      <c r="F655">
        <f t="shared" si="65"/>
        <v>1.9750797282145374E-2</v>
      </c>
      <c r="G655">
        <f t="shared" si="63"/>
        <v>0.66914585545221361</v>
      </c>
      <c r="H655">
        <f t="shared" si="64"/>
        <v>-1.14281662113911</v>
      </c>
    </row>
    <row r="656" spans="1:8" x14ac:dyDescent="0.45">
      <c r="A656" s="2">
        <v>43318</v>
      </c>
      <c r="B656">
        <v>5477.18</v>
      </c>
      <c r="C656">
        <f t="shared" si="60"/>
        <v>-3.2852830271312694E-4</v>
      </c>
      <c r="D656">
        <f t="shared" si="61"/>
        <v>-2.1168360702353787E-3</v>
      </c>
      <c r="E656">
        <f t="shared" si="62"/>
        <v>1.7883077675222517E-3</v>
      </c>
      <c r="F656">
        <f t="shared" si="65"/>
        <v>2.1573895514380159E-2</v>
      </c>
      <c r="G656">
        <f t="shared" si="63"/>
        <v>8.2892204902459479E-2</v>
      </c>
      <c r="H656">
        <f t="shared" si="64"/>
        <v>-0.92237409202146836</v>
      </c>
    </row>
    <row r="657" spans="1:8" x14ac:dyDescent="0.45">
      <c r="A657" s="2">
        <v>43319</v>
      </c>
      <c r="B657">
        <v>5521.31</v>
      </c>
      <c r="C657">
        <f t="shared" si="60"/>
        <v>8.0570658623597691E-3</v>
      </c>
      <c r="D657">
        <f t="shared" si="61"/>
        <v>2.4954168289840258E-3</v>
      </c>
      <c r="E657">
        <f t="shared" si="62"/>
        <v>5.5616490333757432E-3</v>
      </c>
      <c r="F657">
        <f t="shared" si="65"/>
        <v>9.898100876717766E-3</v>
      </c>
      <c r="G657">
        <f t="shared" si="63"/>
        <v>0.56189051845872873</v>
      </c>
      <c r="H657">
        <f t="shared" si="64"/>
        <v>-1.0767990105715821</v>
      </c>
    </row>
    <row r="658" spans="1:8" x14ac:dyDescent="0.45">
      <c r="A658" s="2">
        <v>43320</v>
      </c>
      <c r="B658">
        <v>5501.9</v>
      </c>
      <c r="C658">
        <f t="shared" si="60"/>
        <v>-3.5154700605473099E-3</v>
      </c>
      <c r="D658">
        <f t="shared" si="61"/>
        <v>9.0416907031784458E-3</v>
      </c>
      <c r="E658">
        <f t="shared" si="62"/>
        <v>-1.2557160763725756E-2</v>
      </c>
      <c r="F658">
        <f t="shared" si="65"/>
        <v>1.8428079405463871E-2</v>
      </c>
      <c r="G658">
        <f t="shared" si="63"/>
        <v>-0.68141451354950178</v>
      </c>
      <c r="H658">
        <f t="shared" si="64"/>
        <v>-1.1511014028426247</v>
      </c>
    </row>
    <row r="659" spans="1:8" x14ac:dyDescent="0.45">
      <c r="A659" s="2">
        <v>43321</v>
      </c>
      <c r="B659">
        <v>5502.25</v>
      </c>
      <c r="C659">
        <f t="shared" si="60"/>
        <v>6.3614387757038315E-5</v>
      </c>
      <c r="D659">
        <f t="shared" si="61"/>
        <v>2.9594557103695129E-3</v>
      </c>
      <c r="E659">
        <f t="shared" si="62"/>
        <v>-2.8958413226124746E-3</v>
      </c>
      <c r="F659">
        <f t="shared" si="65"/>
        <v>2.1836913259011673E-2</v>
      </c>
      <c r="G659">
        <f t="shared" si="63"/>
        <v>-0.13261220980567923</v>
      </c>
      <c r="H659">
        <f t="shared" si="64"/>
        <v>-0.92773153229944538</v>
      </c>
    </row>
    <row r="660" spans="1:8" x14ac:dyDescent="0.45">
      <c r="A660" s="2">
        <v>43322</v>
      </c>
      <c r="B660">
        <v>5414.68</v>
      </c>
      <c r="C660">
        <f t="shared" si="60"/>
        <v>-1.5915307374255949E-2</v>
      </c>
      <c r="D660">
        <f t="shared" si="61"/>
        <v>-2.993514419234026E-3</v>
      </c>
      <c r="E660">
        <f t="shared" si="62"/>
        <v>-1.2921792955021924E-2</v>
      </c>
      <c r="F660">
        <f t="shared" si="65"/>
        <v>1.037148673126247E-2</v>
      </c>
      <c r="G660">
        <f t="shared" si="63"/>
        <v>-1.2458959153919698</v>
      </c>
      <c r="H660">
        <f t="shared" si="64"/>
        <v>-1.6950668491998697</v>
      </c>
    </row>
    <row r="661" spans="1:8" x14ac:dyDescent="0.45">
      <c r="A661" s="2">
        <v>43325</v>
      </c>
      <c r="B661">
        <v>5412.32</v>
      </c>
      <c r="C661">
        <f t="shared" si="60"/>
        <v>-4.3585216485564349E-4</v>
      </c>
      <c r="D661">
        <f t="shared" si="61"/>
        <v>-1.8370950751970407E-2</v>
      </c>
      <c r="E661">
        <f t="shared" si="62"/>
        <v>1.7935098587114763E-2</v>
      </c>
      <c r="F661">
        <f t="shared" si="65"/>
        <v>3.7165634346026204E-2</v>
      </c>
      <c r="G661">
        <f t="shared" si="63"/>
        <v>0.48257211003402145</v>
      </c>
      <c r="H661">
        <f t="shared" si="64"/>
        <v>-1.0353764538960166</v>
      </c>
    </row>
    <row r="662" spans="1:8" x14ac:dyDescent="0.45">
      <c r="A662" s="2">
        <v>43326</v>
      </c>
      <c r="B662">
        <v>5403.41</v>
      </c>
      <c r="C662">
        <f t="shared" si="60"/>
        <v>-1.646244124515861E-3</v>
      </c>
      <c r="D662">
        <f t="shared" si="61"/>
        <v>-1.4390357821228009E-2</v>
      </c>
      <c r="E662">
        <f t="shared" si="62"/>
        <v>1.2744113696712148E-2</v>
      </c>
      <c r="F662">
        <f t="shared" si="65"/>
        <v>1.828221434781899E-2</v>
      </c>
      <c r="G662">
        <f t="shared" si="63"/>
        <v>0.69707714034282064</v>
      </c>
      <c r="H662">
        <f t="shared" si="64"/>
        <v>-1.1618968029989349</v>
      </c>
    </row>
    <row r="663" spans="1:8" x14ac:dyDescent="0.45">
      <c r="A663" s="2">
        <v>43327</v>
      </c>
      <c r="B663">
        <v>5305.22</v>
      </c>
      <c r="C663">
        <f t="shared" si="60"/>
        <v>-1.8171858141432851E-2</v>
      </c>
      <c r="D663">
        <f t="shared" si="61"/>
        <v>-2.2862623385374011E-3</v>
      </c>
      <c r="E663">
        <f t="shared" si="62"/>
        <v>-1.588559580289545E-2</v>
      </c>
      <c r="F663">
        <f t="shared" si="65"/>
        <v>2.2243252916780754E-2</v>
      </c>
      <c r="G663">
        <f t="shared" si="63"/>
        <v>-0.71417592841877187</v>
      </c>
      <c r="H663">
        <f t="shared" si="64"/>
        <v>-1.17396216157108</v>
      </c>
    </row>
    <row r="664" spans="1:8" x14ac:dyDescent="0.45">
      <c r="A664" s="2">
        <v>43328</v>
      </c>
      <c r="B664">
        <v>5349.02</v>
      </c>
      <c r="C664">
        <f t="shared" si="60"/>
        <v>8.2560195430161354E-3</v>
      </c>
      <c r="D664">
        <f t="shared" si="61"/>
        <v>-2.2475355954284054E-2</v>
      </c>
      <c r="E664">
        <f t="shared" si="62"/>
        <v>3.0731375497300189E-2</v>
      </c>
      <c r="F664">
        <f t="shared" si="65"/>
        <v>2.2872192940992016E-2</v>
      </c>
      <c r="G664">
        <f t="shared" si="63"/>
        <v>1.3436129879012513</v>
      </c>
      <c r="H664">
        <f t="shared" si="64"/>
        <v>-1.8215864638331367</v>
      </c>
    </row>
    <row r="665" spans="1:8" x14ac:dyDescent="0.45">
      <c r="A665" s="2">
        <v>43329</v>
      </c>
      <c r="B665">
        <v>5344.93</v>
      </c>
      <c r="C665">
        <f t="shared" si="60"/>
        <v>-7.6462604364913034E-4</v>
      </c>
      <c r="D665">
        <f t="shared" si="61"/>
        <v>-6.295855310429933E-3</v>
      </c>
      <c r="E665">
        <f t="shared" si="62"/>
        <v>5.5312292667808027E-3</v>
      </c>
      <c r="F665">
        <f t="shared" si="65"/>
        <v>4.0189655324881911E-2</v>
      </c>
      <c r="G665">
        <f t="shared" si="63"/>
        <v>0.137628183722102</v>
      </c>
      <c r="H665">
        <f t="shared" si="64"/>
        <v>-0.92840929168199504</v>
      </c>
    </row>
    <row r="666" spans="1:8" x14ac:dyDescent="0.45">
      <c r="A666" s="2">
        <v>43332</v>
      </c>
      <c r="B666">
        <v>5379.65</v>
      </c>
      <c r="C666">
        <f t="shared" si="60"/>
        <v>6.4958755306430138E-3</v>
      </c>
      <c r="D666">
        <f t="shared" si="61"/>
        <v>6.3179152467981422E-3</v>
      </c>
      <c r="E666">
        <f t="shared" si="62"/>
        <v>1.7796028384487166E-4</v>
      </c>
      <c r="F666">
        <f t="shared" si="65"/>
        <v>1.287782574398298E-2</v>
      </c>
      <c r="G666">
        <f t="shared" si="63"/>
        <v>1.381912501246739E-2</v>
      </c>
      <c r="H666">
        <f t="shared" si="64"/>
        <v>-0.91903401731272782</v>
      </c>
    </row>
    <row r="667" spans="1:8" x14ac:dyDescent="0.45">
      <c r="A667" s="2">
        <v>43333</v>
      </c>
      <c r="B667">
        <v>5408.6</v>
      </c>
      <c r="C667">
        <f t="shared" si="60"/>
        <v>5.3813909826849748E-3</v>
      </c>
      <c r="D667">
        <f t="shared" si="61"/>
        <v>6.8536878364465663E-3</v>
      </c>
      <c r="E667">
        <f t="shared" si="62"/>
        <v>-1.4722968537615915E-3</v>
      </c>
      <c r="F667">
        <f t="shared" si="65"/>
        <v>8.7927304167181967E-3</v>
      </c>
      <c r="G667">
        <f t="shared" si="63"/>
        <v>-0.16744478495123843</v>
      </c>
      <c r="H667">
        <f t="shared" si="64"/>
        <v>-0.93295741120835596</v>
      </c>
    </row>
    <row r="668" spans="1:8" x14ac:dyDescent="0.45">
      <c r="A668" s="2">
        <v>43334</v>
      </c>
      <c r="B668">
        <v>5420.61</v>
      </c>
      <c r="C668">
        <f t="shared" si="60"/>
        <v>2.2205376622415063E-3</v>
      </c>
      <c r="D668">
        <f t="shared" si="61"/>
        <v>1.1897976971358984E-2</v>
      </c>
      <c r="E668">
        <f t="shared" si="62"/>
        <v>-9.6774393091174776E-3</v>
      </c>
      <c r="F668">
        <f t="shared" si="65"/>
        <v>9.8141418036174731E-3</v>
      </c>
      <c r="G668">
        <f t="shared" si="63"/>
        <v>-0.98607086618112572</v>
      </c>
      <c r="H668">
        <f t="shared" si="64"/>
        <v>-1.4051064097702706</v>
      </c>
    </row>
    <row r="669" spans="1:8" x14ac:dyDescent="0.45">
      <c r="A669" s="2">
        <v>43335</v>
      </c>
      <c r="B669">
        <v>5419.33</v>
      </c>
      <c r="C669">
        <f t="shared" si="60"/>
        <v>-2.3613578545578218E-4</v>
      </c>
      <c r="D669">
        <f t="shared" si="61"/>
        <v>7.2660367125889896E-3</v>
      </c>
      <c r="E669">
        <f t="shared" si="62"/>
        <v>-7.5021724980447718E-3</v>
      </c>
      <c r="F669">
        <f t="shared" si="65"/>
        <v>2.9873147932874572E-2</v>
      </c>
      <c r="G669">
        <f t="shared" si="63"/>
        <v>-0.25113431349458953</v>
      </c>
      <c r="H669">
        <f t="shared" si="64"/>
        <v>-0.95047275491187211</v>
      </c>
    </row>
    <row r="670" spans="1:8" x14ac:dyDescent="0.45">
      <c r="A670" s="2">
        <v>43336</v>
      </c>
      <c r="B670">
        <v>5432.5</v>
      </c>
      <c r="C670">
        <f t="shared" si="60"/>
        <v>2.4301897097980252E-3</v>
      </c>
      <c r="D670">
        <f t="shared" si="61"/>
        <v>1.6639738401298418E-3</v>
      </c>
      <c r="E670">
        <f t="shared" si="62"/>
        <v>7.6621586966818338E-4</v>
      </c>
      <c r="F670">
        <f t="shared" si="65"/>
        <v>1.2912029641426022E-2</v>
      </c>
      <c r="G670">
        <f t="shared" si="63"/>
        <v>5.9341241535715794E-2</v>
      </c>
      <c r="H670">
        <f t="shared" si="64"/>
        <v>-0.92069922467817278</v>
      </c>
    </row>
    <row r="671" spans="1:8" x14ac:dyDescent="0.45">
      <c r="A671" s="2">
        <v>43339</v>
      </c>
      <c r="B671">
        <v>5479.1</v>
      </c>
      <c r="C671">
        <f t="shared" si="60"/>
        <v>8.5780027611597198E-3</v>
      </c>
      <c r="D671">
        <f t="shared" si="61"/>
        <v>2.6076063671237322E-3</v>
      </c>
      <c r="E671">
        <f t="shared" si="62"/>
        <v>5.9703963940359872E-3</v>
      </c>
      <c r="F671">
        <f t="shared" si="65"/>
        <v>8.9532513583641341E-3</v>
      </c>
      <c r="G671">
        <f t="shared" si="63"/>
        <v>0.66684114575409958</v>
      </c>
      <c r="H671">
        <f t="shared" si="64"/>
        <v>-1.1412770900399929</v>
      </c>
    </row>
    <row r="672" spans="1:8" x14ac:dyDescent="0.45">
      <c r="A672" s="2">
        <v>43340</v>
      </c>
      <c r="B672">
        <v>5484.99</v>
      </c>
      <c r="C672">
        <f t="shared" si="60"/>
        <v>1.0749940683687509E-3</v>
      </c>
      <c r="D672">
        <f t="shared" si="61"/>
        <v>1.2051739358783238E-2</v>
      </c>
      <c r="E672">
        <f t="shared" si="62"/>
        <v>-1.0976745290414487E-2</v>
      </c>
      <c r="F672">
        <f t="shared" si="65"/>
        <v>2.1149138705117983E-2</v>
      </c>
      <c r="G672">
        <f t="shared" si="63"/>
        <v>-0.51901618517250403</v>
      </c>
      <c r="H672">
        <f t="shared" si="64"/>
        <v>-1.0536274334401821</v>
      </c>
    </row>
    <row r="673" spans="1:8" x14ac:dyDescent="0.45">
      <c r="A673" s="2">
        <v>43341</v>
      </c>
      <c r="B673">
        <v>5501.33</v>
      </c>
      <c r="C673">
        <f t="shared" si="60"/>
        <v>2.9790391595974075E-3</v>
      </c>
      <c r="D673">
        <f t="shared" si="61"/>
        <v>8.7287167675190267E-3</v>
      </c>
      <c r="E673">
        <f t="shared" si="62"/>
        <v>-5.7496776079216192E-3</v>
      </c>
      <c r="F673">
        <f t="shared" si="65"/>
        <v>1.7835414491759728E-2</v>
      </c>
      <c r="G673">
        <f t="shared" si="63"/>
        <v>-0.32237420725927457</v>
      </c>
      <c r="H673">
        <f t="shared" si="64"/>
        <v>-0.97090109795769552</v>
      </c>
    </row>
    <row r="674" spans="1:8" x14ac:dyDescent="0.45">
      <c r="A674" s="2">
        <v>43342</v>
      </c>
      <c r="B674">
        <v>5478.06</v>
      </c>
      <c r="C674">
        <f t="shared" si="60"/>
        <v>-4.2298862275121918E-3</v>
      </c>
      <c r="D674">
        <f t="shared" si="61"/>
        <v>4.3869846103625782E-3</v>
      </c>
      <c r="E674">
        <f t="shared" si="62"/>
        <v>-8.61687083787477E-3</v>
      </c>
      <c r="F674">
        <f t="shared" si="65"/>
        <v>1.3126368818740382E-2</v>
      </c>
      <c r="G674">
        <f t="shared" si="63"/>
        <v>-0.65645503008970396</v>
      </c>
      <c r="H674">
        <f t="shared" si="64"/>
        <v>-1.1344051364697096</v>
      </c>
    </row>
    <row r="675" spans="1:8" x14ac:dyDescent="0.45">
      <c r="A675" s="2">
        <v>43343</v>
      </c>
      <c r="B675">
        <v>5406.85</v>
      </c>
      <c r="C675">
        <f t="shared" si="60"/>
        <v>-1.2999127428323209E-2</v>
      </c>
      <c r="D675">
        <f t="shared" si="61"/>
        <v>-2.2981426933530295E-3</v>
      </c>
      <c r="E675">
        <f t="shared" si="62"/>
        <v>-1.070098473497018E-2</v>
      </c>
      <c r="F675">
        <f t="shared" si="65"/>
        <v>2.0984216508930689E-2</v>
      </c>
      <c r="G675">
        <f t="shared" si="63"/>
        <v>-0.50995398043171825</v>
      </c>
      <c r="H675">
        <f t="shared" si="64"/>
        <v>-1.0489650642837494</v>
      </c>
    </row>
    <row r="676" spans="1:8" x14ac:dyDescent="0.45">
      <c r="A676" s="2">
        <v>43346</v>
      </c>
      <c r="B676">
        <v>5413.8</v>
      </c>
      <c r="C676">
        <f t="shared" si="60"/>
        <v>1.2854064751195438E-3</v>
      </c>
      <c r="D676">
        <f t="shared" si="61"/>
        <v>-1.8740630347749563E-2</v>
      </c>
      <c r="E676">
        <f t="shared" si="62"/>
        <v>2.0026036822869107E-2</v>
      </c>
      <c r="F676">
        <f t="shared" si="65"/>
        <v>1.7604019694438429E-2</v>
      </c>
      <c r="G676">
        <f t="shared" si="63"/>
        <v>1.1375831867079687</v>
      </c>
      <c r="H676">
        <f t="shared" si="64"/>
        <v>-1.5659862865450012</v>
      </c>
    </row>
    <row r="677" spans="1:8" x14ac:dyDescent="0.45">
      <c r="A677" s="2">
        <v>43347</v>
      </c>
      <c r="B677">
        <v>5342.7</v>
      </c>
      <c r="C677">
        <f t="shared" si="60"/>
        <v>-1.3133104289039244E-2</v>
      </c>
      <c r="D677">
        <f t="shared" si="61"/>
        <v>-9.8532166484294956E-3</v>
      </c>
      <c r="E677">
        <f t="shared" si="62"/>
        <v>-3.279887640609748E-3</v>
      </c>
      <c r="F677">
        <f t="shared" si="65"/>
        <v>3.4264521482361775E-2</v>
      </c>
      <c r="G677">
        <f t="shared" si="63"/>
        <v>-9.5722557873692299E-2</v>
      </c>
      <c r="H677">
        <f t="shared" si="64"/>
        <v>-0.92351993724761383</v>
      </c>
    </row>
    <row r="678" spans="1:8" x14ac:dyDescent="0.45">
      <c r="A678" s="2">
        <v>43348</v>
      </c>
      <c r="B678">
        <v>5260.22</v>
      </c>
      <c r="C678">
        <f t="shared" si="60"/>
        <v>-1.5437887210586365E-2</v>
      </c>
      <c r="D678">
        <f t="shared" si="61"/>
        <v>-1.4083781498373528E-2</v>
      </c>
      <c r="E678">
        <f t="shared" si="62"/>
        <v>-1.3541057122128369E-3</v>
      </c>
      <c r="F678">
        <f t="shared" si="65"/>
        <v>1.1638938803864298E-2</v>
      </c>
      <c r="G678">
        <f t="shared" si="63"/>
        <v>-0.11634271259878555</v>
      </c>
      <c r="H678">
        <f t="shared" si="64"/>
        <v>-0.9257063465920945</v>
      </c>
    </row>
    <row r="679" spans="1:8" x14ac:dyDescent="0.45">
      <c r="A679" s="2">
        <v>43349</v>
      </c>
      <c r="B679">
        <v>5243.84</v>
      </c>
      <c r="C679">
        <f t="shared" si="60"/>
        <v>-3.1139382003034788E-3</v>
      </c>
      <c r="D679">
        <f t="shared" si="61"/>
        <v>-2.9332033002778479E-2</v>
      </c>
      <c r="E679">
        <f t="shared" si="62"/>
        <v>2.6218094802475E-2</v>
      </c>
      <c r="F679">
        <f t="shared" si="65"/>
        <v>9.3286916883075933E-3</v>
      </c>
      <c r="G679">
        <f t="shared" si="63"/>
        <v>2.8104792910388783</v>
      </c>
      <c r="H679">
        <f t="shared" si="64"/>
        <v>-4.8683354558838712</v>
      </c>
    </row>
    <row r="680" spans="1:8" x14ac:dyDescent="0.45">
      <c r="A680" s="2">
        <v>43350</v>
      </c>
      <c r="B680">
        <v>5252.22</v>
      </c>
      <c r="C680">
        <f t="shared" si="60"/>
        <v>1.5980655397571653E-3</v>
      </c>
      <c r="D680">
        <f t="shared" si="61"/>
        <v>-1.7074459019054609E-2</v>
      </c>
      <c r="E680">
        <f t="shared" si="62"/>
        <v>1.8672524558811774E-2</v>
      </c>
      <c r="F680">
        <f t="shared" si="65"/>
        <v>8.200165955984938E-2</v>
      </c>
      <c r="G680">
        <f t="shared" si="63"/>
        <v>0.22770910563320398</v>
      </c>
      <c r="H680">
        <f t="shared" si="64"/>
        <v>-0.94486425159880949</v>
      </c>
    </row>
    <row r="681" spans="1:8" x14ac:dyDescent="0.45">
      <c r="A681" s="2">
        <v>43353</v>
      </c>
      <c r="B681">
        <v>5269.63</v>
      </c>
      <c r="C681">
        <f t="shared" si="60"/>
        <v>3.3147887940718768E-3</v>
      </c>
      <c r="D681">
        <f t="shared" si="61"/>
        <v>-8.666276157462678E-4</v>
      </c>
      <c r="E681">
        <f t="shared" si="62"/>
        <v>4.181416409818145E-3</v>
      </c>
      <c r="F681">
        <f t="shared" si="65"/>
        <v>2.1212063863383309E-2</v>
      </c>
      <c r="G681">
        <f t="shared" si="63"/>
        <v>0.19712444940523632</v>
      </c>
      <c r="H681">
        <f t="shared" si="64"/>
        <v>-0.93836755748133149</v>
      </c>
    </row>
    <row r="682" spans="1:8" x14ac:dyDescent="0.45">
      <c r="A682" s="2">
        <v>43354</v>
      </c>
      <c r="B682">
        <v>5283.79</v>
      </c>
      <c r="C682">
        <f t="shared" si="60"/>
        <v>2.6870956784441624E-3</v>
      </c>
      <c r="D682">
        <f t="shared" si="61"/>
        <v>5.2320771312423745E-3</v>
      </c>
      <c r="E682">
        <f t="shared" si="62"/>
        <v>-2.5449814527982121E-3</v>
      </c>
      <c r="F682">
        <f t="shared" si="65"/>
        <v>1.1141348120556872E-2</v>
      </c>
      <c r="G682">
        <f t="shared" si="63"/>
        <v>-0.22842670610951232</v>
      </c>
      <c r="H682">
        <f t="shared" si="64"/>
        <v>-0.94502791323669344</v>
      </c>
    </row>
    <row r="683" spans="1:8" x14ac:dyDescent="0.45">
      <c r="A683" s="2">
        <v>43355</v>
      </c>
      <c r="B683">
        <v>5332.13</v>
      </c>
      <c r="C683">
        <f t="shared" si="60"/>
        <v>9.1487360398501139E-3</v>
      </c>
      <c r="D683">
        <f t="shared" si="61"/>
        <v>6.0031466582036817E-3</v>
      </c>
      <c r="E683">
        <f t="shared" si="62"/>
        <v>3.1455893816464322E-3</v>
      </c>
      <c r="F683">
        <f t="shared" si="65"/>
        <v>1.0908463069284374E-2</v>
      </c>
      <c r="G683">
        <f t="shared" si="63"/>
        <v>0.28836228913894024</v>
      </c>
      <c r="H683">
        <f t="shared" si="64"/>
        <v>-0.9605149381033975</v>
      </c>
    </row>
    <row r="684" spans="1:8" x14ac:dyDescent="0.45">
      <c r="A684" s="2">
        <v>43356</v>
      </c>
      <c r="B684">
        <v>5328.12</v>
      </c>
      <c r="C684">
        <f t="shared" si="60"/>
        <v>-7.5204468008094327E-4</v>
      </c>
      <c r="D684">
        <f t="shared" si="61"/>
        <v>1.2936668439722637E-2</v>
      </c>
      <c r="E684">
        <f t="shared" si="62"/>
        <v>-1.368871311980358E-2</v>
      </c>
      <c r="F684">
        <f t="shared" si="65"/>
        <v>1.2034041443913493E-2</v>
      </c>
      <c r="G684">
        <f t="shared" si="63"/>
        <v>-1.1374992502395758</v>
      </c>
      <c r="H684">
        <f t="shared" si="64"/>
        <v>-1.5658908053524712</v>
      </c>
    </row>
    <row r="685" spans="1:8" x14ac:dyDescent="0.45">
      <c r="A685" s="2">
        <v>43357</v>
      </c>
      <c r="B685">
        <v>5352.57</v>
      </c>
      <c r="C685">
        <f t="shared" si="60"/>
        <v>4.588860611247414E-3</v>
      </c>
      <c r="D685">
        <f t="shared" si="61"/>
        <v>7.1113561347109118E-3</v>
      </c>
      <c r="E685">
        <f t="shared" si="62"/>
        <v>-2.5224955234634978E-3</v>
      </c>
      <c r="F685">
        <f t="shared" si="65"/>
        <v>3.4141057584061031E-2</v>
      </c>
      <c r="G685">
        <f t="shared" si="63"/>
        <v>-7.3884516238335307E-2</v>
      </c>
      <c r="H685">
        <f t="shared" si="64"/>
        <v>-0.92166799407455913</v>
      </c>
    </row>
    <row r="686" spans="1:8" x14ac:dyDescent="0.45">
      <c r="A686" s="2">
        <v>43360</v>
      </c>
      <c r="B686">
        <v>5348.87</v>
      </c>
      <c r="C686">
        <f t="shared" si="60"/>
        <v>-6.9125672340575317E-4</v>
      </c>
      <c r="D686">
        <f t="shared" si="61"/>
        <v>4.6567576648845199E-3</v>
      </c>
      <c r="E686">
        <f t="shared" si="62"/>
        <v>-5.3480143882902731E-3</v>
      </c>
      <c r="F686">
        <f t="shared" si="65"/>
        <v>1.1485740643064244E-2</v>
      </c>
      <c r="G686">
        <f t="shared" si="63"/>
        <v>-0.46562207475228984</v>
      </c>
      <c r="H686">
        <f t="shared" si="64"/>
        <v>-1.0273404914529862</v>
      </c>
    </row>
    <row r="687" spans="1:8" x14ac:dyDescent="0.45">
      <c r="A687" s="2">
        <v>43361</v>
      </c>
      <c r="B687">
        <v>5363.79</v>
      </c>
      <c r="C687">
        <f t="shared" si="60"/>
        <v>2.7893742042712777E-3</v>
      </c>
      <c r="D687">
        <f t="shared" si="61"/>
        <v>3.2033498927171609E-3</v>
      </c>
      <c r="E687">
        <f t="shared" si="62"/>
        <v>-4.1397568844588322E-4</v>
      </c>
      <c r="F687">
        <f t="shared" si="65"/>
        <v>1.6062568487916973E-2</v>
      </c>
      <c r="G687">
        <f t="shared" si="63"/>
        <v>-2.5772695615728914E-2</v>
      </c>
      <c r="H687">
        <f t="shared" si="64"/>
        <v>-0.91927064912432321</v>
      </c>
    </row>
    <row r="688" spans="1:8" x14ac:dyDescent="0.45">
      <c r="A688" s="2">
        <v>43362</v>
      </c>
      <c r="B688">
        <v>5393.74</v>
      </c>
      <c r="C688">
        <f t="shared" si="60"/>
        <v>5.583738364104418E-3</v>
      </c>
      <c r="D688">
        <f t="shared" si="61"/>
        <v>2.6263811784607892E-3</v>
      </c>
      <c r="E688">
        <f t="shared" si="62"/>
        <v>2.9573571856436288E-3</v>
      </c>
      <c r="F688">
        <f t="shared" si="65"/>
        <v>9.0739249365973714E-3</v>
      </c>
      <c r="G688">
        <f t="shared" si="63"/>
        <v>0.32591818935110206</v>
      </c>
      <c r="H688">
        <f t="shared" si="64"/>
        <v>-0.97204986627962309</v>
      </c>
    </row>
    <row r="689" spans="1:8" x14ac:dyDescent="0.45">
      <c r="A689" s="2">
        <v>43363</v>
      </c>
      <c r="B689">
        <v>5451.59</v>
      </c>
      <c r="C689">
        <f t="shared" si="60"/>
        <v>1.0725396478139526E-2</v>
      </c>
      <c r="D689">
        <f t="shared" si="61"/>
        <v>8.8984147401826585E-3</v>
      </c>
      <c r="E689">
        <f t="shared" si="62"/>
        <v>1.8269817379568676E-3</v>
      </c>
      <c r="F689">
        <f t="shared" si="65"/>
        <v>1.2743786524212323E-2</v>
      </c>
      <c r="G689">
        <f t="shared" si="63"/>
        <v>0.14336255040726925</v>
      </c>
      <c r="H689">
        <f t="shared" si="64"/>
        <v>-0.92921494363431112</v>
      </c>
    </row>
    <row r="690" spans="1:8" x14ac:dyDescent="0.45">
      <c r="A690" s="2">
        <v>43364</v>
      </c>
      <c r="B690">
        <v>5494.17</v>
      </c>
      <c r="C690">
        <f t="shared" si="60"/>
        <v>7.8105653579965129E-3</v>
      </c>
      <c r="D690">
        <f t="shared" si="61"/>
        <v>1.7289350643921234E-2</v>
      </c>
      <c r="E690">
        <f t="shared" si="62"/>
        <v>-9.4787852859247214E-3</v>
      </c>
      <c r="F690">
        <f t="shared" si="65"/>
        <v>9.7100559989269242E-3</v>
      </c>
      <c r="G690">
        <f t="shared" si="63"/>
        <v>-0.97618235023281419</v>
      </c>
      <c r="H690">
        <f t="shared" si="64"/>
        <v>-1.3954045236577031</v>
      </c>
    </row>
    <row r="691" spans="1:8" x14ac:dyDescent="0.45">
      <c r="A691" s="2">
        <v>43367</v>
      </c>
      <c r="B691">
        <v>5476.17</v>
      </c>
      <c r="C691">
        <f t="shared" si="60"/>
        <v>-3.2762000447746908E-3</v>
      </c>
      <c r="D691">
        <f t="shared" si="61"/>
        <v>1.8400589608934377E-2</v>
      </c>
      <c r="E691">
        <f t="shared" si="62"/>
        <v>-2.1676789653709068E-2</v>
      </c>
      <c r="F691">
        <f t="shared" si="65"/>
        <v>2.9596693860833832E-2</v>
      </c>
      <c r="G691">
        <f t="shared" si="63"/>
        <v>-0.73240578003864798</v>
      </c>
      <c r="H691">
        <f t="shared" si="64"/>
        <v>-1.1871476465216828</v>
      </c>
    </row>
    <row r="692" spans="1:8" x14ac:dyDescent="0.45">
      <c r="A692" s="2">
        <v>43368</v>
      </c>
      <c r="B692">
        <v>5479.1</v>
      </c>
      <c r="C692">
        <f t="shared" si="60"/>
        <v>5.3504547886573661E-4</v>
      </c>
      <c r="D692">
        <f t="shared" si="61"/>
        <v>3.0214122077613374E-3</v>
      </c>
      <c r="E692">
        <f t="shared" si="62"/>
        <v>-2.4863667288956008E-3</v>
      </c>
      <c r="F692">
        <f t="shared" si="65"/>
        <v>2.3758649485110743E-2</v>
      </c>
      <c r="G692">
        <f t="shared" si="63"/>
        <v>-0.10465101269555648</v>
      </c>
      <c r="H692">
        <f t="shared" si="64"/>
        <v>-0.92441445043377546</v>
      </c>
    </row>
    <row r="693" spans="1:8" x14ac:dyDescent="0.45">
      <c r="A693" s="2">
        <v>43369</v>
      </c>
      <c r="B693">
        <v>5512.73</v>
      </c>
      <c r="C693">
        <f t="shared" si="60"/>
        <v>6.1378693581060073E-3</v>
      </c>
      <c r="D693">
        <f t="shared" si="61"/>
        <v>-2.2389425607086595E-3</v>
      </c>
      <c r="E693">
        <f t="shared" si="62"/>
        <v>8.3768119188146663E-3</v>
      </c>
      <c r="F693">
        <f t="shared" si="65"/>
        <v>1.0314016140603583E-2</v>
      </c>
      <c r="G693">
        <f t="shared" si="63"/>
        <v>0.81217750725028914</v>
      </c>
      <c r="H693">
        <f t="shared" si="64"/>
        <v>-1.2487546848463194</v>
      </c>
    </row>
    <row r="694" spans="1:8" x14ac:dyDescent="0.45">
      <c r="A694" s="2">
        <v>43370</v>
      </c>
      <c r="B694">
        <v>5540.41</v>
      </c>
      <c r="C694">
        <f t="shared" si="60"/>
        <v>5.0211056953632927E-3</v>
      </c>
      <c r="D694">
        <f t="shared" si="61"/>
        <v>7.573128039202081E-3</v>
      </c>
      <c r="E694">
        <f t="shared" si="62"/>
        <v>-2.5520223438387883E-3</v>
      </c>
      <c r="F694">
        <f t="shared" si="65"/>
        <v>2.5091872336619227E-2</v>
      </c>
      <c r="G694">
        <f t="shared" si="63"/>
        <v>-0.10170713088294937</v>
      </c>
      <c r="H694">
        <f t="shared" si="64"/>
        <v>-0.92411070344089341</v>
      </c>
    </row>
    <row r="695" spans="1:8" x14ac:dyDescent="0.45">
      <c r="A695" s="2">
        <v>43371</v>
      </c>
      <c r="B695">
        <v>5493.49</v>
      </c>
      <c r="C695">
        <f t="shared" si="60"/>
        <v>-8.4686873354138381E-3</v>
      </c>
      <c r="D695">
        <f t="shared" si="61"/>
        <v>1.1168493159169034E-2</v>
      </c>
      <c r="E695">
        <f t="shared" si="62"/>
        <v>-1.9637180494582872E-2</v>
      </c>
      <c r="F695">
        <f t="shared" si="65"/>
        <v>1.0446813958720389E-2</v>
      </c>
      <c r="G695">
        <f t="shared" si="63"/>
        <v>-1.8797291281511626</v>
      </c>
      <c r="H695">
        <f t="shared" si="64"/>
        <v>-2.6856293308146375</v>
      </c>
    </row>
    <row r="696" spans="1:8" x14ac:dyDescent="0.45">
      <c r="A696" s="2">
        <v>43374</v>
      </c>
      <c r="B696">
        <v>5506.82</v>
      </c>
      <c r="C696">
        <f t="shared" si="60"/>
        <v>2.4265084672949744E-3</v>
      </c>
      <c r="D696">
        <f t="shared" si="61"/>
        <v>-5.4240937303853994E-3</v>
      </c>
      <c r="E696">
        <f t="shared" si="62"/>
        <v>7.8506021976803737E-3</v>
      </c>
      <c r="F696">
        <f t="shared" si="65"/>
        <v>5.5222671770826653E-2</v>
      </c>
      <c r="G696">
        <f t="shared" si="63"/>
        <v>0.14216266518686868</v>
      </c>
      <c r="H696">
        <f t="shared" si="64"/>
        <v>-0.92904364489118951</v>
      </c>
    </row>
    <row r="697" spans="1:8" x14ac:dyDescent="0.45">
      <c r="A697" s="2">
        <v>43375</v>
      </c>
      <c r="B697">
        <v>5467.89</v>
      </c>
      <c r="C697">
        <f t="shared" si="60"/>
        <v>-7.069415742660845E-3</v>
      </c>
      <c r="D697">
        <f t="shared" si="61"/>
        <v>-4.57936577449278E-3</v>
      </c>
      <c r="E697">
        <f t="shared" si="62"/>
        <v>-2.4900499681680651E-3</v>
      </c>
      <c r="F697">
        <f t="shared" si="65"/>
        <v>1.5456059941910015E-2</v>
      </c>
      <c r="G697">
        <f t="shared" si="63"/>
        <v>-0.16110509259970895</v>
      </c>
      <c r="H697">
        <f t="shared" si="64"/>
        <v>-0.93191595863545307</v>
      </c>
    </row>
    <row r="698" spans="1:8" x14ac:dyDescent="0.45">
      <c r="A698" s="2">
        <v>43376</v>
      </c>
      <c r="B698">
        <v>5491.4</v>
      </c>
      <c r="C698">
        <f t="shared" si="60"/>
        <v>4.299647578864807E-3</v>
      </c>
      <c r="D698">
        <f t="shared" si="61"/>
        <v>-6.0677684159450209E-3</v>
      </c>
      <c r="E698">
        <f t="shared" si="62"/>
        <v>1.0367415994809828E-2</v>
      </c>
      <c r="F698">
        <f t="shared" si="65"/>
        <v>1.0132738209156741E-2</v>
      </c>
      <c r="G698">
        <f t="shared" si="63"/>
        <v>1.02316035219789</v>
      </c>
      <c r="H698">
        <f t="shared" si="64"/>
        <v>-1.4423670863595279</v>
      </c>
    </row>
    <row r="699" spans="1:8" x14ac:dyDescent="0.45">
      <c r="A699" s="2">
        <v>43377</v>
      </c>
      <c r="B699">
        <v>5410.85</v>
      </c>
      <c r="C699">
        <f t="shared" si="60"/>
        <v>-1.4668390574352541E-2</v>
      </c>
      <c r="D699">
        <f t="shared" si="61"/>
        <v>-1.1898474749270412E-3</v>
      </c>
      <c r="E699">
        <f t="shared" si="62"/>
        <v>-1.34785430994255E-2</v>
      </c>
      <c r="F699">
        <f t="shared" si="65"/>
        <v>3.091073648179235E-2</v>
      </c>
      <c r="G699">
        <f t="shared" si="63"/>
        <v>-0.43604729726724228</v>
      </c>
      <c r="H699">
        <f t="shared" si="64"/>
        <v>-1.0140071559317061</v>
      </c>
    </row>
    <row r="700" spans="1:8" x14ac:dyDescent="0.45">
      <c r="A700" s="2">
        <v>43378</v>
      </c>
      <c r="B700">
        <v>5359.36</v>
      </c>
      <c r="C700">
        <f t="shared" si="60"/>
        <v>-9.5160649435857003E-3</v>
      </c>
      <c r="D700">
        <f t="shared" si="61"/>
        <v>-1.3231452607721614E-2</v>
      </c>
      <c r="E700">
        <f t="shared" si="62"/>
        <v>3.7153876641359135E-3</v>
      </c>
      <c r="F700">
        <f t="shared" si="65"/>
        <v>1.6639780015182206E-2</v>
      </c>
      <c r="G700">
        <f t="shared" si="63"/>
        <v>0.22328346052327483</v>
      </c>
      <c r="H700">
        <f t="shared" si="64"/>
        <v>-0.94386628507629711</v>
      </c>
    </row>
    <row r="701" spans="1:8" x14ac:dyDescent="0.45">
      <c r="A701" s="2">
        <v>43381</v>
      </c>
      <c r="B701">
        <v>5300.25</v>
      </c>
      <c r="C701">
        <f t="shared" si="60"/>
        <v>-1.1029302006209663E-2</v>
      </c>
      <c r="D701">
        <f t="shared" si="61"/>
        <v>-2.3815356739092762E-2</v>
      </c>
      <c r="E701">
        <f t="shared" si="62"/>
        <v>1.27860547328831E-2</v>
      </c>
      <c r="F701">
        <f t="shared" si="65"/>
        <v>1.1167107751524793E-2</v>
      </c>
      <c r="G701">
        <f t="shared" si="63"/>
        <v>1.1449746001723007</v>
      </c>
      <c r="H701">
        <f t="shared" si="64"/>
        <v>-1.5744219507245325</v>
      </c>
    </row>
    <row r="702" spans="1:8" x14ac:dyDescent="0.45">
      <c r="A702" s="2">
        <v>43382</v>
      </c>
      <c r="B702">
        <v>5318.55</v>
      </c>
      <c r="C702">
        <f t="shared" si="60"/>
        <v>3.4526673270129926E-3</v>
      </c>
      <c r="D702">
        <f t="shared" si="61"/>
        <v>-2.1072070557097436E-2</v>
      </c>
      <c r="E702">
        <f t="shared" si="62"/>
        <v>2.4524737884110429E-2</v>
      </c>
      <c r="F702">
        <f t="shared" si="65"/>
        <v>3.4336124769743077E-2</v>
      </c>
      <c r="G702">
        <f t="shared" si="63"/>
        <v>0.7142546821626643</v>
      </c>
      <c r="H702">
        <f t="shared" si="64"/>
        <v>-1.1740184087003169</v>
      </c>
    </row>
    <row r="703" spans="1:8" x14ac:dyDescent="0.45">
      <c r="A703" s="2">
        <v>43383</v>
      </c>
      <c r="B703">
        <v>5206.22</v>
      </c>
      <c r="C703">
        <f t="shared" si="60"/>
        <v>-2.112041815908472E-2</v>
      </c>
      <c r="D703">
        <f t="shared" si="61"/>
        <v>-5.6253745903984912E-3</v>
      </c>
      <c r="E703">
        <f t="shared" si="62"/>
        <v>-1.5495043568686228E-2</v>
      </c>
      <c r="F703">
        <f t="shared" si="65"/>
        <v>2.3612906273187434E-2</v>
      </c>
      <c r="G703">
        <f t="shared" si="63"/>
        <v>-0.65621077682762508</v>
      </c>
      <c r="H703">
        <f t="shared" si="64"/>
        <v>-1.1342448250170303</v>
      </c>
    </row>
    <row r="704" spans="1:8" x14ac:dyDescent="0.45">
      <c r="A704" s="2">
        <v>43384</v>
      </c>
      <c r="B704">
        <v>5106.37</v>
      </c>
      <c r="C704">
        <f t="shared" si="60"/>
        <v>-1.9178982063762229E-2</v>
      </c>
      <c r="D704">
        <f t="shared" si="61"/>
        <v>-2.14404631625639E-2</v>
      </c>
      <c r="E704">
        <f t="shared" si="62"/>
        <v>2.2614810988016709E-3</v>
      </c>
      <c r="F704">
        <f t="shared" si="65"/>
        <v>2.1433672005444469E-2</v>
      </c>
      <c r="G704">
        <f t="shared" si="63"/>
        <v>0.1055106702308042</v>
      </c>
      <c r="H704">
        <f t="shared" si="64"/>
        <v>-0.92450478397094937</v>
      </c>
    </row>
    <row r="705" spans="1:8" x14ac:dyDescent="0.45">
      <c r="A705" s="2">
        <v>43385</v>
      </c>
      <c r="B705">
        <v>5095.9799999999996</v>
      </c>
      <c r="C705">
        <f t="shared" si="60"/>
        <v>-2.0347135048969234E-3</v>
      </c>
      <c r="D705">
        <f t="shared" si="61"/>
        <v>-4.0632150328781452E-2</v>
      </c>
      <c r="E705">
        <f t="shared" si="62"/>
        <v>3.8597436823884529E-2</v>
      </c>
      <c r="F705">
        <f t="shared" si="65"/>
        <v>1.0062702926487773E-2</v>
      </c>
      <c r="G705">
        <f t="shared" si="63"/>
        <v>3.8356927662333713</v>
      </c>
      <c r="H705">
        <f t="shared" si="64"/>
        <v>-8.2752080316721788</v>
      </c>
    </row>
    <row r="706" spans="1:8" x14ac:dyDescent="0.45">
      <c r="A706" s="2">
        <v>43388</v>
      </c>
      <c r="B706">
        <v>5095.07</v>
      </c>
      <c r="C706">
        <f t="shared" si="60"/>
        <v>-1.7857212940397549E-4</v>
      </c>
      <c r="D706">
        <f t="shared" si="61"/>
        <v>-1.9088970725684929E-2</v>
      </c>
      <c r="E706">
        <f t="shared" si="62"/>
        <v>1.8910398596280954E-2</v>
      </c>
      <c r="F706">
        <f t="shared" si="65"/>
        <v>0.11163517188753722</v>
      </c>
      <c r="G706">
        <f t="shared" si="63"/>
        <v>0.16939462963636179</v>
      </c>
      <c r="H706">
        <f t="shared" si="64"/>
        <v>-0.93328580347949275</v>
      </c>
    </row>
    <row r="707" spans="1:8" x14ac:dyDescent="0.45">
      <c r="A707" s="2">
        <v>43389</v>
      </c>
      <c r="B707">
        <v>5173.05</v>
      </c>
      <c r="C707">
        <f t="shared" si="60"/>
        <v>1.5304990902970994E-2</v>
      </c>
      <c r="D707">
        <f t="shared" si="61"/>
        <v>-1.9819878436620891E-3</v>
      </c>
      <c r="E707">
        <f t="shared" si="62"/>
        <v>1.7286978746633083E-2</v>
      </c>
      <c r="F707">
        <f t="shared" si="65"/>
        <v>2.6803454558529765E-2</v>
      </c>
      <c r="G707">
        <f t="shared" si="63"/>
        <v>0.64495338497819799</v>
      </c>
      <c r="H707">
        <f t="shared" si="64"/>
        <v>-1.1269209676020906</v>
      </c>
    </row>
    <row r="708" spans="1:8" x14ac:dyDescent="0.45">
      <c r="A708" s="2">
        <v>43390</v>
      </c>
      <c r="B708">
        <v>5144.95</v>
      </c>
      <c r="C708">
        <f t="shared" ref="C708:C735" si="66">B708/B707-1</f>
        <v>-5.431998530847415E-3</v>
      </c>
      <c r="D708">
        <f t="shared" si="61"/>
        <v>1.7564039504027601E-2</v>
      </c>
      <c r="E708">
        <f t="shared" si="62"/>
        <v>-2.2996038034875016E-2</v>
      </c>
      <c r="F708">
        <f t="shared" si="65"/>
        <v>2.1334034771294634E-2</v>
      </c>
      <c r="G708">
        <f t="shared" si="63"/>
        <v>-1.0779038415094664</v>
      </c>
      <c r="H708">
        <f t="shared" si="64"/>
        <v>-1.4998768789751051</v>
      </c>
    </row>
    <row r="709" spans="1:8" x14ac:dyDescent="0.45">
      <c r="A709" s="2">
        <v>43391</v>
      </c>
      <c r="B709">
        <v>5116.79</v>
      </c>
      <c r="C709">
        <f t="shared" si="66"/>
        <v>-5.4733282150457585E-3</v>
      </c>
      <c r="D709">
        <f t="shared" si="61"/>
        <v>7.0641802752989423E-3</v>
      </c>
      <c r="E709">
        <f t="shared" si="62"/>
        <v>-1.2537508490344702E-2</v>
      </c>
      <c r="F709">
        <f t="shared" si="65"/>
        <v>3.2711057029256134E-2</v>
      </c>
      <c r="G709">
        <f t="shared" si="63"/>
        <v>-0.3832804448701061</v>
      </c>
      <c r="H709">
        <f t="shared" si="64"/>
        <v>-0.99239048291458587</v>
      </c>
    </row>
    <row r="710" spans="1:8" x14ac:dyDescent="0.45">
      <c r="A710" s="2">
        <v>43392</v>
      </c>
      <c r="B710">
        <v>5084.66</v>
      </c>
      <c r="C710">
        <f t="shared" si="66"/>
        <v>-6.2793274689796341E-3</v>
      </c>
      <c r="D710">
        <f t="shared" ref="D710:D735" si="67">SUMPRODUCT(C708:C709,$O$8:$O$9)</f>
        <v>-1.1076212244546519E-2</v>
      </c>
      <c r="E710">
        <f t="shared" ref="E710:E735" si="68">C710-D710</f>
        <v>4.7968847755668845E-3</v>
      </c>
      <c r="F710">
        <f t="shared" si="65"/>
        <v>1.5691604586858546E-2</v>
      </c>
      <c r="G710">
        <f t="shared" ref="G710:G735" si="69">E710/F710</f>
        <v>0.30569753074100497</v>
      </c>
      <c r="H710">
        <f t="shared" ref="H710:H735" si="70">-(G710^2)/2-LN(2*PI())/2</f>
        <v>-0.96566402335524648</v>
      </c>
    </row>
    <row r="711" spans="1:8" x14ac:dyDescent="0.45">
      <c r="A711" s="2">
        <v>43395</v>
      </c>
      <c r="B711">
        <v>5053.3100000000004</v>
      </c>
      <c r="C711">
        <f t="shared" si="66"/>
        <v>-6.1656039931872186E-3</v>
      </c>
      <c r="D711">
        <f t="shared" si="67"/>
        <v>-1.2045442681535817E-2</v>
      </c>
      <c r="E711">
        <f t="shared" si="68"/>
        <v>5.8798386883485987E-3</v>
      </c>
      <c r="F711">
        <f t="shared" ref="F711:F735" si="71">SQRT($O$4+$O$5*F710^2+$O$6*G710^2)</f>
        <v>1.2644161241315101E-2</v>
      </c>
      <c r="G711">
        <f t="shared" si="69"/>
        <v>0.46502401987219877</v>
      </c>
      <c r="H711">
        <f t="shared" si="70"/>
        <v>-1.0270622027337222</v>
      </c>
    </row>
    <row r="712" spans="1:8" x14ac:dyDescent="0.45">
      <c r="A712" s="2">
        <v>43396</v>
      </c>
      <c r="B712">
        <v>4967.6899999999996</v>
      </c>
      <c r="C712">
        <f t="shared" si="66"/>
        <v>-1.694335000227587E-2</v>
      </c>
      <c r="D712">
        <f t="shared" si="67"/>
        <v>-1.2616991347447608E-2</v>
      </c>
      <c r="E712">
        <f t="shared" si="68"/>
        <v>-4.3263586548282617E-3</v>
      </c>
      <c r="F712">
        <f t="shared" si="71"/>
        <v>1.6091621016547777E-2</v>
      </c>
      <c r="G712">
        <f t="shared" si="69"/>
        <v>-0.26885785157252101</v>
      </c>
      <c r="H712">
        <f t="shared" si="70"/>
        <v>-0.95508080538076856</v>
      </c>
    </row>
    <row r="713" spans="1:8" x14ac:dyDescent="0.45">
      <c r="A713" s="2">
        <v>43397</v>
      </c>
      <c r="B713">
        <v>4953.09</v>
      </c>
      <c r="C713">
        <f t="shared" si="66"/>
        <v>-2.9389917647839603E-3</v>
      </c>
      <c r="D713">
        <f t="shared" si="67"/>
        <v>-2.499604816494589E-2</v>
      </c>
      <c r="E713">
        <f t="shared" si="68"/>
        <v>2.205705640016193E-2</v>
      </c>
      <c r="F713">
        <f t="shared" si="71"/>
        <v>1.1945289615413432E-2</v>
      </c>
      <c r="G713">
        <f t="shared" si="69"/>
        <v>1.8465066239751045</v>
      </c>
      <c r="H713">
        <f t="shared" si="70"/>
        <v>-2.6237318893966415</v>
      </c>
    </row>
    <row r="714" spans="1:8" x14ac:dyDescent="0.45">
      <c r="A714" s="2">
        <v>43398</v>
      </c>
      <c r="B714">
        <v>5032.3</v>
      </c>
      <c r="C714">
        <f t="shared" si="66"/>
        <v>1.5992037293891315E-2</v>
      </c>
      <c r="D714">
        <f t="shared" si="67"/>
        <v>-1.8185390552990212E-2</v>
      </c>
      <c r="E714">
        <f t="shared" si="68"/>
        <v>3.4177427846881527E-2</v>
      </c>
      <c r="F714">
        <f t="shared" si="71"/>
        <v>5.4286163476395803E-2</v>
      </c>
      <c r="G714">
        <f t="shared" si="69"/>
        <v>0.62957898768702325</v>
      </c>
      <c r="H714">
        <f t="shared" si="70"/>
        <v>-1.1171233840731811</v>
      </c>
    </row>
    <row r="715" spans="1:8" x14ac:dyDescent="0.45">
      <c r="A715" s="2">
        <v>43402</v>
      </c>
      <c r="B715">
        <v>4989.3500000000004</v>
      </c>
      <c r="C715">
        <f t="shared" si="66"/>
        <v>-8.5348647735628003E-3</v>
      </c>
      <c r="D715">
        <f t="shared" si="67"/>
        <v>1.5951087259834081E-2</v>
      </c>
      <c r="E715">
        <f t="shared" si="68"/>
        <v>-2.4485952033396881E-2</v>
      </c>
      <c r="F715">
        <f t="shared" si="71"/>
        <v>2.3462376789924782E-2</v>
      </c>
      <c r="G715">
        <f t="shared" si="69"/>
        <v>-1.0436262384087038</v>
      </c>
      <c r="H715">
        <f t="shared" si="70"/>
        <v>-1.463516395952223</v>
      </c>
    </row>
    <row r="716" spans="1:8" x14ac:dyDescent="0.45">
      <c r="A716" s="2">
        <v>43403</v>
      </c>
      <c r="B716">
        <v>4978.53</v>
      </c>
      <c r="C716">
        <f t="shared" si="66"/>
        <v>-2.1686191588083936E-3</v>
      </c>
      <c r="D716">
        <f t="shared" si="67"/>
        <v>4.0711703106587668E-3</v>
      </c>
      <c r="E716">
        <f t="shared" si="68"/>
        <v>-6.2397894694671604E-3</v>
      </c>
      <c r="F716">
        <f t="shared" si="71"/>
        <v>3.1836524945113541E-2</v>
      </c>
      <c r="G716">
        <f t="shared" si="69"/>
        <v>-0.19599467844636353</v>
      </c>
      <c r="H716">
        <f t="shared" si="70"/>
        <v>-0.93814549019431936</v>
      </c>
    </row>
    <row r="717" spans="1:8" x14ac:dyDescent="0.45">
      <c r="A717" s="2">
        <v>43404</v>
      </c>
      <c r="B717">
        <v>5093.4399999999996</v>
      </c>
      <c r="C717">
        <f t="shared" si="66"/>
        <v>2.3081110287574758E-2</v>
      </c>
      <c r="D717">
        <f t="shared" si="67"/>
        <v>-9.9572590738670735E-3</v>
      </c>
      <c r="E717">
        <f t="shared" si="68"/>
        <v>3.3038369361441833E-2</v>
      </c>
      <c r="F717">
        <f t="shared" si="71"/>
        <v>1.233048866239137E-2</v>
      </c>
      <c r="G717">
        <f t="shared" si="69"/>
        <v>2.6794047069854234</v>
      </c>
      <c r="H717">
        <f t="shared" si="70"/>
        <v>-4.5085433251124947</v>
      </c>
    </row>
    <row r="718" spans="1:8" x14ac:dyDescent="0.45">
      <c r="A718" s="2">
        <v>43405</v>
      </c>
      <c r="B718">
        <v>5085.78</v>
      </c>
      <c r="C718">
        <f t="shared" si="66"/>
        <v>-1.5038952063830546E-3</v>
      </c>
      <c r="D718">
        <f t="shared" si="67"/>
        <v>2.4830818987091482E-2</v>
      </c>
      <c r="E718">
        <f t="shared" si="68"/>
        <v>-2.6334714193474537E-2</v>
      </c>
      <c r="F718">
        <f t="shared" si="71"/>
        <v>7.8240772857155985E-2</v>
      </c>
      <c r="G718">
        <f t="shared" si="69"/>
        <v>-0.33658555803831042</v>
      </c>
      <c r="H718">
        <f t="shared" si="70"/>
        <v>-0.97558345214465314</v>
      </c>
    </row>
    <row r="719" spans="1:8" x14ac:dyDescent="0.45">
      <c r="A719" s="2">
        <v>43409</v>
      </c>
      <c r="B719">
        <v>5101.3900000000003</v>
      </c>
      <c r="C719">
        <f t="shared" si="66"/>
        <v>3.0693423624301719E-3</v>
      </c>
      <c r="D719">
        <f t="shared" si="67"/>
        <v>1.8396550316632093E-2</v>
      </c>
      <c r="E719">
        <f t="shared" si="68"/>
        <v>-1.5327207954201921E-2</v>
      </c>
      <c r="F719">
        <f t="shared" si="71"/>
        <v>2.1712679897468772E-2</v>
      </c>
      <c r="G719">
        <f t="shared" si="69"/>
        <v>-0.7059104646031622</v>
      </c>
      <c r="H719">
        <f t="shared" si="70"/>
        <v>-1.1680933252227987</v>
      </c>
    </row>
    <row r="720" spans="1:8" x14ac:dyDescent="0.45">
      <c r="A720" s="2">
        <v>43410</v>
      </c>
      <c r="B720">
        <v>5075.1899999999996</v>
      </c>
      <c r="C720">
        <f t="shared" si="66"/>
        <v>-5.1358551296805111E-3</v>
      </c>
      <c r="D720">
        <f t="shared" si="67"/>
        <v>2.2415150028773177E-3</v>
      </c>
      <c r="E720">
        <f t="shared" si="68"/>
        <v>-7.3773701325578287E-3</v>
      </c>
      <c r="F720">
        <f t="shared" si="71"/>
        <v>2.2629256145811457E-2</v>
      </c>
      <c r="G720">
        <f t="shared" si="69"/>
        <v>-0.32601028001193655</v>
      </c>
      <c r="H720">
        <f t="shared" si="70"/>
        <v>-0.97207988454140326</v>
      </c>
    </row>
    <row r="721" spans="1:8" x14ac:dyDescent="0.45">
      <c r="A721" s="2">
        <v>43411</v>
      </c>
      <c r="B721">
        <v>5137.9399999999996</v>
      </c>
      <c r="C721">
        <f t="shared" si="66"/>
        <v>1.2364069128446342E-2</v>
      </c>
      <c r="D721">
        <f t="shared" si="67"/>
        <v>-3.2682695297661822E-3</v>
      </c>
      <c r="E721">
        <f t="shared" si="68"/>
        <v>1.5632338658212525E-2</v>
      </c>
      <c r="F721">
        <f t="shared" si="71"/>
        <v>1.3565463632169542E-2</v>
      </c>
      <c r="G721">
        <f t="shared" si="69"/>
        <v>1.1523630214260818</v>
      </c>
      <c r="H721">
        <f t="shared" si="70"/>
        <v>-1.5829087997797968</v>
      </c>
    </row>
    <row r="722" spans="1:8" x14ac:dyDescent="0.45">
      <c r="A722" s="2">
        <v>43412</v>
      </c>
      <c r="B722">
        <v>5131.45</v>
      </c>
      <c r="C722">
        <f t="shared" si="66"/>
        <v>-1.2631521582578964E-3</v>
      </c>
      <c r="D722">
        <f t="shared" si="67"/>
        <v>9.8339795617278427E-3</v>
      </c>
      <c r="E722">
        <f t="shared" si="68"/>
        <v>-1.1097131719985739E-2</v>
      </c>
      <c r="F722">
        <f t="shared" si="71"/>
        <v>3.4586685806287668E-2</v>
      </c>
      <c r="G722">
        <f t="shared" si="69"/>
        <v>-0.32084981435163534</v>
      </c>
      <c r="H722">
        <f t="shared" si="70"/>
        <v>-0.97041083488941204</v>
      </c>
    </row>
    <row r="723" spans="1:8" x14ac:dyDescent="0.45">
      <c r="A723" s="2">
        <v>43413</v>
      </c>
      <c r="B723">
        <v>5106.75</v>
      </c>
      <c r="C723">
        <f t="shared" si="66"/>
        <v>-4.813454286800023E-3</v>
      </c>
      <c r="D723">
        <f t="shared" si="67"/>
        <v>9.3249086704321211E-3</v>
      </c>
      <c r="E723">
        <f t="shared" si="68"/>
        <v>-1.4138362957232144E-2</v>
      </c>
      <c r="F723">
        <f t="shared" si="71"/>
        <v>1.4681478854261625E-2</v>
      </c>
      <c r="G723">
        <f t="shared" si="69"/>
        <v>-0.96300673096894263</v>
      </c>
      <c r="H723">
        <f t="shared" si="70"/>
        <v>-1.3826295151504173</v>
      </c>
    </row>
    <row r="724" spans="1:8" x14ac:dyDescent="0.45">
      <c r="A724" s="2">
        <v>43416</v>
      </c>
      <c r="B724">
        <v>5059.09</v>
      </c>
      <c r="C724">
        <f t="shared" si="66"/>
        <v>-9.3327458755568804E-3</v>
      </c>
      <c r="D724">
        <f t="shared" si="67"/>
        <v>-6.6750005775625208E-3</v>
      </c>
      <c r="E724">
        <f t="shared" si="68"/>
        <v>-2.6577452979943596E-3</v>
      </c>
      <c r="F724">
        <f t="shared" si="71"/>
        <v>2.9334890112364124E-2</v>
      </c>
      <c r="G724">
        <f t="shared" si="69"/>
        <v>-9.0600145008696259E-2</v>
      </c>
      <c r="H724">
        <f t="shared" si="70"/>
        <v>-0.92304272634247109</v>
      </c>
    </row>
    <row r="725" spans="1:8" x14ac:dyDescent="0.45">
      <c r="A725" s="2">
        <v>43417</v>
      </c>
      <c r="B725">
        <v>5101.8500000000004</v>
      </c>
      <c r="C725">
        <f t="shared" si="66"/>
        <v>8.4521129294004016E-3</v>
      </c>
      <c r="D725">
        <f t="shared" si="67"/>
        <v>-1.5004910185395721E-2</v>
      </c>
      <c r="E725">
        <f t="shared" si="68"/>
        <v>2.3457023114796124E-2</v>
      </c>
      <c r="F725">
        <f t="shared" si="71"/>
        <v>1.0905362790544009E-2</v>
      </c>
      <c r="G725">
        <f t="shared" si="69"/>
        <v>2.1509621977120839</v>
      </c>
      <c r="H725">
        <f t="shared" si="70"/>
        <v>-3.2322577211978714</v>
      </c>
    </row>
    <row r="726" spans="1:8" x14ac:dyDescent="0.45">
      <c r="A726" s="2">
        <v>43418</v>
      </c>
      <c r="B726">
        <v>5068.8500000000004</v>
      </c>
      <c r="C726">
        <f t="shared" si="66"/>
        <v>-6.4682419122474855E-3</v>
      </c>
      <c r="D726">
        <f t="shared" si="67"/>
        <v>1.6430982449407751E-3</v>
      </c>
      <c r="E726">
        <f t="shared" si="68"/>
        <v>-8.1113401571882605E-3</v>
      </c>
      <c r="F726">
        <f t="shared" si="71"/>
        <v>6.3012676820664373E-2</v>
      </c>
      <c r="G726">
        <f t="shared" si="69"/>
        <v>-0.12872552899590878</v>
      </c>
      <c r="H726">
        <f t="shared" si="70"/>
        <v>-0.92722366411231094</v>
      </c>
    </row>
    <row r="727" spans="1:8" x14ac:dyDescent="0.45">
      <c r="A727" s="2">
        <v>43420</v>
      </c>
      <c r="B727">
        <v>5025.2</v>
      </c>
      <c r="C727">
        <f t="shared" si="66"/>
        <v>-8.6114207364590412E-3</v>
      </c>
      <c r="D727">
        <f t="shared" si="67"/>
        <v>-1.1454033357283667E-4</v>
      </c>
      <c r="E727">
        <f t="shared" si="68"/>
        <v>-8.4968804028862054E-3</v>
      </c>
      <c r="F727">
        <f t="shared" si="71"/>
        <v>1.6794300676102533E-2</v>
      </c>
      <c r="G727">
        <f t="shared" si="69"/>
        <v>-0.50593832793388349</v>
      </c>
      <c r="H727">
        <f t="shared" si="70"/>
        <v>-1.0469253290409395</v>
      </c>
    </row>
    <row r="728" spans="1:8" x14ac:dyDescent="0.45">
      <c r="A728" s="2">
        <v>43423</v>
      </c>
      <c r="B728">
        <v>4985.45</v>
      </c>
      <c r="C728">
        <f t="shared" si="66"/>
        <v>-7.9101329300326206E-3</v>
      </c>
      <c r="D728">
        <f t="shared" si="67"/>
        <v>-1.5613536863956268E-2</v>
      </c>
      <c r="E728">
        <f t="shared" si="68"/>
        <v>7.7034039339236478E-3</v>
      </c>
      <c r="F728">
        <f t="shared" si="71"/>
        <v>1.7277806909281979E-2</v>
      </c>
      <c r="G728">
        <f t="shared" si="69"/>
        <v>0.44585542449749377</v>
      </c>
      <c r="H728">
        <f t="shared" si="70"/>
        <v>-1.0183320629815928</v>
      </c>
    </row>
    <row r="729" spans="1:8" x14ac:dyDescent="0.45">
      <c r="A729" s="2">
        <v>43424</v>
      </c>
      <c r="B729">
        <v>4924.8900000000003</v>
      </c>
      <c r="C729">
        <f t="shared" si="66"/>
        <v>-1.2147348784964151E-2</v>
      </c>
      <c r="D729">
        <f t="shared" si="67"/>
        <v>-1.6671472381509452E-2</v>
      </c>
      <c r="E729">
        <f t="shared" si="68"/>
        <v>4.5241235965453007E-3</v>
      </c>
      <c r="F729">
        <f t="shared" si="71"/>
        <v>1.5849170388284053E-2</v>
      </c>
      <c r="G729">
        <f t="shared" si="69"/>
        <v>0.28544860618632767</v>
      </c>
      <c r="H729">
        <f t="shared" si="70"/>
        <v>-0.95967898659153128</v>
      </c>
    </row>
    <row r="730" spans="1:8" x14ac:dyDescent="0.45">
      <c r="A730" s="2">
        <v>43425</v>
      </c>
      <c r="B730">
        <v>4975.5</v>
      </c>
      <c r="C730">
        <f t="shared" si="66"/>
        <v>1.0276371655001393E-2</v>
      </c>
      <c r="D730">
        <f t="shared" si="67"/>
        <v>-2.096538634978936E-2</v>
      </c>
      <c r="E730">
        <f t="shared" si="68"/>
        <v>3.1241758004790753E-2</v>
      </c>
      <c r="F730">
        <f t="shared" si="71"/>
        <v>1.2249284861715531E-2</v>
      </c>
      <c r="G730">
        <f t="shared" si="69"/>
        <v>2.5504964867324751</v>
      </c>
      <c r="H730">
        <f t="shared" si="70"/>
        <v>-4.1714546976220213</v>
      </c>
    </row>
    <row r="731" spans="1:8" x14ac:dyDescent="0.45">
      <c r="A731" s="2">
        <v>43426</v>
      </c>
      <c r="B731">
        <v>4938.1400000000003</v>
      </c>
      <c r="C731">
        <f t="shared" si="66"/>
        <v>-7.5087930861219565E-3</v>
      </c>
      <c r="D731">
        <f t="shared" si="67"/>
        <v>1.2995160681813032E-3</v>
      </c>
      <c r="E731">
        <f t="shared" si="68"/>
        <v>-8.8083091543032597E-3</v>
      </c>
      <c r="F731">
        <f t="shared" si="71"/>
        <v>7.4524064674870563E-2</v>
      </c>
      <c r="G731">
        <f t="shared" si="69"/>
        <v>-0.11819415906434599</v>
      </c>
      <c r="H731">
        <f t="shared" si="70"/>
        <v>-0.92592346282313664</v>
      </c>
    </row>
    <row r="732" spans="1:8" x14ac:dyDescent="0.45">
      <c r="A732" s="2">
        <v>43427</v>
      </c>
      <c r="B732">
        <v>4946.95</v>
      </c>
      <c r="C732">
        <f t="shared" si="66"/>
        <v>1.7840725455331441E-3</v>
      </c>
      <c r="D732">
        <f t="shared" si="67"/>
        <v>2.7235185942021435E-4</v>
      </c>
      <c r="E732">
        <f t="shared" si="68"/>
        <v>1.5117206861129297E-3</v>
      </c>
      <c r="F732">
        <f t="shared" si="71"/>
        <v>1.8955601548821054E-2</v>
      </c>
      <c r="G732">
        <f t="shared" si="69"/>
        <v>7.9750604707501435E-2</v>
      </c>
      <c r="H732">
        <f t="shared" si="70"/>
        <v>-0.92211861268027873</v>
      </c>
    </row>
    <row r="733" spans="1:8" x14ac:dyDescent="0.45">
      <c r="A733" s="2">
        <v>43430</v>
      </c>
      <c r="B733">
        <v>4994.9799999999996</v>
      </c>
      <c r="C733">
        <f t="shared" si="66"/>
        <v>9.7090126239398611E-3</v>
      </c>
      <c r="D733">
        <f t="shared" si="67"/>
        <v>-4.4856809329804088E-3</v>
      </c>
      <c r="E733">
        <f t="shared" si="68"/>
        <v>1.419469355692027E-2</v>
      </c>
      <c r="F733">
        <f t="shared" si="71"/>
        <v>9.602944494078754E-3</v>
      </c>
      <c r="G733">
        <f t="shared" si="69"/>
        <v>1.4781605335397723</v>
      </c>
      <c r="H733">
        <f t="shared" si="70"/>
        <v>-2.0114178146619648</v>
      </c>
    </row>
    <row r="734" spans="1:8" x14ac:dyDescent="0.45">
      <c r="A734" s="2">
        <v>43431</v>
      </c>
      <c r="B734">
        <v>4983.1499999999996</v>
      </c>
      <c r="C734">
        <f t="shared" si="66"/>
        <v>-2.3683778513627907E-3</v>
      </c>
      <c r="D734">
        <f t="shared" si="67"/>
        <v>1.2797479742858405E-2</v>
      </c>
      <c r="E734">
        <f t="shared" si="68"/>
        <v>-1.5165857594221196E-2</v>
      </c>
      <c r="F734">
        <f t="shared" si="71"/>
        <v>4.3740968937451288E-2</v>
      </c>
      <c r="G734">
        <f t="shared" si="69"/>
        <v>-0.34671974495828084</v>
      </c>
      <c r="H734">
        <f t="shared" si="70"/>
        <v>-0.97904582397664031</v>
      </c>
    </row>
    <row r="735" spans="1:8" x14ac:dyDescent="0.45">
      <c r="A735" s="2">
        <v>43432</v>
      </c>
      <c r="B735">
        <v>4983.24</v>
      </c>
      <c r="C735">
        <f t="shared" si="66"/>
        <v>1.8060865115465674E-5</v>
      </c>
      <c r="D735">
        <f t="shared" si="67"/>
        <v>5.7288233558945977E-3</v>
      </c>
      <c r="E735">
        <f t="shared" si="68"/>
        <v>-5.710762490779132E-3</v>
      </c>
      <c r="F735">
        <f t="shared" si="71"/>
        <v>1.631173206865856E-2</v>
      </c>
      <c r="G735">
        <f t="shared" si="69"/>
        <v>-0.35010153837383207</v>
      </c>
      <c r="H735">
        <f t="shared" si="70"/>
        <v>-0.98022407679053458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H735"/>
  <sheetViews>
    <sheetView workbookViewId="0">
      <selection activeCell="L18" sqref="L18"/>
    </sheetView>
  </sheetViews>
  <sheetFormatPr defaultColWidth="10.6640625" defaultRowHeight="14.25" x14ac:dyDescent="0.45"/>
  <sheetData>
    <row r="1" spans="1:8" x14ac:dyDescent="0.45">
      <c r="A1" s="3" t="s">
        <v>12</v>
      </c>
      <c r="B1" t="s">
        <v>7</v>
      </c>
      <c r="C1" t="s">
        <v>50</v>
      </c>
    </row>
    <row r="2" spans="1:8" x14ac:dyDescent="0.45">
      <c r="A2" s="3">
        <v>42373</v>
      </c>
      <c r="B2">
        <v>4522.45</v>
      </c>
    </row>
    <row r="3" spans="1:8" x14ac:dyDescent="0.45">
      <c r="A3" s="3">
        <v>42374</v>
      </c>
      <c r="B3">
        <v>4537.63</v>
      </c>
      <c r="C3">
        <v>3.356587690300783E-3</v>
      </c>
      <c r="D3">
        <f ca="1">RAND()-0.5</f>
        <v>-2.5024621314282736E-2</v>
      </c>
      <c r="F3" t="s">
        <v>18</v>
      </c>
      <c r="G3">
        <f ca="1">SUMPRODUCT((C3:C735*D3:D735&gt;=0)*1)</f>
        <v>374</v>
      </c>
      <c r="H3">
        <f ca="1">G3/G4</f>
        <v>0.51023192360163716</v>
      </c>
    </row>
    <row r="4" spans="1:8" x14ac:dyDescent="0.45">
      <c r="A4" s="3">
        <v>42375</v>
      </c>
      <c r="B4">
        <v>4480.47</v>
      </c>
      <c r="C4">
        <v>-1.2596884276593667E-2</v>
      </c>
      <c r="D4">
        <f ca="1">0.5*(RAND()-0.5)+0.5*D3</f>
        <v>-5.6780298499962134E-3</v>
      </c>
      <c r="F4" t="s">
        <v>20</v>
      </c>
      <c r="G4">
        <f ca="1">COUNT(D3:D735)</f>
        <v>733</v>
      </c>
    </row>
    <row r="5" spans="1:8" x14ac:dyDescent="0.45">
      <c r="A5" s="3">
        <v>42376</v>
      </c>
      <c r="B5">
        <v>4403.58</v>
      </c>
      <c r="C5">
        <v>-1.7161146040482467E-2</v>
      </c>
      <c r="D5">
        <f ca="1">0.5*(RAND()-0.5+AVERAGE($D$3:$D4))</f>
        <v>0.18970832435843615</v>
      </c>
    </row>
    <row r="6" spans="1:8" x14ac:dyDescent="0.45">
      <c r="A6" s="3">
        <v>42377</v>
      </c>
      <c r="B6">
        <v>4333.76</v>
      </c>
      <c r="C6">
        <v>-1.58552813846915E-2</v>
      </c>
      <c r="D6">
        <f ca="1">0.5*(RAND()-0.5+AVERAGE($D$3:$D5))</f>
        <v>8.0080150894043564E-2</v>
      </c>
    </row>
    <row r="7" spans="1:8" x14ac:dyDescent="0.45">
      <c r="A7" s="3">
        <v>42380</v>
      </c>
      <c r="B7">
        <v>4312.74</v>
      </c>
      <c r="C7">
        <v>-4.8502916635901894E-3</v>
      </c>
      <c r="D7">
        <f ca="1">0.5*(RAND()-0.5+AVERAGE($D$3:$D6))</f>
        <v>-7.2711307913323725E-2</v>
      </c>
    </row>
    <row r="8" spans="1:8" x14ac:dyDescent="0.45">
      <c r="A8" s="3">
        <v>42381</v>
      </c>
      <c r="B8">
        <v>4378.75</v>
      </c>
      <c r="C8">
        <v>1.5305814864795986E-2</v>
      </c>
      <c r="D8">
        <f ca="1">0.5*(RAND()-0.5+AVERAGE($D$3:$D7))</f>
        <v>-0.2191820745792234</v>
      </c>
    </row>
    <row r="9" spans="1:8" x14ac:dyDescent="0.45">
      <c r="A9" s="3">
        <v>42382</v>
      </c>
      <c r="B9">
        <v>4391.9399999999996</v>
      </c>
      <c r="C9">
        <v>3.0122751926919822E-3</v>
      </c>
      <c r="D9">
        <f ca="1">0.5*(RAND()-0.5+AVERAGE($D$3:$D8))</f>
        <v>-0.10800254119474292</v>
      </c>
    </row>
    <row r="10" spans="1:8" x14ac:dyDescent="0.45">
      <c r="A10" s="3">
        <v>42383</v>
      </c>
      <c r="B10">
        <v>4312.8900000000003</v>
      </c>
      <c r="C10">
        <v>-1.7998879766116804E-2</v>
      </c>
      <c r="D10">
        <f t="shared" ref="D10:D73" ca="1" si="0">0.5*(RAND()-0.5+AVERAGE($D4:$D9))</f>
        <v>0.17666194183097961</v>
      </c>
    </row>
    <row r="11" spans="1:8" x14ac:dyDescent="0.45">
      <c r="A11" s="3">
        <v>42384</v>
      </c>
      <c r="B11">
        <v>4210.16</v>
      </c>
      <c r="C11">
        <v>-2.3819295182580746E-2</v>
      </c>
      <c r="D11">
        <f t="shared" ca="1" si="0"/>
        <v>-0.13660360104362648</v>
      </c>
    </row>
    <row r="12" spans="1:8" x14ac:dyDescent="0.45">
      <c r="A12" s="3">
        <v>42387</v>
      </c>
      <c r="B12">
        <v>4189.57</v>
      </c>
      <c r="C12">
        <v>-4.8905504778916642E-3</v>
      </c>
      <c r="D12">
        <f t="shared" ca="1" si="0"/>
        <v>2.7871395318444365E-2</v>
      </c>
    </row>
    <row r="13" spans="1:8" x14ac:dyDescent="0.45">
      <c r="A13" s="3">
        <v>42388</v>
      </c>
      <c r="B13">
        <v>4272.26</v>
      </c>
      <c r="C13">
        <v>1.9737109058925117E-2</v>
      </c>
      <c r="D13">
        <f t="shared" ca="1" si="0"/>
        <v>8.1260047458584644E-2</v>
      </c>
    </row>
    <row r="14" spans="1:8" x14ac:dyDescent="0.45">
      <c r="A14" s="3">
        <v>42389</v>
      </c>
      <c r="B14">
        <v>4124.95</v>
      </c>
      <c r="C14">
        <v>-3.4480579365488095E-2</v>
      </c>
      <c r="D14">
        <f t="shared" ca="1" si="0"/>
        <v>0.23144807514658144</v>
      </c>
    </row>
    <row r="15" spans="1:8" x14ac:dyDescent="0.45">
      <c r="A15" s="3">
        <v>42390</v>
      </c>
      <c r="B15">
        <v>4206.3999999999996</v>
      </c>
      <c r="C15">
        <v>1.974569388719849E-2</v>
      </c>
      <c r="D15">
        <f t="shared" ca="1" si="0"/>
        <v>-0.22435719779983831</v>
      </c>
    </row>
    <row r="16" spans="1:8" x14ac:dyDescent="0.45">
      <c r="A16" s="3">
        <v>42391</v>
      </c>
      <c r="B16">
        <v>4336.6899999999996</v>
      </c>
      <c r="C16">
        <v>3.0974229745150295E-2</v>
      </c>
      <c r="D16">
        <f t="shared" ca="1" si="0"/>
        <v>0.16203106435493192</v>
      </c>
    </row>
    <row r="17" spans="1:4" x14ac:dyDescent="0.45">
      <c r="A17" s="3">
        <v>42394</v>
      </c>
      <c r="B17">
        <v>4311.33</v>
      </c>
      <c r="C17">
        <v>-5.8477779135699404E-3</v>
      </c>
      <c r="D17">
        <f t="shared" ca="1" si="0"/>
        <v>-0.21628602222745358</v>
      </c>
    </row>
    <row r="18" spans="1:4" x14ac:dyDescent="0.45">
      <c r="A18" s="3">
        <v>42395</v>
      </c>
      <c r="B18">
        <v>4356.8100000000004</v>
      </c>
      <c r="C18">
        <v>1.0548948932232127E-2</v>
      </c>
      <c r="D18">
        <f t="shared" ca="1" si="0"/>
        <v>-0.24102537572871399</v>
      </c>
    </row>
    <row r="19" spans="1:4" x14ac:dyDescent="0.45">
      <c r="A19" s="3">
        <v>42396</v>
      </c>
      <c r="B19">
        <v>4380.3599999999997</v>
      </c>
      <c r="C19">
        <v>5.405330964627586E-3</v>
      </c>
      <c r="D19">
        <f t="shared" ca="1" si="0"/>
        <v>0.13418272638011852</v>
      </c>
    </row>
    <row r="20" spans="1:4" x14ac:dyDescent="0.45">
      <c r="A20" s="3">
        <v>42397</v>
      </c>
      <c r="B20">
        <v>4322.16</v>
      </c>
      <c r="C20">
        <v>-1.3286579185272429E-2</v>
      </c>
      <c r="D20">
        <f t="shared" ca="1" si="0"/>
        <v>0.15389936695170081</v>
      </c>
    </row>
    <row r="21" spans="1:4" x14ac:dyDescent="0.45">
      <c r="A21" s="3">
        <v>42398</v>
      </c>
      <c r="B21">
        <v>4417.0200000000004</v>
      </c>
      <c r="C21">
        <v>2.1947359653506693E-2</v>
      </c>
      <c r="D21">
        <f t="shared" ca="1" si="0"/>
        <v>6.3360418925569748E-2</v>
      </c>
    </row>
    <row r="22" spans="1:4" x14ac:dyDescent="0.45">
      <c r="A22" s="3">
        <v>42401</v>
      </c>
      <c r="B22">
        <v>4392.33</v>
      </c>
      <c r="C22">
        <v>-5.5897414999254158E-3</v>
      </c>
      <c r="D22">
        <f t="shared" ca="1" si="0"/>
        <v>0.25425671944512235</v>
      </c>
    </row>
    <row r="23" spans="1:4" x14ac:dyDescent="0.45">
      <c r="A23" s="3">
        <v>42402</v>
      </c>
      <c r="B23">
        <v>4283.99</v>
      </c>
      <c r="C23">
        <v>-2.4665724114536047E-2</v>
      </c>
      <c r="D23">
        <f t="shared" ca="1" si="0"/>
        <v>-1.627427444338319E-2</v>
      </c>
    </row>
    <row r="24" spans="1:4" x14ac:dyDescent="0.45">
      <c r="A24" s="3">
        <v>42404</v>
      </c>
      <c r="B24">
        <v>4228.53</v>
      </c>
      <c r="C24">
        <v>-1.294587522379842E-2</v>
      </c>
      <c r="D24">
        <f t="shared" ca="1" si="0"/>
        <v>0.12358962998690728</v>
      </c>
    </row>
    <row r="25" spans="1:4" x14ac:dyDescent="0.45">
      <c r="A25" s="3">
        <v>42405</v>
      </c>
      <c r="B25">
        <v>4200.67</v>
      </c>
      <c r="C25">
        <v>-6.5885780637714442E-3</v>
      </c>
      <c r="D25">
        <f t="shared" ca="1" si="0"/>
        <v>6.1738267939176E-2</v>
      </c>
    </row>
    <row r="26" spans="1:4" x14ac:dyDescent="0.45">
      <c r="A26" s="3">
        <v>42408</v>
      </c>
      <c r="B26">
        <v>4066.31</v>
      </c>
      <c r="C26">
        <v>-3.1985373761804659E-2</v>
      </c>
      <c r="D26">
        <f t="shared" ca="1" si="0"/>
        <v>2.1030510551180541E-2</v>
      </c>
    </row>
    <row r="27" spans="1:4" x14ac:dyDescent="0.45">
      <c r="A27" s="3">
        <v>42409</v>
      </c>
      <c r="B27">
        <v>3997.54</v>
      </c>
      <c r="C27">
        <v>-1.6912139015471062E-2</v>
      </c>
      <c r="D27">
        <f t="shared" ca="1" si="0"/>
        <v>0.18124305371563534</v>
      </c>
    </row>
    <row r="28" spans="1:4" x14ac:dyDescent="0.45">
      <c r="A28" s="3">
        <v>42410</v>
      </c>
      <c r="B28">
        <v>4061.2</v>
      </c>
      <c r="C28">
        <v>1.5924793748155031E-2</v>
      </c>
      <c r="D28">
        <f t="shared" ca="1" si="0"/>
        <v>0.18933726106359725</v>
      </c>
    </row>
    <row r="29" spans="1:4" x14ac:dyDescent="0.45">
      <c r="A29" s="3">
        <v>42411</v>
      </c>
      <c r="B29">
        <v>3896.71</v>
      </c>
      <c r="C29">
        <v>-4.0502807052102741E-2</v>
      </c>
      <c r="D29">
        <f t="shared" ca="1" si="0"/>
        <v>0.1191770129287647</v>
      </c>
    </row>
    <row r="30" spans="1:4" x14ac:dyDescent="0.45">
      <c r="A30" s="3">
        <v>42412</v>
      </c>
      <c r="B30">
        <v>3995.06</v>
      </c>
      <c r="C30">
        <v>2.5239240282186826E-2</v>
      </c>
      <c r="D30">
        <f t="shared" ca="1" si="0"/>
        <v>-0.16602478871093176</v>
      </c>
    </row>
    <row r="31" spans="1:4" x14ac:dyDescent="0.45">
      <c r="A31" s="3">
        <v>42415</v>
      </c>
      <c r="B31">
        <v>4115.25</v>
      </c>
      <c r="C31">
        <v>3.0084654548367284E-2</v>
      </c>
      <c r="D31">
        <f t="shared" ca="1" si="0"/>
        <v>8.6526871187945137E-2</v>
      </c>
    </row>
    <row r="32" spans="1:4" x14ac:dyDescent="0.45">
      <c r="A32" s="3">
        <v>42416</v>
      </c>
      <c r="B32">
        <v>4110.66</v>
      </c>
      <c r="C32">
        <v>-1.1153635866594236E-3</v>
      </c>
      <c r="D32">
        <f t="shared" ca="1" si="0"/>
        <v>9.1660162134930306E-2</v>
      </c>
    </row>
    <row r="33" spans="1:4" x14ac:dyDescent="0.45">
      <c r="A33" s="3">
        <v>42417</v>
      </c>
      <c r="B33">
        <v>4233.47</v>
      </c>
      <c r="C33">
        <v>2.9875980986021844E-2</v>
      </c>
      <c r="D33">
        <f t="shared" ca="1" si="0"/>
        <v>8.3229361308271507E-3</v>
      </c>
    </row>
    <row r="34" spans="1:4" x14ac:dyDescent="0.45">
      <c r="A34" s="3">
        <v>42418</v>
      </c>
      <c r="B34">
        <v>4239.76</v>
      </c>
      <c r="C34">
        <v>1.485778805566218E-3</v>
      </c>
      <c r="D34">
        <f t="shared" ca="1" si="0"/>
        <v>-0.20595931671333897</v>
      </c>
    </row>
    <row r="35" spans="1:4" x14ac:dyDescent="0.45">
      <c r="A35" s="3">
        <v>42419</v>
      </c>
      <c r="B35">
        <v>4223.04</v>
      </c>
      <c r="C35">
        <v>-3.9436194501576427E-3</v>
      </c>
      <c r="D35">
        <f t="shared" ca="1" si="0"/>
        <v>-0.20874087925260412</v>
      </c>
    </row>
    <row r="36" spans="1:4" x14ac:dyDescent="0.45">
      <c r="A36" s="3">
        <v>42422</v>
      </c>
      <c r="B36">
        <v>4298.7</v>
      </c>
      <c r="C36">
        <v>1.7916003637190148E-2</v>
      </c>
      <c r="D36">
        <f t="shared" ca="1" si="0"/>
        <v>9.3556576601361269E-2</v>
      </c>
    </row>
    <row r="37" spans="1:4" x14ac:dyDescent="0.45">
      <c r="A37" s="3">
        <v>42423</v>
      </c>
      <c r="B37">
        <v>4238.42</v>
      </c>
      <c r="C37">
        <v>-1.4022844115662791E-2</v>
      </c>
      <c r="D37">
        <f t="shared" ca="1" si="0"/>
        <v>0.11380020197413035</v>
      </c>
    </row>
    <row r="38" spans="1:4" x14ac:dyDescent="0.45">
      <c r="A38" s="3">
        <v>42424</v>
      </c>
      <c r="B38">
        <v>4155.34</v>
      </c>
      <c r="C38">
        <v>-1.9601644008852337E-2</v>
      </c>
      <c r="D38">
        <f t="shared" ca="1" si="0"/>
        <v>5.2912837339458198E-3</v>
      </c>
    </row>
    <row r="39" spans="1:4" x14ac:dyDescent="0.45">
      <c r="A39" s="3">
        <v>42425</v>
      </c>
      <c r="B39">
        <v>4248.45</v>
      </c>
      <c r="C39">
        <v>2.2407312037041383E-2</v>
      </c>
      <c r="D39">
        <f t="shared" ca="1" si="0"/>
        <v>-0.25092883120429244</v>
      </c>
    </row>
    <row r="40" spans="1:4" x14ac:dyDescent="0.45">
      <c r="A40" s="3">
        <v>42426</v>
      </c>
      <c r="B40">
        <v>4314.57</v>
      </c>
      <c r="C40">
        <v>1.5563323094304859E-2</v>
      </c>
      <c r="D40">
        <f t="shared" ca="1" si="0"/>
        <v>-0.14242720201746742</v>
      </c>
    </row>
    <row r="41" spans="1:4" x14ac:dyDescent="0.45">
      <c r="A41" s="3">
        <v>42429</v>
      </c>
      <c r="B41">
        <v>4353.55</v>
      </c>
      <c r="C41">
        <v>9.0345040177817193E-3</v>
      </c>
      <c r="D41">
        <f t="shared" ca="1" si="0"/>
        <v>-0.25154732523031331</v>
      </c>
    </row>
    <row r="42" spans="1:4" x14ac:dyDescent="0.45">
      <c r="A42" s="3">
        <v>42430</v>
      </c>
      <c r="B42">
        <v>4406.84</v>
      </c>
      <c r="C42">
        <v>1.2240585269492676E-2</v>
      </c>
      <c r="D42">
        <f t="shared" ca="1" si="0"/>
        <v>0.17617109736608605</v>
      </c>
    </row>
    <row r="43" spans="1:4" x14ac:dyDescent="0.45">
      <c r="A43" s="3">
        <v>42431</v>
      </c>
      <c r="B43">
        <v>4424.8900000000003</v>
      </c>
      <c r="C43">
        <v>4.0959054560638641E-3</v>
      </c>
      <c r="D43">
        <f t="shared" ca="1" si="0"/>
        <v>8.8116681851949319E-2</v>
      </c>
    </row>
    <row r="44" spans="1:4" x14ac:dyDescent="0.45">
      <c r="A44" s="3">
        <v>42432</v>
      </c>
      <c r="B44">
        <v>4416.08</v>
      </c>
      <c r="C44">
        <v>-1.9910099460100916E-3</v>
      </c>
      <c r="D44">
        <f t="shared" ca="1" si="0"/>
        <v>0.16948949582339765</v>
      </c>
    </row>
    <row r="45" spans="1:4" x14ac:dyDescent="0.45">
      <c r="A45" s="3">
        <v>42433</v>
      </c>
      <c r="B45">
        <v>4456.62</v>
      </c>
      <c r="C45">
        <v>9.1800873172587227E-3</v>
      </c>
      <c r="D45">
        <f t="shared" ca="1" si="0"/>
        <v>5.6168957764150818E-2</v>
      </c>
    </row>
    <row r="46" spans="1:4" x14ac:dyDescent="0.45">
      <c r="A46" s="3">
        <v>42436</v>
      </c>
      <c r="B46">
        <v>4442.29</v>
      </c>
      <c r="C46">
        <v>-3.2154412985625491E-3</v>
      </c>
      <c r="D46">
        <f t="shared" ca="1" si="0"/>
        <v>-0.13274933106353529</v>
      </c>
    </row>
    <row r="47" spans="1:4" x14ac:dyDescent="0.45">
      <c r="A47" s="3">
        <v>42437</v>
      </c>
      <c r="B47">
        <v>4404.0200000000004</v>
      </c>
      <c r="C47">
        <v>-8.6149260854198051E-3</v>
      </c>
      <c r="D47">
        <f t="shared" ca="1" si="0"/>
        <v>0.18098678271125715</v>
      </c>
    </row>
    <row r="48" spans="1:4" x14ac:dyDescent="0.45">
      <c r="A48" s="3">
        <v>42438</v>
      </c>
      <c r="B48">
        <v>4425.6499999999996</v>
      </c>
      <c r="C48">
        <v>4.9114218373211838E-3</v>
      </c>
      <c r="D48">
        <f t="shared" ca="1" si="0"/>
        <v>-0.15057703129208272</v>
      </c>
    </row>
    <row r="49" spans="1:4" x14ac:dyDescent="0.45">
      <c r="A49" s="3">
        <v>42439</v>
      </c>
      <c r="B49">
        <v>4350.3500000000004</v>
      </c>
      <c r="C49">
        <v>-1.7014449854823477E-2</v>
      </c>
      <c r="D49">
        <f t="shared" ca="1" si="0"/>
        <v>5.5682177571412764E-2</v>
      </c>
    </row>
    <row r="50" spans="1:4" x14ac:dyDescent="0.45">
      <c r="A50" s="3">
        <v>42440</v>
      </c>
      <c r="B50">
        <v>4492.79</v>
      </c>
      <c r="C50">
        <v>3.2742193156872323E-2</v>
      </c>
      <c r="D50">
        <f t="shared" ca="1" si="0"/>
        <v>-1.1023172777626156E-2</v>
      </c>
    </row>
    <row r="51" spans="1:4" x14ac:dyDescent="0.45">
      <c r="A51" s="3">
        <v>42443</v>
      </c>
      <c r="B51">
        <v>4506.59</v>
      </c>
      <c r="C51">
        <v>3.0715880332712331E-3</v>
      </c>
      <c r="D51">
        <f t="shared" ca="1" si="0"/>
        <v>7.407397048140095E-2</v>
      </c>
    </row>
    <row r="52" spans="1:4" x14ac:dyDescent="0.45">
      <c r="A52" s="3">
        <v>42444</v>
      </c>
      <c r="B52">
        <v>4472.63</v>
      </c>
      <c r="C52">
        <v>-7.5356311534885423E-3</v>
      </c>
      <c r="D52">
        <f t="shared" ca="1" si="0"/>
        <v>6.9225293827656131E-2</v>
      </c>
    </row>
    <row r="53" spans="1:4" x14ac:dyDescent="0.45">
      <c r="A53" s="3">
        <v>42445</v>
      </c>
      <c r="B53">
        <v>4463</v>
      </c>
      <c r="C53">
        <v>-2.1530956059410133E-3</v>
      </c>
      <c r="D53">
        <f t="shared" ca="1" si="0"/>
        <v>-0.15319644992617687</v>
      </c>
    </row>
    <row r="54" spans="1:4" x14ac:dyDescent="0.45">
      <c r="A54" s="3">
        <v>42446</v>
      </c>
      <c r="B54">
        <v>4442.8900000000003</v>
      </c>
      <c r="C54">
        <v>-4.5059377100604703E-3</v>
      </c>
      <c r="D54">
        <f t="shared" ca="1" si="0"/>
        <v>-2.2665204980528764E-2</v>
      </c>
    </row>
    <row r="55" spans="1:4" x14ac:dyDescent="0.45">
      <c r="A55" s="3">
        <v>42447</v>
      </c>
      <c r="B55">
        <v>4462.51</v>
      </c>
      <c r="C55">
        <v>4.4160445115679625E-3</v>
      </c>
      <c r="D55">
        <f t="shared" ca="1" si="0"/>
        <v>-0.2395293856458332</v>
      </c>
    </row>
    <row r="56" spans="1:4" x14ac:dyDescent="0.45">
      <c r="A56" s="3">
        <v>42450</v>
      </c>
      <c r="B56">
        <v>4427.8</v>
      </c>
      <c r="C56">
        <v>-7.7781338305124015E-3</v>
      </c>
      <c r="D56">
        <f t="shared" ca="1" si="0"/>
        <v>-3.3371132266607276E-2</v>
      </c>
    </row>
    <row r="57" spans="1:4" x14ac:dyDescent="0.45">
      <c r="A57" s="3">
        <v>42451</v>
      </c>
      <c r="B57">
        <v>4431.97</v>
      </c>
      <c r="C57">
        <v>9.4177695469532807E-4</v>
      </c>
      <c r="D57">
        <f t="shared" ca="1" si="0"/>
        <v>0.17049433346811638</v>
      </c>
    </row>
    <row r="58" spans="1:4" x14ac:dyDescent="0.45">
      <c r="A58" s="3">
        <v>42452</v>
      </c>
      <c r="B58">
        <v>4423.9799999999996</v>
      </c>
      <c r="C58">
        <v>-1.8028100370717226E-3</v>
      </c>
      <c r="D58">
        <f t="shared" ca="1" si="0"/>
        <v>0.16568125340136677</v>
      </c>
    </row>
    <row r="59" spans="1:4" x14ac:dyDescent="0.45">
      <c r="A59" s="3">
        <v>42453</v>
      </c>
      <c r="B59">
        <v>4329.68</v>
      </c>
      <c r="C59">
        <v>-2.1315647900758905E-2</v>
      </c>
      <c r="D59">
        <f t="shared" ca="1" si="0"/>
        <v>0.15347554733261187</v>
      </c>
    </row>
    <row r="60" spans="1:4" x14ac:dyDescent="0.45">
      <c r="A60" s="3">
        <v>42458</v>
      </c>
      <c r="B60">
        <v>4366.67</v>
      </c>
      <c r="C60">
        <v>8.5433565529091648E-3</v>
      </c>
      <c r="D60">
        <f t="shared" ca="1" si="0"/>
        <v>-0.15806451809422278</v>
      </c>
    </row>
    <row r="61" spans="1:4" x14ac:dyDescent="0.45">
      <c r="A61" s="3">
        <v>42459</v>
      </c>
      <c r="B61">
        <v>4444.42</v>
      </c>
      <c r="C61">
        <v>1.7805329919595492E-2</v>
      </c>
      <c r="D61">
        <f t="shared" ca="1" si="0"/>
        <v>-8.5218813455488623E-2</v>
      </c>
    </row>
    <row r="62" spans="1:4" x14ac:dyDescent="0.45">
      <c r="A62" s="3">
        <v>42460</v>
      </c>
      <c r="B62">
        <v>4385.0600000000004</v>
      </c>
      <c r="C62">
        <v>-1.335607345840395E-2</v>
      </c>
      <c r="D62">
        <f t="shared" ca="1" si="0"/>
        <v>0.12403778817471629</v>
      </c>
    </row>
    <row r="63" spans="1:4" x14ac:dyDescent="0.45">
      <c r="A63" s="3">
        <v>42461</v>
      </c>
      <c r="B63">
        <v>4322.24</v>
      </c>
      <c r="C63">
        <v>-1.432591572293207E-2</v>
      </c>
      <c r="D63">
        <f t="shared" ca="1" si="0"/>
        <v>-6.9383148160273286E-2</v>
      </c>
    </row>
    <row r="64" spans="1:4" x14ac:dyDescent="0.45">
      <c r="A64" s="3">
        <v>42464</v>
      </c>
      <c r="B64">
        <v>4345.22</v>
      </c>
      <c r="C64">
        <v>5.3166876434442845E-3</v>
      </c>
      <c r="D64">
        <f t="shared" ca="1" si="0"/>
        <v>0.14574603166736066</v>
      </c>
    </row>
    <row r="65" spans="1:4" x14ac:dyDescent="0.45">
      <c r="A65" s="3">
        <v>42466</v>
      </c>
      <c r="B65">
        <v>4284.6400000000003</v>
      </c>
      <c r="C65">
        <v>-1.3941756688959361E-2</v>
      </c>
      <c r="D65">
        <f t="shared" ca="1" si="0"/>
        <v>8.9079007339989053E-2</v>
      </c>
    </row>
    <row r="66" spans="1:4" x14ac:dyDescent="0.45">
      <c r="A66" s="3">
        <v>42467</v>
      </c>
      <c r="B66">
        <v>4245.91</v>
      </c>
      <c r="C66">
        <v>-9.0392658426380335E-3</v>
      </c>
      <c r="D66">
        <f t="shared" ca="1" si="0"/>
        <v>1.6836705852145634E-4</v>
      </c>
    </row>
    <row r="67" spans="1:4" x14ac:dyDescent="0.45">
      <c r="A67" s="3">
        <v>42468</v>
      </c>
      <c r="B67">
        <v>4303.12</v>
      </c>
      <c r="C67">
        <v>1.3474143352072865E-2</v>
      </c>
      <c r="D67">
        <f t="shared" ca="1" si="0"/>
        <v>-9.9901605217512179E-2</v>
      </c>
    </row>
    <row r="68" spans="1:4" x14ac:dyDescent="0.45">
      <c r="A68" s="3">
        <v>42471</v>
      </c>
      <c r="B68">
        <v>4312.63</v>
      </c>
      <c r="C68">
        <v>2.2100243544218579E-3</v>
      </c>
      <c r="D68">
        <f t="shared" ca="1" si="0"/>
        <v>-6.276456949465796E-2</v>
      </c>
    </row>
    <row r="69" spans="1:4" x14ac:dyDescent="0.45">
      <c r="A69" s="3">
        <v>42472</v>
      </c>
      <c r="B69">
        <v>4345.91</v>
      </c>
      <c r="C69">
        <v>7.7168688248236972E-3</v>
      </c>
      <c r="D69">
        <f t="shared" ca="1" si="0"/>
        <v>-9.9023934173281383E-2</v>
      </c>
    </row>
    <row r="70" spans="1:4" x14ac:dyDescent="0.45">
      <c r="A70" s="3">
        <v>42473</v>
      </c>
      <c r="B70">
        <v>4490.3100000000004</v>
      </c>
      <c r="C70">
        <v>3.3226642981562193E-2</v>
      </c>
      <c r="D70">
        <f t="shared" ca="1" si="0"/>
        <v>-0.10338540695161597</v>
      </c>
    </row>
    <row r="71" spans="1:4" x14ac:dyDescent="0.45">
      <c r="A71" s="3">
        <v>42474</v>
      </c>
      <c r="B71">
        <v>4511.51</v>
      </c>
      <c r="C71">
        <v>4.7212775955334241E-3</v>
      </c>
      <c r="D71">
        <f t="shared" ca="1" si="0"/>
        <v>-0.19803668262539126</v>
      </c>
    </row>
    <row r="72" spans="1:4" x14ac:dyDescent="0.45">
      <c r="A72" s="3">
        <v>42475</v>
      </c>
      <c r="B72">
        <v>4495.17</v>
      </c>
      <c r="C72">
        <v>-3.621847230749875E-3</v>
      </c>
      <c r="D72">
        <f t="shared" ca="1" si="0"/>
        <v>5.5542859209265195E-2</v>
      </c>
    </row>
    <row r="73" spans="1:4" x14ac:dyDescent="0.45">
      <c r="A73" s="3">
        <v>42478</v>
      </c>
      <c r="B73">
        <v>4506.84</v>
      </c>
      <c r="C73">
        <v>2.5961198352899562E-3</v>
      </c>
      <c r="D73">
        <f t="shared" ca="1" si="0"/>
        <v>0.11901497033223321</v>
      </c>
    </row>
    <row r="74" spans="1:4" x14ac:dyDescent="0.45">
      <c r="A74" s="3">
        <v>42479</v>
      </c>
      <c r="B74">
        <v>4566.4799999999996</v>
      </c>
      <c r="C74">
        <v>1.3233218840695393E-2</v>
      </c>
      <c r="D74">
        <f t="shared" ref="D74:D137" ca="1" si="1">0.5*(RAND()-0.5+AVERAGE($D68:$D73))</f>
        <v>0.14139933872279967</v>
      </c>
    </row>
    <row r="75" spans="1:4" x14ac:dyDescent="0.45">
      <c r="A75" s="3">
        <v>42480</v>
      </c>
      <c r="B75">
        <v>4591.92</v>
      </c>
      <c r="C75">
        <v>5.5710306406686616E-3</v>
      </c>
      <c r="D75">
        <f t="shared" ca="1" si="1"/>
        <v>-1.6455168234784944E-2</v>
      </c>
    </row>
    <row r="76" spans="1:4" x14ac:dyDescent="0.45">
      <c r="A76" s="3">
        <v>42481</v>
      </c>
      <c r="B76">
        <v>4582.83</v>
      </c>
      <c r="C76">
        <v>-1.9795641039043188E-3</v>
      </c>
      <c r="D76">
        <f t="shared" ca="1" si="1"/>
        <v>-2.603767049333517E-2</v>
      </c>
    </row>
    <row r="77" spans="1:4" x14ac:dyDescent="0.45">
      <c r="A77" s="3">
        <v>42482</v>
      </c>
      <c r="B77">
        <v>4569.66</v>
      </c>
      <c r="C77">
        <v>-2.8737701376660985E-3</v>
      </c>
      <c r="D77">
        <f t="shared" ca="1" si="1"/>
        <v>6.6898242786133405E-2</v>
      </c>
    </row>
    <row r="78" spans="1:4" x14ac:dyDescent="0.45">
      <c r="A78" s="3">
        <v>42485</v>
      </c>
      <c r="B78">
        <v>4546.12</v>
      </c>
      <c r="C78">
        <v>-5.1513679354699971E-3</v>
      </c>
      <c r="D78">
        <f t="shared" ca="1" si="1"/>
        <v>-4.7027073773895867E-2</v>
      </c>
    </row>
    <row r="79" spans="1:4" x14ac:dyDescent="0.45">
      <c r="A79" s="3">
        <v>42486</v>
      </c>
      <c r="B79">
        <v>4533.18</v>
      </c>
      <c r="C79">
        <v>-2.8463832894862762E-3</v>
      </c>
      <c r="D79">
        <f t="shared" ca="1" si="1"/>
        <v>-4.327626456261674E-2</v>
      </c>
    </row>
    <row r="80" spans="1:4" x14ac:dyDescent="0.45">
      <c r="A80" s="3">
        <v>42487</v>
      </c>
      <c r="B80">
        <v>4559.3999999999996</v>
      </c>
      <c r="C80">
        <v>5.7840191653539819E-3</v>
      </c>
      <c r="D80">
        <f t="shared" ca="1" si="1"/>
        <v>0.11199660981815616</v>
      </c>
    </row>
    <row r="81" spans="1:4" x14ac:dyDescent="0.45">
      <c r="A81" s="3">
        <v>42488</v>
      </c>
      <c r="B81">
        <v>4557.3599999999997</v>
      </c>
      <c r="C81">
        <v>-4.4742729306490592E-4</v>
      </c>
      <c r="D81">
        <f t="shared" ca="1" si="1"/>
        <v>-0.233631227655757</v>
      </c>
    </row>
    <row r="82" spans="1:4" x14ac:dyDescent="0.45">
      <c r="A82" s="3">
        <v>42489</v>
      </c>
      <c r="B82">
        <v>4428.96</v>
      </c>
      <c r="C82">
        <v>-2.817420611933219E-2</v>
      </c>
      <c r="D82">
        <f t="shared" ca="1" si="1"/>
        <v>-0.14855573336080374</v>
      </c>
    </row>
    <row r="83" spans="1:4" x14ac:dyDescent="0.45">
      <c r="A83" s="3">
        <v>42492</v>
      </c>
      <c r="B83">
        <v>4442.75</v>
      </c>
      <c r="C83">
        <v>3.1135977746468146E-3</v>
      </c>
      <c r="D83">
        <f t="shared" ca="1" si="1"/>
        <v>-0.2371642627898016</v>
      </c>
    </row>
    <row r="84" spans="1:4" x14ac:dyDescent="0.45">
      <c r="A84" s="3">
        <v>42493</v>
      </c>
      <c r="B84">
        <v>4371.9799999999996</v>
      </c>
      <c r="C84">
        <v>-1.5929323054414635E-2</v>
      </c>
      <c r="D84">
        <f t="shared" ca="1" si="1"/>
        <v>-9.3370127324890445E-2</v>
      </c>
    </row>
    <row r="85" spans="1:4" x14ac:dyDescent="0.45">
      <c r="A85" s="3">
        <v>42494</v>
      </c>
      <c r="B85">
        <v>4324.2299999999996</v>
      </c>
      <c r="C85">
        <v>-1.0921824893983967E-2</v>
      </c>
      <c r="D85">
        <f t="shared" ca="1" si="1"/>
        <v>0.12696723243316924</v>
      </c>
    </row>
    <row r="86" spans="1:4" x14ac:dyDescent="0.45">
      <c r="A86" s="3">
        <v>42495</v>
      </c>
      <c r="B86">
        <v>4319.46</v>
      </c>
      <c r="C86">
        <v>-1.1030865610754947E-3</v>
      </c>
      <c r="D86">
        <f t="shared" ca="1" si="1"/>
        <v>-0.28891624412285571</v>
      </c>
    </row>
    <row r="87" spans="1:4" x14ac:dyDescent="0.45">
      <c r="A87" s="3">
        <v>42496</v>
      </c>
      <c r="B87">
        <v>4301.24</v>
      </c>
      <c r="C87">
        <v>-4.2181198575748091E-3</v>
      </c>
      <c r="D87">
        <f t="shared" ca="1" si="1"/>
        <v>-0.24268759866999612</v>
      </c>
    </row>
    <row r="88" spans="1:4" x14ac:dyDescent="0.45">
      <c r="A88" s="3">
        <v>42499</v>
      </c>
      <c r="B88">
        <v>4322.8100000000004</v>
      </c>
      <c r="C88">
        <v>5.0148329318988605E-3</v>
      </c>
      <c r="D88">
        <f t="shared" ca="1" si="1"/>
        <v>-0.30770551034521376</v>
      </c>
    </row>
    <row r="89" spans="1:4" x14ac:dyDescent="0.45">
      <c r="A89" s="3">
        <v>42500</v>
      </c>
      <c r="B89">
        <v>4338.21</v>
      </c>
      <c r="C89">
        <v>3.5624975421080229E-3</v>
      </c>
      <c r="D89">
        <f t="shared" ca="1" si="1"/>
        <v>-9.5862037560008787E-2</v>
      </c>
    </row>
    <row r="90" spans="1:4" x14ac:dyDescent="0.45">
      <c r="A90" s="3">
        <v>42501</v>
      </c>
      <c r="B90">
        <v>4316.67</v>
      </c>
      <c r="C90">
        <v>-4.9651814919056125E-3</v>
      </c>
      <c r="D90">
        <f t="shared" ca="1" si="1"/>
        <v>-4.5994797546065294E-2</v>
      </c>
    </row>
    <row r="91" spans="1:4" x14ac:dyDescent="0.45">
      <c r="A91" s="3">
        <v>42502</v>
      </c>
      <c r="B91">
        <v>4293.2700000000004</v>
      </c>
      <c r="C91">
        <v>-5.42084523486841E-3</v>
      </c>
      <c r="D91">
        <f t="shared" ca="1" si="1"/>
        <v>3.6360246697949253E-2</v>
      </c>
    </row>
    <row r="92" spans="1:4" x14ac:dyDescent="0.45">
      <c r="A92" s="3">
        <v>42503</v>
      </c>
      <c r="B92">
        <v>4319.99</v>
      </c>
      <c r="C92">
        <v>6.2236942936269024E-3</v>
      </c>
      <c r="D92">
        <f t="shared" ca="1" si="1"/>
        <v>-0.1617430198080082</v>
      </c>
    </row>
    <row r="93" spans="1:4" x14ac:dyDescent="0.45">
      <c r="A93" s="3">
        <v>42506</v>
      </c>
      <c r="B93">
        <v>4312.28</v>
      </c>
      <c r="C93">
        <v>-1.784726353533217E-3</v>
      </c>
      <c r="D93">
        <f t="shared" ca="1" si="1"/>
        <v>-0.13132271929167144</v>
      </c>
    </row>
    <row r="94" spans="1:4" x14ac:dyDescent="0.45">
      <c r="A94" s="3">
        <v>42507</v>
      </c>
      <c r="B94">
        <v>4297.57</v>
      </c>
      <c r="C94">
        <v>-3.4111885128053077E-3</v>
      </c>
      <c r="D94">
        <f t="shared" ca="1" si="1"/>
        <v>-5.1352038599926132E-2</v>
      </c>
    </row>
    <row r="95" spans="1:4" x14ac:dyDescent="0.45">
      <c r="A95" s="3">
        <v>42508</v>
      </c>
      <c r="B95">
        <v>4319.3</v>
      </c>
      <c r="C95">
        <v>5.0563457954146962E-3</v>
      </c>
      <c r="D95">
        <f t="shared" ca="1" si="1"/>
        <v>-5.90858256834021E-2</v>
      </c>
    </row>
    <row r="96" spans="1:4" x14ac:dyDescent="0.45">
      <c r="A96" s="3">
        <v>42509</v>
      </c>
      <c r="B96">
        <v>4282.54</v>
      </c>
      <c r="C96">
        <v>-8.5106382978723527E-3</v>
      </c>
      <c r="D96">
        <f t="shared" ca="1" si="1"/>
        <v>-0.20455317329914705</v>
      </c>
    </row>
    <row r="97" spans="1:4" x14ac:dyDescent="0.45">
      <c r="A97" s="3">
        <v>42510</v>
      </c>
      <c r="B97">
        <v>4353.8999999999996</v>
      </c>
      <c r="C97">
        <v>1.666300840155599E-2</v>
      </c>
      <c r="D97">
        <f t="shared" ca="1" si="1"/>
        <v>0.14756511415322338</v>
      </c>
    </row>
    <row r="98" spans="1:4" x14ac:dyDescent="0.45">
      <c r="A98" s="3">
        <v>42513</v>
      </c>
      <c r="B98">
        <v>4325.1000000000004</v>
      </c>
      <c r="C98">
        <v>-6.6147591814234019E-3</v>
      </c>
      <c r="D98">
        <f t="shared" ca="1" si="1"/>
        <v>0.13122190875199635</v>
      </c>
    </row>
    <row r="99" spans="1:4" x14ac:dyDescent="0.45">
      <c r="A99" s="3">
        <v>42514</v>
      </c>
      <c r="B99">
        <v>4431.5200000000004</v>
      </c>
      <c r="C99">
        <v>2.4605211440198005E-2</v>
      </c>
      <c r="D99">
        <f t="shared" ca="1" si="1"/>
        <v>-0.13671045362006889</v>
      </c>
    </row>
    <row r="100" spans="1:4" x14ac:dyDescent="0.45">
      <c r="A100" s="3">
        <v>42515</v>
      </c>
      <c r="B100">
        <v>4481.6400000000003</v>
      </c>
      <c r="C100">
        <v>1.1309889157670394E-2</v>
      </c>
      <c r="D100">
        <f t="shared" ca="1" si="1"/>
        <v>-5.7808535373228546E-2</v>
      </c>
    </row>
    <row r="101" spans="1:4" x14ac:dyDescent="0.45">
      <c r="A101" s="3">
        <v>42516</v>
      </c>
      <c r="B101">
        <v>4512.6400000000003</v>
      </c>
      <c r="C101">
        <v>6.9171107005470134E-3</v>
      </c>
      <c r="D101">
        <f t="shared" ca="1" si="1"/>
        <v>-0.14893397430925714</v>
      </c>
    </row>
    <row r="102" spans="1:4" x14ac:dyDescent="0.45">
      <c r="A102" s="3">
        <v>42517</v>
      </c>
      <c r="B102">
        <v>4514.74</v>
      </c>
      <c r="C102">
        <v>4.6535952347181997E-4</v>
      </c>
      <c r="D102">
        <f t="shared" ca="1" si="1"/>
        <v>0.2223187848854577</v>
      </c>
    </row>
    <row r="103" spans="1:4" x14ac:dyDescent="0.45">
      <c r="A103" s="3">
        <v>42520</v>
      </c>
      <c r="B103">
        <v>4529.3999999999996</v>
      </c>
      <c r="C103">
        <v>3.2471415851189622E-3</v>
      </c>
      <c r="D103">
        <f t="shared" ca="1" si="1"/>
        <v>0.10964101394962585</v>
      </c>
    </row>
    <row r="104" spans="1:4" x14ac:dyDescent="0.45">
      <c r="A104" s="3">
        <v>42521</v>
      </c>
      <c r="B104">
        <v>4505.62</v>
      </c>
      <c r="C104">
        <v>-5.2501435068661451E-3</v>
      </c>
      <c r="D104">
        <f t="shared" ca="1" si="1"/>
        <v>-0.11580330798060091</v>
      </c>
    </row>
    <row r="105" spans="1:4" x14ac:dyDescent="0.45">
      <c r="A105" s="3">
        <v>42522</v>
      </c>
      <c r="B105">
        <v>4475.3900000000003</v>
      </c>
      <c r="C105">
        <v>-6.7093984845592036E-3</v>
      </c>
      <c r="D105">
        <f t="shared" ca="1" si="1"/>
        <v>2.2598452040134005E-2</v>
      </c>
    </row>
    <row r="106" spans="1:4" x14ac:dyDescent="0.45">
      <c r="A106" s="3">
        <v>42523</v>
      </c>
      <c r="B106">
        <v>4466</v>
      </c>
      <c r="C106">
        <v>-2.0981411675854433E-3</v>
      </c>
      <c r="D106">
        <f t="shared" ca="1" si="1"/>
        <v>-3.5899857111315554E-2</v>
      </c>
    </row>
    <row r="107" spans="1:4" x14ac:dyDescent="0.45">
      <c r="A107" s="3">
        <v>42524</v>
      </c>
      <c r="B107">
        <v>4421.78</v>
      </c>
      <c r="C107">
        <v>-9.9014778325123842E-3</v>
      </c>
      <c r="D107">
        <f t="shared" ca="1" si="1"/>
        <v>-0.19746018719957828</v>
      </c>
    </row>
    <row r="108" spans="1:4" x14ac:dyDescent="0.45">
      <c r="A108" s="3">
        <v>42527</v>
      </c>
      <c r="B108">
        <v>4423.38</v>
      </c>
      <c r="C108">
        <v>3.6184522974913591E-4</v>
      </c>
      <c r="D108">
        <f t="shared" ca="1" si="1"/>
        <v>4.603909325189183E-2</v>
      </c>
    </row>
    <row r="109" spans="1:4" x14ac:dyDescent="0.45">
      <c r="A109" s="3">
        <v>42528</v>
      </c>
      <c r="B109">
        <v>4475.8599999999997</v>
      </c>
      <c r="C109">
        <v>1.1864230520552077E-2</v>
      </c>
      <c r="D109">
        <f t="shared" ca="1" si="1"/>
        <v>-8.7845352145618255E-2</v>
      </c>
    </row>
    <row r="110" spans="1:4" x14ac:dyDescent="0.45">
      <c r="A110" s="3">
        <v>42529</v>
      </c>
      <c r="B110">
        <v>4448.7299999999996</v>
      </c>
      <c r="C110">
        <v>-6.0614049590470565E-3</v>
      </c>
      <c r="D110">
        <f t="shared" ca="1" si="1"/>
        <v>0.17500626169980321</v>
      </c>
    </row>
    <row r="111" spans="1:4" x14ac:dyDescent="0.45">
      <c r="A111" s="3">
        <v>42530</v>
      </c>
      <c r="B111">
        <v>4405.6099999999997</v>
      </c>
      <c r="C111">
        <v>-9.6926538585169197E-3</v>
      </c>
      <c r="D111">
        <f t="shared" ca="1" si="1"/>
        <v>-0.2037087833830703</v>
      </c>
    </row>
    <row r="112" spans="1:4" x14ac:dyDescent="0.45">
      <c r="A112" s="3">
        <v>42531</v>
      </c>
      <c r="B112">
        <v>4306.72</v>
      </c>
      <c r="C112">
        <v>-2.2446380864397764E-2</v>
      </c>
      <c r="D112">
        <f t="shared" ca="1" si="1"/>
        <v>0.10226223418336305</v>
      </c>
    </row>
    <row r="113" spans="1:4" x14ac:dyDescent="0.45">
      <c r="A113" s="3">
        <v>42534</v>
      </c>
      <c r="B113">
        <v>4227.0200000000004</v>
      </c>
      <c r="C113">
        <v>-1.8505962774454709E-2</v>
      </c>
      <c r="D113">
        <f t="shared" ca="1" si="1"/>
        <v>6.9959601464731347E-2</v>
      </c>
    </row>
    <row r="114" spans="1:4" x14ac:dyDescent="0.45">
      <c r="A114" s="3">
        <v>42535</v>
      </c>
      <c r="B114">
        <v>4130.33</v>
      </c>
      <c r="C114">
        <v>-2.287427076285431E-2</v>
      </c>
      <c r="D114">
        <f t="shared" ca="1" si="1"/>
        <v>-0.15497727378592224</v>
      </c>
    </row>
    <row r="115" spans="1:4" x14ac:dyDescent="0.45">
      <c r="A115" s="3">
        <v>42536</v>
      </c>
      <c r="B115">
        <v>4171.58</v>
      </c>
      <c r="C115">
        <v>9.987095462105966E-3</v>
      </c>
      <c r="D115">
        <f t="shared" ca="1" si="1"/>
        <v>0.17397767497440592</v>
      </c>
    </row>
    <row r="116" spans="1:4" x14ac:dyDescent="0.45">
      <c r="A116" s="3">
        <v>42537</v>
      </c>
      <c r="B116">
        <v>4153.01</v>
      </c>
      <c r="C116">
        <v>-4.4515507313774849E-3</v>
      </c>
      <c r="D116">
        <f t="shared" ca="1" si="1"/>
        <v>2.278653915244247E-2</v>
      </c>
    </row>
    <row r="117" spans="1:4" x14ac:dyDescent="0.45">
      <c r="A117" s="3">
        <v>42538</v>
      </c>
      <c r="B117">
        <v>4193.83</v>
      </c>
      <c r="C117">
        <v>9.8290155814697577E-3</v>
      </c>
      <c r="D117">
        <f t="shared" ca="1" si="1"/>
        <v>-0.16969762853396475</v>
      </c>
    </row>
    <row r="118" spans="1:4" x14ac:dyDescent="0.45">
      <c r="A118" s="3">
        <v>42541</v>
      </c>
      <c r="B118">
        <v>4340.76</v>
      </c>
      <c r="C118">
        <v>3.5034801124509185E-2</v>
      </c>
      <c r="D118">
        <f t="shared" ca="1" si="1"/>
        <v>9.0978179916931107E-2</v>
      </c>
    </row>
    <row r="119" spans="1:4" x14ac:dyDescent="0.45">
      <c r="A119" s="3">
        <v>42542</v>
      </c>
      <c r="B119">
        <v>4367.24</v>
      </c>
      <c r="C119">
        <v>6.1003142306876867E-3</v>
      </c>
      <c r="D119">
        <f t="shared" ca="1" si="1"/>
        <v>0.13152480443022049</v>
      </c>
    </row>
    <row r="120" spans="1:4" x14ac:dyDescent="0.45">
      <c r="A120" s="3">
        <v>42543</v>
      </c>
      <c r="B120">
        <v>4380.03</v>
      </c>
      <c r="C120">
        <v>2.9286231120799755E-3</v>
      </c>
      <c r="D120">
        <f t="shared" ca="1" si="1"/>
        <v>-7.2944729482645354E-2</v>
      </c>
    </row>
    <row r="121" spans="1:4" x14ac:dyDescent="0.45">
      <c r="A121" s="3">
        <v>42544</v>
      </c>
      <c r="B121">
        <v>4465.8999999999996</v>
      </c>
      <c r="C121">
        <v>1.9604888550991628E-2</v>
      </c>
      <c r="D121">
        <f t="shared" ca="1" si="1"/>
        <v>3.2183538949552531E-2</v>
      </c>
    </row>
    <row r="122" spans="1:4" x14ac:dyDescent="0.45">
      <c r="A122" s="3">
        <v>42545</v>
      </c>
      <c r="B122">
        <v>4106.7299999999996</v>
      </c>
      <c r="C122">
        <v>-8.0424998320607344E-2</v>
      </c>
      <c r="D122">
        <f t="shared" ca="1" si="1"/>
        <v>1.8867649755869451E-2</v>
      </c>
    </row>
    <row r="123" spans="1:4" x14ac:dyDescent="0.45">
      <c r="A123" s="3">
        <v>42548</v>
      </c>
      <c r="B123">
        <v>3984.72</v>
      </c>
      <c r="C123">
        <v>-2.9709769086353366E-2</v>
      </c>
      <c r="D123">
        <f t="shared" ca="1" si="1"/>
        <v>-3.7985757397816511E-2</v>
      </c>
    </row>
    <row r="124" spans="1:4" x14ac:dyDescent="0.45">
      <c r="A124" s="3">
        <v>42549</v>
      </c>
      <c r="B124">
        <v>4088.85</v>
      </c>
      <c r="C124">
        <v>2.6132325483346319E-2</v>
      </c>
      <c r="D124">
        <f t="shared" ca="1" si="1"/>
        <v>-1.3445720949983591E-2</v>
      </c>
    </row>
    <row r="125" spans="1:4" x14ac:dyDescent="0.45">
      <c r="A125" s="3">
        <v>42550</v>
      </c>
      <c r="B125">
        <v>4195.32</v>
      </c>
      <c r="C125">
        <v>2.6039106350196128E-2</v>
      </c>
      <c r="D125">
        <f t="shared" ca="1" si="1"/>
        <v>1.8101175930991835E-3</v>
      </c>
    </row>
    <row r="126" spans="1:4" x14ac:dyDescent="0.45">
      <c r="A126" s="3">
        <v>42551</v>
      </c>
      <c r="B126">
        <v>4237.4799999999996</v>
      </c>
      <c r="C126">
        <v>1.0049293021747951E-2</v>
      </c>
      <c r="D126">
        <f t="shared" ca="1" si="1"/>
        <v>0.14426056438452131</v>
      </c>
    </row>
    <row r="127" spans="1:4" x14ac:dyDescent="0.45">
      <c r="A127" s="3">
        <v>42552</v>
      </c>
      <c r="B127">
        <v>4273.96</v>
      </c>
      <c r="C127">
        <v>8.6088901894523229E-3</v>
      </c>
      <c r="D127">
        <f t="shared" ca="1" si="1"/>
        <v>-0.20288948898879264</v>
      </c>
    </row>
    <row r="128" spans="1:4" x14ac:dyDescent="0.45">
      <c r="A128" s="3">
        <v>42555</v>
      </c>
      <c r="B128">
        <v>4234.8599999999997</v>
      </c>
      <c r="C128">
        <v>-9.1484244120207947E-3</v>
      </c>
      <c r="D128">
        <f t="shared" ca="1" si="1"/>
        <v>0.19310686248114958</v>
      </c>
    </row>
    <row r="129" spans="1:4" x14ac:dyDescent="0.45">
      <c r="A129" s="3">
        <v>42556</v>
      </c>
      <c r="B129">
        <v>4163.42</v>
      </c>
      <c r="C129">
        <v>-1.686950690223521E-2</v>
      </c>
      <c r="D129">
        <f t="shared" ca="1" si="1"/>
        <v>7.3175208848215559E-2</v>
      </c>
    </row>
    <row r="130" spans="1:4" x14ac:dyDescent="0.45">
      <c r="A130" s="3">
        <v>42557</v>
      </c>
      <c r="B130">
        <v>4085.3</v>
      </c>
      <c r="C130">
        <v>-1.8763420457220237E-2</v>
      </c>
      <c r="D130">
        <f t="shared" ca="1" si="1"/>
        <v>-7.7559535243102593E-2</v>
      </c>
    </row>
    <row r="131" spans="1:4" x14ac:dyDescent="0.45">
      <c r="A131" s="3">
        <v>42558</v>
      </c>
      <c r="B131">
        <v>4117.8500000000004</v>
      </c>
      <c r="C131">
        <v>7.9675911193792803E-3</v>
      </c>
      <c r="D131">
        <f t="shared" ca="1" si="1"/>
        <v>3.0894915350418238E-2</v>
      </c>
    </row>
    <row r="132" spans="1:4" x14ac:dyDescent="0.45">
      <c r="A132" s="3">
        <v>42559</v>
      </c>
      <c r="B132">
        <v>4190.68</v>
      </c>
      <c r="C132">
        <v>1.7686414026737207E-2</v>
      </c>
      <c r="D132">
        <f t="shared" ca="1" si="1"/>
        <v>-0.13238972561549706</v>
      </c>
    </row>
    <row r="133" spans="1:4" x14ac:dyDescent="0.45">
      <c r="A133" s="3">
        <v>42562</v>
      </c>
      <c r="B133">
        <v>4264.53</v>
      </c>
      <c r="C133">
        <v>1.7622438363224857E-2</v>
      </c>
      <c r="D133">
        <f t="shared" ca="1" si="1"/>
        <v>-0.19030699062106227</v>
      </c>
    </row>
    <row r="134" spans="1:4" x14ac:dyDescent="0.45">
      <c r="A134" s="3">
        <v>42563</v>
      </c>
      <c r="B134">
        <v>4331.38</v>
      </c>
      <c r="C134">
        <v>1.5675818906186745E-2</v>
      </c>
      <c r="D134">
        <f t="shared" ca="1" si="1"/>
        <v>-0.11183646993654596</v>
      </c>
    </row>
    <row r="135" spans="1:4" x14ac:dyDescent="0.45">
      <c r="A135" s="3">
        <v>42564</v>
      </c>
      <c r="B135">
        <v>4335.26</v>
      </c>
      <c r="C135">
        <v>8.9578840923687508E-4</v>
      </c>
      <c r="D135">
        <f t="shared" ca="1" si="1"/>
        <v>-0.25580122548290779</v>
      </c>
    </row>
    <row r="136" spans="1:4" x14ac:dyDescent="0.45">
      <c r="A136" s="3">
        <v>42565</v>
      </c>
      <c r="B136">
        <v>4385.5200000000004</v>
      </c>
      <c r="C136">
        <v>1.1593306975821616E-2</v>
      </c>
      <c r="D136">
        <f t="shared" ca="1" si="1"/>
        <v>-0.11046258796996181</v>
      </c>
    </row>
    <row r="137" spans="1:4" x14ac:dyDescent="0.45">
      <c r="A137" s="3">
        <v>42566</v>
      </c>
      <c r="B137">
        <v>4372.51</v>
      </c>
      <c r="C137">
        <v>-2.9665809299695978E-3</v>
      </c>
      <c r="D137">
        <f t="shared" ca="1" si="1"/>
        <v>7.0664187613060161E-2</v>
      </c>
    </row>
    <row r="138" spans="1:4" x14ac:dyDescent="0.45">
      <c r="A138" s="3">
        <v>42569</v>
      </c>
      <c r="B138">
        <v>4357.74</v>
      </c>
      <c r="C138">
        <v>-3.377922520474641E-3</v>
      </c>
      <c r="D138">
        <f t="shared" ref="D138:D201" ca="1" si="2">0.5*(RAND()-0.5+AVERAGE($D132:$D137))</f>
        <v>-6.8370423889384163E-2</v>
      </c>
    </row>
    <row r="139" spans="1:4" x14ac:dyDescent="0.45">
      <c r="A139" s="3">
        <v>42570</v>
      </c>
      <c r="B139">
        <v>4330.13</v>
      </c>
      <c r="C139">
        <v>-6.3358529880166436E-3</v>
      </c>
      <c r="D139">
        <f t="shared" ca="1" si="2"/>
        <v>0.15622174719586512</v>
      </c>
    </row>
    <row r="140" spans="1:4" x14ac:dyDescent="0.45">
      <c r="A140" s="3">
        <v>42571</v>
      </c>
      <c r="B140">
        <v>4379.76</v>
      </c>
      <c r="C140">
        <v>1.1461549653243752E-2</v>
      </c>
      <c r="D140">
        <f t="shared" ca="1" si="2"/>
        <v>-0.162849234716752</v>
      </c>
    </row>
    <row r="141" spans="1:4" x14ac:dyDescent="0.45">
      <c r="A141" s="3">
        <v>42572</v>
      </c>
      <c r="B141">
        <v>4376.25</v>
      </c>
      <c r="C141">
        <v>-8.0141377609732611E-4</v>
      </c>
      <c r="D141">
        <f t="shared" ca="1" si="2"/>
        <v>1.0424191153451775E-2</v>
      </c>
    </row>
    <row r="142" spans="1:4" x14ac:dyDescent="0.45">
      <c r="A142" s="3">
        <v>42573</v>
      </c>
      <c r="B142">
        <v>4381.1000000000004</v>
      </c>
      <c r="C142">
        <v>1.1082547843475066E-3</v>
      </c>
      <c r="D142">
        <f t="shared" ca="1" si="2"/>
        <v>-9.0457454787882807E-2</v>
      </c>
    </row>
    <row r="143" spans="1:4" x14ac:dyDescent="0.45">
      <c r="A143" s="3">
        <v>42576</v>
      </c>
      <c r="B143">
        <v>4388</v>
      </c>
      <c r="C143">
        <v>1.5749469311359121E-3</v>
      </c>
      <c r="D143">
        <f t="shared" ca="1" si="2"/>
        <v>8.4310612248199399E-2</v>
      </c>
    </row>
    <row r="144" spans="1:4" x14ac:dyDescent="0.45">
      <c r="A144" s="3">
        <v>42577</v>
      </c>
      <c r="B144">
        <v>4394.7700000000004</v>
      </c>
      <c r="C144">
        <v>1.542844120328235E-3</v>
      </c>
      <c r="D144">
        <f t="shared" ca="1" si="2"/>
        <v>-0.25197748964407396</v>
      </c>
    </row>
    <row r="145" spans="1:4" x14ac:dyDescent="0.45">
      <c r="A145" s="3">
        <v>42578</v>
      </c>
      <c r="B145">
        <v>4446.96</v>
      </c>
      <c r="C145">
        <v>1.1875479262851041E-2</v>
      </c>
      <c r="D145">
        <f t="shared" ca="1" si="2"/>
        <v>2.0057804362153295E-2</v>
      </c>
    </row>
    <row r="146" spans="1:4" x14ac:dyDescent="0.45">
      <c r="A146" s="3">
        <v>42579</v>
      </c>
      <c r="B146">
        <v>4420.58</v>
      </c>
      <c r="C146">
        <v>-5.9321424073974782E-3</v>
      </c>
      <c r="D146">
        <f t="shared" ca="1" si="2"/>
        <v>0.1458898216633307</v>
      </c>
    </row>
    <row r="147" spans="1:4" x14ac:dyDescent="0.45">
      <c r="A147" s="3">
        <v>42580</v>
      </c>
      <c r="B147">
        <v>4439.8100000000004</v>
      </c>
      <c r="C147">
        <v>4.3501079043928303E-3</v>
      </c>
      <c r="D147">
        <f t="shared" ca="1" si="2"/>
        <v>0.13148273630447038</v>
      </c>
    </row>
    <row r="148" spans="1:4" x14ac:dyDescent="0.45">
      <c r="A148" s="3">
        <v>42583</v>
      </c>
      <c r="B148">
        <v>4409.17</v>
      </c>
      <c r="C148">
        <v>-6.9011962223609613E-3</v>
      </c>
      <c r="D148">
        <f t="shared" ca="1" si="2"/>
        <v>-0.15037513782042353</v>
      </c>
    </row>
    <row r="149" spans="1:4" x14ac:dyDescent="0.45">
      <c r="A149" s="3">
        <v>42584</v>
      </c>
      <c r="B149">
        <v>4327.99</v>
      </c>
      <c r="C149">
        <v>-1.8411628492437382E-2</v>
      </c>
      <c r="D149">
        <f t="shared" ca="1" si="2"/>
        <v>2.8366028939338473E-2</v>
      </c>
    </row>
    <row r="150" spans="1:4" x14ac:dyDescent="0.45">
      <c r="A150" s="3">
        <v>42585</v>
      </c>
      <c r="B150">
        <v>4321.08</v>
      </c>
      <c r="C150">
        <v>-1.5965840956193578E-3</v>
      </c>
      <c r="D150">
        <f t="shared" ca="1" si="2"/>
        <v>-0.11209503971383521</v>
      </c>
    </row>
    <row r="151" spans="1:4" x14ac:dyDescent="0.45">
      <c r="A151" s="3">
        <v>42586</v>
      </c>
      <c r="B151">
        <v>4345.63</v>
      </c>
      <c r="C151">
        <v>5.6814500078683494E-3</v>
      </c>
      <c r="D151">
        <f t="shared" ca="1" si="2"/>
        <v>0.23091413379969958</v>
      </c>
    </row>
    <row r="152" spans="1:4" x14ac:dyDescent="0.45">
      <c r="A152" s="3">
        <v>42587</v>
      </c>
      <c r="B152">
        <v>4410.55</v>
      </c>
      <c r="C152">
        <v>1.4939145762524753E-2</v>
      </c>
      <c r="D152">
        <f t="shared" ca="1" si="2"/>
        <v>-1.6940130104612858E-4</v>
      </c>
    </row>
    <row r="153" spans="1:4" x14ac:dyDescent="0.45">
      <c r="A153" s="3">
        <v>42590</v>
      </c>
      <c r="B153">
        <v>4415.46</v>
      </c>
      <c r="C153">
        <v>1.113239845370817E-3</v>
      </c>
      <c r="D153">
        <f t="shared" ca="1" si="2"/>
        <v>0.10595942218163322</v>
      </c>
    </row>
    <row r="154" spans="1:4" x14ac:dyDescent="0.45">
      <c r="A154" s="3">
        <v>42591</v>
      </c>
      <c r="B154">
        <v>4468.07</v>
      </c>
      <c r="C154">
        <v>1.1914953368391989E-2</v>
      </c>
      <c r="D154">
        <f t="shared" ca="1" si="2"/>
        <v>-0.1799817675243553</v>
      </c>
    </row>
    <row r="155" spans="1:4" x14ac:dyDescent="0.45">
      <c r="A155" s="3">
        <v>42592</v>
      </c>
      <c r="B155">
        <v>4452.01</v>
      </c>
      <c r="C155">
        <v>-3.5943931048527666E-3</v>
      </c>
      <c r="D155">
        <f t="shared" ca="1" si="2"/>
        <v>-4.8016868029179954E-2</v>
      </c>
    </row>
    <row r="156" spans="1:4" x14ac:dyDescent="0.45">
      <c r="A156" s="3">
        <v>42593</v>
      </c>
      <c r="B156">
        <v>4503.95</v>
      </c>
      <c r="C156">
        <v>1.1666640461274635E-2</v>
      </c>
      <c r="D156">
        <f t="shared" ca="1" si="2"/>
        <v>0.1806022422593008</v>
      </c>
    </row>
    <row r="157" spans="1:4" x14ac:dyDescent="0.45">
      <c r="A157" s="3">
        <v>42594</v>
      </c>
      <c r="B157">
        <v>4500.1899999999996</v>
      </c>
      <c r="C157">
        <v>-8.3482276668267463E-4</v>
      </c>
      <c r="D157">
        <f t="shared" ca="1" si="2"/>
        <v>-2.3935415423251592E-2</v>
      </c>
    </row>
    <row r="158" spans="1:4" x14ac:dyDescent="0.45">
      <c r="A158" s="3">
        <v>42597</v>
      </c>
      <c r="B158">
        <v>4497.8599999999997</v>
      </c>
      <c r="C158">
        <v>-5.1775591697234002E-4</v>
      </c>
      <c r="D158">
        <f t="shared" ca="1" si="2"/>
        <v>7.327605104149601E-2</v>
      </c>
    </row>
    <row r="159" spans="1:4" x14ac:dyDescent="0.45">
      <c r="A159" s="3">
        <v>42598</v>
      </c>
      <c r="B159">
        <v>4460.4399999999996</v>
      </c>
      <c r="C159">
        <v>-8.3195119456808131E-3</v>
      </c>
      <c r="D159">
        <f t="shared" ca="1" si="2"/>
        <v>-0.24029757148780551</v>
      </c>
    </row>
    <row r="160" spans="1:4" x14ac:dyDescent="0.45">
      <c r="A160" s="3">
        <v>42599</v>
      </c>
      <c r="B160">
        <v>4417.68</v>
      </c>
      <c r="C160">
        <v>-9.5864981930032789E-3</v>
      </c>
      <c r="D160">
        <f t="shared" ca="1" si="2"/>
        <v>-0.18497113900483791</v>
      </c>
    </row>
    <row r="161" spans="1:4" x14ac:dyDescent="0.45">
      <c r="A161" s="3">
        <v>42600</v>
      </c>
      <c r="B161">
        <v>4437.0600000000004</v>
      </c>
      <c r="C161">
        <v>4.386918020318431E-3</v>
      </c>
      <c r="D161">
        <f t="shared" ca="1" si="2"/>
        <v>-0.10725493520865685</v>
      </c>
    </row>
    <row r="162" spans="1:4" x14ac:dyDescent="0.45">
      <c r="A162" s="3">
        <v>42601</v>
      </c>
      <c r="B162">
        <v>4400.5200000000004</v>
      </c>
      <c r="C162">
        <v>-8.2351827561493174E-3</v>
      </c>
      <c r="D162">
        <f t="shared" ca="1" si="2"/>
        <v>-0.27023006560886315</v>
      </c>
    </row>
    <row r="163" spans="1:4" x14ac:dyDescent="0.45">
      <c r="A163" s="3">
        <v>42604</v>
      </c>
      <c r="B163">
        <v>4389.9399999999996</v>
      </c>
      <c r="C163">
        <v>-2.4042613145720537E-3</v>
      </c>
      <c r="D163">
        <f t="shared" ca="1" si="2"/>
        <v>-0.20664022131252002</v>
      </c>
    </row>
    <row r="164" spans="1:4" x14ac:dyDescent="0.45">
      <c r="A164" s="3">
        <v>42605</v>
      </c>
      <c r="B164">
        <v>4421.45</v>
      </c>
      <c r="C164">
        <v>7.1777746392889252E-3</v>
      </c>
      <c r="D164">
        <f t="shared" ca="1" si="2"/>
        <v>-0.16354218461639752</v>
      </c>
    </row>
    <row r="165" spans="1:4" x14ac:dyDescent="0.45">
      <c r="A165" s="3">
        <v>42606</v>
      </c>
      <c r="B165">
        <v>4435.47</v>
      </c>
      <c r="C165">
        <v>3.1709054721869023E-3</v>
      </c>
      <c r="D165">
        <f t="shared" ca="1" si="2"/>
        <v>1.9031813856340049E-2</v>
      </c>
    </row>
    <row r="166" spans="1:4" x14ac:dyDescent="0.45">
      <c r="A166" s="3">
        <v>42607</v>
      </c>
      <c r="B166">
        <v>4406.6099999999997</v>
      </c>
      <c r="C166">
        <v>-6.5066385298515605E-3</v>
      </c>
      <c r="D166">
        <f t="shared" ca="1" si="2"/>
        <v>2.1373858606064486E-2</v>
      </c>
    </row>
    <row r="167" spans="1:4" x14ac:dyDescent="0.45">
      <c r="A167" s="3">
        <v>42608</v>
      </c>
      <c r="B167">
        <v>4441.87</v>
      </c>
      <c r="C167">
        <v>8.0016157545141908E-3</v>
      </c>
      <c r="D167">
        <f t="shared" ca="1" si="2"/>
        <v>4.4761541225918279E-2</v>
      </c>
    </row>
    <row r="168" spans="1:4" x14ac:dyDescent="0.45">
      <c r="A168" s="3">
        <v>42611</v>
      </c>
      <c r="B168">
        <v>4424.25</v>
      </c>
      <c r="C168">
        <v>-3.9667977676068888E-3</v>
      </c>
      <c r="D168">
        <f t="shared" ca="1" si="2"/>
        <v>-7.8294382775038723E-2</v>
      </c>
    </row>
    <row r="169" spans="1:4" x14ac:dyDescent="0.45">
      <c r="A169" s="3">
        <v>42612</v>
      </c>
      <c r="B169">
        <v>4457.49</v>
      </c>
      <c r="C169">
        <v>7.5131378199695398E-3</v>
      </c>
      <c r="D169">
        <f t="shared" ca="1" si="2"/>
        <v>-8.4444422323720889E-2</v>
      </c>
    </row>
    <row r="170" spans="1:4" x14ac:dyDescent="0.45">
      <c r="A170" s="3">
        <v>42613</v>
      </c>
      <c r="B170">
        <v>4438.22</v>
      </c>
      <c r="C170">
        <v>-4.3230607359746598E-3</v>
      </c>
      <c r="D170">
        <f t="shared" ca="1" si="2"/>
        <v>-9.6196170316380974E-2</v>
      </c>
    </row>
    <row r="171" spans="1:4" x14ac:dyDescent="0.45">
      <c r="A171" s="3">
        <v>42614</v>
      </c>
      <c r="B171">
        <v>4439.67</v>
      </c>
      <c r="C171">
        <v>3.2670755392927298E-4</v>
      </c>
      <c r="D171">
        <f t="shared" ca="1" si="2"/>
        <v>0.16074302189354112</v>
      </c>
    </row>
    <row r="172" spans="1:4" x14ac:dyDescent="0.45">
      <c r="A172" s="3">
        <v>42615</v>
      </c>
      <c r="B172">
        <v>4542.17</v>
      </c>
      <c r="C172">
        <v>2.3087301533672555E-2</v>
      </c>
      <c r="D172">
        <f t="shared" ca="1" si="2"/>
        <v>0.13513702633802718</v>
      </c>
    </row>
    <row r="173" spans="1:4" x14ac:dyDescent="0.45">
      <c r="A173" s="3">
        <v>42618</v>
      </c>
      <c r="B173">
        <v>4541.08</v>
      </c>
      <c r="C173">
        <v>-2.3997340478232321E-4</v>
      </c>
      <c r="D173">
        <f t="shared" ca="1" si="2"/>
        <v>-0.13991896012843136</v>
      </c>
    </row>
    <row r="174" spans="1:4" x14ac:dyDescent="0.45">
      <c r="A174" s="3">
        <v>42619</v>
      </c>
      <c r="B174">
        <v>4529.96</v>
      </c>
      <c r="C174">
        <v>-2.4487566834321406E-3</v>
      </c>
      <c r="D174">
        <f t="shared" ca="1" si="2"/>
        <v>-0.24717805351319108</v>
      </c>
    </row>
    <row r="175" spans="1:4" x14ac:dyDescent="0.45">
      <c r="A175" s="3">
        <v>42620</v>
      </c>
      <c r="B175">
        <v>4557.66</v>
      </c>
      <c r="C175">
        <v>6.114844281185583E-3</v>
      </c>
      <c r="D175">
        <f t="shared" ca="1" si="2"/>
        <v>-0.16759824199144746</v>
      </c>
    </row>
    <row r="176" spans="1:4" x14ac:dyDescent="0.45">
      <c r="A176" s="3">
        <v>42621</v>
      </c>
      <c r="B176">
        <v>4542.2</v>
      </c>
      <c r="C176">
        <v>-3.392091555754484E-3</v>
      </c>
      <c r="D176">
        <f t="shared" ca="1" si="2"/>
        <v>-7.0171835768231758E-2</v>
      </c>
    </row>
    <row r="177" spans="1:4" x14ac:dyDescent="0.45">
      <c r="A177" s="3">
        <v>42622</v>
      </c>
      <c r="B177">
        <v>4491.3999999999996</v>
      </c>
      <c r="C177">
        <v>-1.1184007749548752E-2</v>
      </c>
      <c r="D177">
        <f t="shared" ca="1" si="2"/>
        <v>0.11917047933464667</v>
      </c>
    </row>
    <row r="178" spans="1:4" x14ac:dyDescent="0.45">
      <c r="A178" s="3">
        <v>42625</v>
      </c>
      <c r="B178">
        <v>4439.8</v>
      </c>
      <c r="C178">
        <v>-1.1488622701162132E-2</v>
      </c>
      <c r="D178">
        <f t="shared" ca="1" si="2"/>
        <v>3.3861130870488684E-2</v>
      </c>
    </row>
    <row r="179" spans="1:4" x14ac:dyDescent="0.45">
      <c r="A179" s="3">
        <v>42626</v>
      </c>
      <c r="B179">
        <v>4387.18</v>
      </c>
      <c r="C179">
        <v>-1.1851885220054981E-2</v>
      </c>
      <c r="D179">
        <f t="shared" ca="1" si="2"/>
        <v>-8.0850030590975258E-2</v>
      </c>
    </row>
    <row r="180" spans="1:4" x14ac:dyDescent="0.45">
      <c r="A180" s="3">
        <v>42627</v>
      </c>
      <c r="B180">
        <v>4370.26</v>
      </c>
      <c r="C180">
        <v>-3.8566915421751613E-3</v>
      </c>
      <c r="D180">
        <f t="shared" ca="1" si="2"/>
        <v>-0.12657075220178907</v>
      </c>
    </row>
    <row r="181" spans="1:4" x14ac:dyDescent="0.45">
      <c r="A181" s="3">
        <v>42628</v>
      </c>
      <c r="B181">
        <v>4373.22</v>
      </c>
      <c r="C181">
        <v>6.7730524042053375E-4</v>
      </c>
      <c r="D181">
        <f t="shared" ca="1" si="2"/>
        <v>8.8682347764282313E-2</v>
      </c>
    </row>
    <row r="182" spans="1:4" x14ac:dyDescent="0.45">
      <c r="A182" s="3">
        <v>42629</v>
      </c>
      <c r="B182">
        <v>4332.45</v>
      </c>
      <c r="C182">
        <v>-9.3226501296528319E-3</v>
      </c>
      <c r="D182">
        <f t="shared" ca="1" si="2"/>
        <v>-0.20873075013789816</v>
      </c>
    </row>
    <row r="183" spans="1:4" x14ac:dyDescent="0.45">
      <c r="A183" s="3">
        <v>42632</v>
      </c>
      <c r="B183">
        <v>4394.1899999999996</v>
      </c>
      <c r="C183">
        <v>1.4250597237128959E-2</v>
      </c>
      <c r="D183">
        <f t="shared" ca="1" si="2"/>
        <v>0.13121889432129255</v>
      </c>
    </row>
    <row r="184" spans="1:4" x14ac:dyDescent="0.45">
      <c r="A184" s="3">
        <v>42633</v>
      </c>
      <c r="B184">
        <v>4388.6000000000004</v>
      </c>
      <c r="C184">
        <v>-1.2721343410274644E-3</v>
      </c>
      <c r="D184">
        <f t="shared" ca="1" si="2"/>
        <v>-0.1555636991553267</v>
      </c>
    </row>
    <row r="185" spans="1:4" x14ac:dyDescent="0.45">
      <c r="A185" s="3">
        <v>42634</v>
      </c>
      <c r="B185">
        <v>4409.55</v>
      </c>
      <c r="C185">
        <v>4.7737319418492685E-3</v>
      </c>
      <c r="D185">
        <f t="shared" ca="1" si="2"/>
        <v>-0.18289105167810779</v>
      </c>
    </row>
    <row r="186" spans="1:4" x14ac:dyDescent="0.45">
      <c r="A186" s="3">
        <v>42635</v>
      </c>
      <c r="B186">
        <v>4509.82</v>
      </c>
      <c r="C186">
        <v>2.2739281786123167E-2</v>
      </c>
      <c r="D186">
        <f t="shared" ca="1" si="2"/>
        <v>0.16041601799504809</v>
      </c>
    </row>
    <row r="187" spans="1:4" x14ac:dyDescent="0.45">
      <c r="A187" s="3">
        <v>42636</v>
      </c>
      <c r="B187">
        <v>4488.6899999999996</v>
      </c>
      <c r="C187">
        <v>-4.685331121862979E-3</v>
      </c>
      <c r="D187">
        <f t="shared" ca="1" si="2"/>
        <v>-0.16084496296620518</v>
      </c>
    </row>
    <row r="188" spans="1:4" x14ac:dyDescent="0.45">
      <c r="A188" s="3">
        <v>42639</v>
      </c>
      <c r="B188">
        <v>4407.8500000000004</v>
      </c>
      <c r="C188">
        <v>-1.8009708846010608E-2</v>
      </c>
      <c r="D188">
        <f t="shared" ca="1" si="2"/>
        <v>0.11287781332803656</v>
      </c>
    </row>
    <row r="189" spans="1:4" x14ac:dyDescent="0.45">
      <c r="A189" s="3">
        <v>42640</v>
      </c>
      <c r="B189">
        <v>4398.68</v>
      </c>
      <c r="C189">
        <v>-2.08037932325289E-3</v>
      </c>
      <c r="D189">
        <f t="shared" ca="1" si="2"/>
        <v>-5.7038765835117626E-2</v>
      </c>
    </row>
    <row r="190" spans="1:4" x14ac:dyDescent="0.45">
      <c r="A190" s="3">
        <v>42641</v>
      </c>
      <c r="B190">
        <v>4432.45</v>
      </c>
      <c r="C190">
        <v>7.6773031909571632E-3</v>
      </c>
      <c r="D190">
        <f t="shared" ca="1" si="2"/>
        <v>-0.15673512212981966</v>
      </c>
    </row>
    <row r="191" spans="1:4" x14ac:dyDescent="0.45">
      <c r="A191" s="3">
        <v>42642</v>
      </c>
      <c r="B191">
        <v>4443.84</v>
      </c>
      <c r="C191">
        <v>2.5696849372243147E-3</v>
      </c>
      <c r="D191">
        <f t="shared" ca="1" si="2"/>
        <v>-0.2400320990018128</v>
      </c>
    </row>
    <row r="192" spans="1:4" x14ac:dyDescent="0.45">
      <c r="A192" s="3">
        <v>42643</v>
      </c>
      <c r="B192">
        <v>4448.26</v>
      </c>
      <c r="C192">
        <v>9.9463527039689303E-4</v>
      </c>
      <c r="D192">
        <f t="shared" ca="1" si="2"/>
        <v>4.2736580006094343E-2</v>
      </c>
    </row>
    <row r="193" spans="1:4" x14ac:dyDescent="0.45">
      <c r="A193" s="3">
        <v>42646</v>
      </c>
      <c r="B193">
        <v>4453.5600000000004</v>
      </c>
      <c r="C193">
        <v>1.1914771168952676E-3</v>
      </c>
      <c r="D193">
        <f t="shared" ca="1" si="2"/>
        <v>6.0224423466393243E-3</v>
      </c>
    </row>
    <row r="194" spans="1:4" x14ac:dyDescent="0.45">
      <c r="A194" s="3">
        <v>42647</v>
      </c>
      <c r="B194">
        <v>4503.09</v>
      </c>
      <c r="C194">
        <v>1.112143992671033E-2</v>
      </c>
      <c r="D194">
        <f t="shared" ca="1" si="2"/>
        <v>1.5207938374908195E-2</v>
      </c>
    </row>
    <row r="195" spans="1:4" x14ac:dyDescent="0.45">
      <c r="A195" s="3">
        <v>42648</v>
      </c>
      <c r="B195">
        <v>4489.95</v>
      </c>
      <c r="C195">
        <v>-2.9179963092010874E-3</v>
      </c>
      <c r="D195">
        <f t="shared" ca="1" si="2"/>
        <v>1.2669750470345284E-2</v>
      </c>
    </row>
    <row r="196" spans="1:4" x14ac:dyDescent="0.45">
      <c r="A196" s="3">
        <v>42649</v>
      </c>
      <c r="B196">
        <v>4480.1000000000004</v>
      </c>
      <c r="C196">
        <v>-2.1937883495360966E-3</v>
      </c>
      <c r="D196">
        <f t="shared" ca="1" si="2"/>
        <v>-0.24267194906637066</v>
      </c>
    </row>
    <row r="197" spans="1:4" x14ac:dyDescent="0.45">
      <c r="A197" s="3">
        <v>42650</v>
      </c>
      <c r="B197">
        <v>4449.91</v>
      </c>
      <c r="C197">
        <v>-6.7386888685521118E-3</v>
      </c>
      <c r="D197">
        <f t="shared" ca="1" si="2"/>
        <v>-0.13868494218664396</v>
      </c>
    </row>
    <row r="198" spans="1:4" x14ac:dyDescent="0.45">
      <c r="A198" s="3">
        <v>42653</v>
      </c>
      <c r="B198">
        <v>4497.26</v>
      </c>
      <c r="C198">
        <v>1.0640664642655784E-2</v>
      </c>
      <c r="D198">
        <f t="shared" ca="1" si="2"/>
        <v>-2.7025698168718915E-2</v>
      </c>
    </row>
    <row r="199" spans="1:4" x14ac:dyDescent="0.45">
      <c r="A199" s="3">
        <v>42654</v>
      </c>
      <c r="B199">
        <v>4471.74</v>
      </c>
      <c r="C199">
        <v>-5.6745662914753359E-3</v>
      </c>
      <c r="D199">
        <f t="shared" ca="1" si="2"/>
        <v>-1.2860581678832566E-2</v>
      </c>
    </row>
    <row r="200" spans="1:4" x14ac:dyDescent="0.45">
      <c r="A200" s="3">
        <v>42655</v>
      </c>
      <c r="B200">
        <v>4452.24</v>
      </c>
      <c r="C200">
        <v>-4.3607186464329484E-3</v>
      </c>
      <c r="D200">
        <f t="shared" ca="1" si="2"/>
        <v>0.14818775040792326</v>
      </c>
    </row>
    <row r="201" spans="1:4" x14ac:dyDescent="0.45">
      <c r="A201" s="3">
        <v>42656</v>
      </c>
      <c r="B201">
        <v>4405.17</v>
      </c>
      <c r="C201">
        <v>-1.0572206350061952E-2</v>
      </c>
      <c r="D201">
        <f t="shared" ca="1" si="2"/>
        <v>-2.2114076104744144E-2</v>
      </c>
    </row>
    <row r="202" spans="1:4" x14ac:dyDescent="0.45">
      <c r="A202" s="3">
        <v>42657</v>
      </c>
      <c r="B202">
        <v>4470.92</v>
      </c>
      <c r="C202">
        <v>1.4925644186262854E-2</v>
      </c>
      <c r="D202">
        <f t="shared" ref="D202:D265" ca="1" si="3">0.5*(RAND()-0.5+AVERAGE($D196:$D201))</f>
        <v>0.22437536573084788</v>
      </c>
    </row>
    <row r="203" spans="1:4" x14ac:dyDescent="0.45">
      <c r="A203" s="3">
        <v>42660</v>
      </c>
      <c r="B203">
        <v>4450.2299999999996</v>
      </c>
      <c r="C203">
        <v>-4.6276828930065239E-3</v>
      </c>
      <c r="D203">
        <f t="shared" ca="1" si="3"/>
        <v>-0.18929936793179652</v>
      </c>
    </row>
    <row r="204" spans="1:4" x14ac:dyDescent="0.45">
      <c r="A204" s="3">
        <v>42661</v>
      </c>
      <c r="B204">
        <v>4508.91</v>
      </c>
      <c r="C204">
        <v>1.3185835338847651E-2</v>
      </c>
      <c r="D204">
        <f t="shared" ca="1" si="3"/>
        <v>3.364516430382309E-2</v>
      </c>
    </row>
    <row r="205" spans="1:4" x14ac:dyDescent="0.45">
      <c r="A205" s="3">
        <v>42662</v>
      </c>
      <c r="B205">
        <v>4520.3</v>
      </c>
      <c r="C205">
        <v>2.5261094144706231E-3</v>
      </c>
      <c r="D205">
        <f t="shared" ca="1" si="3"/>
        <v>2.3790192055403725E-3</v>
      </c>
    </row>
    <row r="206" spans="1:4" x14ac:dyDescent="0.45">
      <c r="A206" s="3">
        <v>42663</v>
      </c>
      <c r="B206">
        <v>4540.12</v>
      </c>
      <c r="C206">
        <v>4.3846647346414969E-3</v>
      </c>
      <c r="D206">
        <f t="shared" ca="1" si="3"/>
        <v>0.17109631380095952</v>
      </c>
    </row>
    <row r="207" spans="1:4" x14ac:dyDescent="0.45">
      <c r="A207" s="3">
        <v>42664</v>
      </c>
      <c r="B207">
        <v>4536.07</v>
      </c>
      <c r="C207">
        <v>-8.92046906249222E-4</v>
      </c>
      <c r="D207">
        <f t="shared" ca="1" si="3"/>
        <v>-1.9215123121193004E-2</v>
      </c>
    </row>
    <row r="208" spans="1:4" x14ac:dyDescent="0.45">
      <c r="A208" s="3">
        <v>42667</v>
      </c>
      <c r="B208">
        <v>4552.58</v>
      </c>
      <c r="C208">
        <v>3.6397145546696041E-3</v>
      </c>
      <c r="D208">
        <f t="shared" ca="1" si="3"/>
        <v>-4.7875919252839211E-2</v>
      </c>
    </row>
    <row r="209" spans="1:4" x14ac:dyDescent="0.45">
      <c r="A209" s="3">
        <v>42668</v>
      </c>
      <c r="B209">
        <v>4540.84</v>
      </c>
      <c r="C209">
        <v>-2.5787575396807316E-3</v>
      </c>
      <c r="D209">
        <f t="shared" ca="1" si="3"/>
        <v>-3.3460400084008829E-2</v>
      </c>
    </row>
    <row r="210" spans="1:4" x14ac:dyDescent="0.45">
      <c r="A210" s="3">
        <v>42669</v>
      </c>
      <c r="B210">
        <v>4534.59</v>
      </c>
      <c r="C210">
        <v>-1.3763973185577649E-3</v>
      </c>
      <c r="D210">
        <f t="shared" ca="1" si="3"/>
        <v>-0.16417060628247976</v>
      </c>
    </row>
    <row r="211" spans="1:4" x14ac:dyDescent="0.45">
      <c r="A211" s="3">
        <v>42670</v>
      </c>
      <c r="B211">
        <v>4533.57</v>
      </c>
      <c r="C211">
        <v>-2.2493764596143162E-4</v>
      </c>
      <c r="D211">
        <f t="shared" ca="1" si="3"/>
        <v>0.1665363451049898</v>
      </c>
    </row>
    <row r="212" spans="1:4" x14ac:dyDescent="0.45">
      <c r="A212" s="3">
        <v>42671</v>
      </c>
      <c r="B212">
        <v>4548.58</v>
      </c>
      <c r="C212">
        <v>3.3108565655763922E-3</v>
      </c>
      <c r="D212">
        <f t="shared" ca="1" si="3"/>
        <v>8.8318384233501718E-2</v>
      </c>
    </row>
    <row r="213" spans="1:4" x14ac:dyDescent="0.45">
      <c r="A213" s="3">
        <v>42674</v>
      </c>
      <c r="B213">
        <v>4509.26</v>
      </c>
      <c r="C213">
        <v>-8.6444560720048136E-3</v>
      </c>
      <c r="D213">
        <f t="shared" ca="1" si="3"/>
        <v>0.15167504207477184</v>
      </c>
    </row>
    <row r="214" spans="1:4" x14ac:dyDescent="0.45">
      <c r="A214" s="3">
        <v>42675</v>
      </c>
      <c r="B214">
        <v>4470.28</v>
      </c>
      <c r="C214">
        <v>-8.6444338982450963E-3</v>
      </c>
      <c r="D214">
        <f t="shared" ca="1" si="3"/>
        <v>-0.14631347079515444</v>
      </c>
    </row>
    <row r="215" spans="1:4" x14ac:dyDescent="0.45">
      <c r="A215" s="3">
        <v>42676</v>
      </c>
      <c r="B215">
        <v>4414.67</v>
      </c>
      <c r="C215">
        <v>-1.2439936648263594E-2</v>
      </c>
      <c r="D215">
        <f t="shared" ca="1" si="3"/>
        <v>0.18470413034951108</v>
      </c>
    </row>
    <row r="216" spans="1:4" x14ac:dyDescent="0.45">
      <c r="A216" s="3">
        <v>42677</v>
      </c>
      <c r="B216">
        <v>4411.68</v>
      </c>
      <c r="C216">
        <v>-6.7728731705873901E-4</v>
      </c>
      <c r="D216">
        <f t="shared" ca="1" si="3"/>
        <v>0.15396371122487051</v>
      </c>
    </row>
    <row r="217" spans="1:4" x14ac:dyDescent="0.45">
      <c r="A217" s="3">
        <v>42678</v>
      </c>
      <c r="B217">
        <v>4377.46</v>
      </c>
      <c r="C217">
        <v>-7.7566822616328412E-3</v>
      </c>
      <c r="D217">
        <f t="shared" ca="1" si="3"/>
        <v>6.0896089261794656E-2</v>
      </c>
    </row>
    <row r="218" spans="1:4" x14ac:dyDescent="0.45">
      <c r="A218" s="3">
        <v>42681</v>
      </c>
      <c r="B218">
        <v>4461.21</v>
      </c>
      <c r="C218">
        <v>1.9132099436659722E-2</v>
      </c>
      <c r="D218">
        <f t="shared" ca="1" si="3"/>
        <v>0.25848366070909107</v>
      </c>
    </row>
    <row r="219" spans="1:4" x14ac:dyDescent="0.45">
      <c r="A219" s="3">
        <v>42682</v>
      </c>
      <c r="B219">
        <v>4476.8900000000003</v>
      </c>
      <c r="C219">
        <v>3.5147415163152562E-3</v>
      </c>
      <c r="D219">
        <f t="shared" ca="1" si="3"/>
        <v>7.6383670729351122E-2</v>
      </c>
    </row>
    <row r="220" spans="1:4" x14ac:dyDescent="0.45">
      <c r="A220" s="3">
        <v>42683</v>
      </c>
      <c r="B220">
        <v>4543.4799999999996</v>
      </c>
      <c r="C220">
        <v>1.4874164877850315E-2</v>
      </c>
      <c r="D220">
        <f t="shared" ca="1" si="3"/>
        <v>0.25593121674743652</v>
      </c>
    </row>
    <row r="221" spans="1:4" x14ac:dyDescent="0.45">
      <c r="A221" s="3">
        <v>42684</v>
      </c>
      <c r="B221">
        <v>4530.95</v>
      </c>
      <c r="C221">
        <v>-2.757797987445687E-3</v>
      </c>
      <c r="D221">
        <f t="shared" ca="1" si="3"/>
        <v>0.22972640158127328</v>
      </c>
    </row>
    <row r="222" spans="1:4" x14ac:dyDescent="0.45">
      <c r="A222" s="3">
        <v>42685</v>
      </c>
      <c r="B222">
        <v>4489.2700000000004</v>
      </c>
      <c r="C222">
        <v>-9.1989538617728295E-3</v>
      </c>
      <c r="D222">
        <f t="shared" ca="1" si="3"/>
        <v>-0.13642576735872119</v>
      </c>
    </row>
    <row r="223" spans="1:4" x14ac:dyDescent="0.45">
      <c r="A223" s="3">
        <v>42688</v>
      </c>
      <c r="B223">
        <v>4508.55</v>
      </c>
      <c r="C223">
        <v>4.294684881951838E-3</v>
      </c>
      <c r="D223">
        <f t="shared" ca="1" si="3"/>
        <v>0.28199251978830658</v>
      </c>
    </row>
    <row r="224" spans="1:4" x14ac:dyDescent="0.45">
      <c r="A224" s="3">
        <v>42689</v>
      </c>
      <c r="B224">
        <v>4536.53</v>
      </c>
      <c r="C224">
        <v>6.2059864036108081E-3</v>
      </c>
      <c r="D224">
        <f t="shared" ca="1" si="3"/>
        <v>-0.12787974145505526</v>
      </c>
    </row>
    <row r="225" spans="1:4" x14ac:dyDescent="0.45">
      <c r="A225" s="3">
        <v>42690</v>
      </c>
      <c r="B225">
        <v>4501.1400000000003</v>
      </c>
      <c r="C225">
        <v>-7.8011167125533465E-3</v>
      </c>
      <c r="D225">
        <f t="shared" ca="1" si="3"/>
        <v>3.4689844587183147E-3</v>
      </c>
    </row>
    <row r="226" spans="1:4" x14ac:dyDescent="0.45">
      <c r="A226" s="3">
        <v>42691</v>
      </c>
      <c r="B226">
        <v>4527.7700000000004</v>
      </c>
      <c r="C226">
        <v>5.9162789871010091E-3</v>
      </c>
      <c r="D226">
        <f t="shared" ca="1" si="3"/>
        <v>0.20294940141762194</v>
      </c>
    </row>
    <row r="227" spans="1:4" x14ac:dyDescent="0.45">
      <c r="A227" s="3">
        <v>42692</v>
      </c>
      <c r="B227">
        <v>4504.3500000000004</v>
      </c>
      <c r="C227">
        <v>-5.1725242227410595E-3</v>
      </c>
      <c r="D227">
        <f t="shared" ca="1" si="3"/>
        <v>2.6832645628343553E-2</v>
      </c>
    </row>
    <row r="228" spans="1:4" x14ac:dyDescent="0.45">
      <c r="A228" s="3">
        <v>42695</v>
      </c>
      <c r="B228">
        <v>4529.58</v>
      </c>
      <c r="C228">
        <v>5.6012521229478196E-3</v>
      </c>
      <c r="D228">
        <f t="shared" ca="1" si="3"/>
        <v>-4.2254926960567415E-2</v>
      </c>
    </row>
    <row r="229" spans="1:4" x14ac:dyDescent="0.45">
      <c r="A229" s="3">
        <v>42696</v>
      </c>
      <c r="B229">
        <v>4548.3500000000004</v>
      </c>
      <c r="C229">
        <v>4.1438720587780864E-3</v>
      </c>
      <c r="D229">
        <f t="shared" ca="1" si="3"/>
        <v>-5.0939711780597974E-2</v>
      </c>
    </row>
    <row r="230" spans="1:4" x14ac:dyDescent="0.45">
      <c r="A230" s="3">
        <v>42697</v>
      </c>
      <c r="B230">
        <v>4529.21</v>
      </c>
      <c r="C230">
        <v>-4.2081194279244283E-3</v>
      </c>
      <c r="D230">
        <f t="shared" ca="1" si="3"/>
        <v>3.4147132796788437E-2</v>
      </c>
    </row>
    <row r="231" spans="1:4" x14ac:dyDescent="0.45">
      <c r="A231" s="3">
        <v>42698</v>
      </c>
      <c r="B231">
        <v>4542.5600000000004</v>
      </c>
      <c r="C231">
        <v>2.9475338966398201E-3</v>
      </c>
      <c r="D231">
        <f t="shared" ca="1" si="3"/>
        <v>-0.14881483166867707</v>
      </c>
    </row>
    <row r="232" spans="1:4" x14ac:dyDescent="0.45">
      <c r="A232" s="3">
        <v>42699</v>
      </c>
      <c r="B232">
        <v>4550.2700000000004</v>
      </c>
      <c r="C232">
        <v>1.6972808284314578E-3</v>
      </c>
      <c r="D232">
        <f t="shared" ca="1" si="3"/>
        <v>2.082462347576387E-2</v>
      </c>
    </row>
    <row r="233" spans="1:4" x14ac:dyDescent="0.45">
      <c r="A233" s="3">
        <v>42702</v>
      </c>
      <c r="B233">
        <v>4510.3900000000003</v>
      </c>
      <c r="C233">
        <v>-8.7643150845994056E-3</v>
      </c>
      <c r="D233">
        <f t="shared" ca="1" si="3"/>
        <v>-4.9566380589268468E-2</v>
      </c>
    </row>
    <row r="234" spans="1:4" x14ac:dyDescent="0.45">
      <c r="A234" s="3">
        <v>42703</v>
      </c>
      <c r="B234">
        <v>4551.46</v>
      </c>
      <c r="C234">
        <v>9.1056427492965941E-3</v>
      </c>
      <c r="D234">
        <f t="shared" ca="1" si="3"/>
        <v>0.18353078089144439</v>
      </c>
    </row>
    <row r="235" spans="1:4" x14ac:dyDescent="0.45">
      <c r="A235" s="3">
        <v>42704</v>
      </c>
      <c r="B235">
        <v>4578.34</v>
      </c>
      <c r="C235">
        <v>5.9057972606593179E-3</v>
      </c>
      <c r="D235">
        <f t="shared" ca="1" si="3"/>
        <v>6.7241668522540959E-2</v>
      </c>
    </row>
    <row r="236" spans="1:4" x14ac:dyDescent="0.45">
      <c r="A236" s="3">
        <v>42705</v>
      </c>
      <c r="B236">
        <v>4560.6099999999997</v>
      </c>
      <c r="C236">
        <v>-3.8725826391226015E-3</v>
      </c>
      <c r="D236">
        <f t="shared" ca="1" si="3"/>
        <v>-0.13305157953014052</v>
      </c>
    </row>
    <row r="237" spans="1:4" x14ac:dyDescent="0.45">
      <c r="A237" s="3">
        <v>42706</v>
      </c>
      <c r="B237">
        <v>4528.82</v>
      </c>
      <c r="C237">
        <v>-6.9705587629724786E-3</v>
      </c>
      <c r="D237">
        <f t="shared" ca="1" si="3"/>
        <v>-0.1136791789393666</v>
      </c>
    </row>
    <row r="238" spans="1:4" x14ac:dyDescent="0.45">
      <c r="A238" s="3">
        <v>42709</v>
      </c>
      <c r="B238">
        <v>4574.32</v>
      </c>
      <c r="C238">
        <v>1.0046767149058722E-2</v>
      </c>
      <c r="D238">
        <f t="shared" ca="1" si="3"/>
        <v>0.16484135227717034</v>
      </c>
    </row>
    <row r="239" spans="1:4" x14ac:dyDescent="0.45">
      <c r="A239" s="3">
        <v>42710</v>
      </c>
      <c r="B239">
        <v>4631.9399999999996</v>
      </c>
      <c r="C239">
        <v>1.2596407772084151E-2</v>
      </c>
      <c r="D239">
        <f t="shared" ca="1" si="3"/>
        <v>-0.19627658837957462</v>
      </c>
    </row>
    <row r="240" spans="1:4" x14ac:dyDescent="0.45">
      <c r="A240" s="3">
        <v>42711</v>
      </c>
      <c r="B240">
        <v>4694.72</v>
      </c>
      <c r="C240">
        <v>1.355371615349088E-2</v>
      </c>
      <c r="D240">
        <f t="shared" ca="1" si="3"/>
        <v>-0.18716880937446045</v>
      </c>
    </row>
    <row r="241" spans="1:4" x14ac:dyDescent="0.45">
      <c r="A241" s="3">
        <v>42712</v>
      </c>
      <c r="B241">
        <v>4735.4799999999996</v>
      </c>
      <c r="C241">
        <v>8.6820939267941988E-3</v>
      </c>
      <c r="D241">
        <f t="shared" ca="1" si="3"/>
        <v>-0.24300988096162288</v>
      </c>
    </row>
    <row r="242" spans="1:4" x14ac:dyDescent="0.45">
      <c r="A242" s="3">
        <v>42713</v>
      </c>
      <c r="B242">
        <v>4764.07</v>
      </c>
      <c r="C242">
        <v>6.0374027553702359E-3</v>
      </c>
      <c r="D242">
        <f t="shared" ca="1" si="3"/>
        <v>5.9383378874197285E-2</v>
      </c>
    </row>
    <row r="243" spans="1:4" x14ac:dyDescent="0.45">
      <c r="A243" s="3">
        <v>42716</v>
      </c>
      <c r="B243">
        <v>4760.7700000000004</v>
      </c>
      <c r="C243">
        <v>-6.9268503611397136E-4</v>
      </c>
      <c r="D243">
        <f t="shared" ca="1" si="3"/>
        <v>-0.2653484152244589</v>
      </c>
    </row>
    <row r="244" spans="1:4" x14ac:dyDescent="0.45">
      <c r="A244" s="3">
        <v>42717</v>
      </c>
      <c r="B244">
        <v>4803.87</v>
      </c>
      <c r="C244">
        <v>9.0531573674006438E-3</v>
      </c>
      <c r="D244">
        <f t="shared" ca="1" si="3"/>
        <v>-0.26490387804890214</v>
      </c>
    </row>
    <row r="245" spans="1:4" x14ac:dyDescent="0.45">
      <c r="A245" s="3">
        <v>42718</v>
      </c>
      <c r="B245">
        <v>4769.24</v>
      </c>
      <c r="C245">
        <v>-7.2087712615037658E-3</v>
      </c>
      <c r="D245">
        <f t="shared" ca="1" si="3"/>
        <v>-0.2330440261901483</v>
      </c>
    </row>
    <row r="246" spans="1:4" x14ac:dyDescent="0.45">
      <c r="A246" s="3">
        <v>42719</v>
      </c>
      <c r="B246">
        <v>4819.2299999999996</v>
      </c>
      <c r="C246">
        <v>1.0481753906282698E-2</v>
      </c>
      <c r="D246">
        <f t="shared" ca="1" si="3"/>
        <v>9.0221798180793594E-3</v>
      </c>
    </row>
    <row r="247" spans="1:4" x14ac:dyDescent="0.45">
      <c r="A247" s="3">
        <v>42720</v>
      </c>
      <c r="B247">
        <v>4833.2700000000004</v>
      </c>
      <c r="C247">
        <v>2.9133284777860258E-3</v>
      </c>
      <c r="D247">
        <f t="shared" ca="1" si="3"/>
        <v>-0.12004226993363548</v>
      </c>
    </row>
    <row r="248" spans="1:4" x14ac:dyDescent="0.45">
      <c r="A248" s="3">
        <v>42723</v>
      </c>
      <c r="B248">
        <v>4822.7700000000004</v>
      </c>
      <c r="C248">
        <v>-2.1724422595882364E-3</v>
      </c>
      <c r="D248">
        <f t="shared" ca="1" si="3"/>
        <v>-0.12275999114109498</v>
      </c>
    </row>
    <row r="249" spans="1:4" x14ac:dyDescent="0.45">
      <c r="A249" s="3">
        <v>42724</v>
      </c>
      <c r="B249">
        <v>4849.8900000000003</v>
      </c>
      <c r="C249">
        <v>5.6233243550904977E-3</v>
      </c>
      <c r="D249">
        <f t="shared" ca="1" si="3"/>
        <v>2.6375107975202983E-2</v>
      </c>
    </row>
    <row r="250" spans="1:4" x14ac:dyDescent="0.45">
      <c r="A250" s="3">
        <v>42725</v>
      </c>
      <c r="B250">
        <v>4833.82</v>
      </c>
      <c r="C250">
        <v>-3.3134772128853296E-3</v>
      </c>
      <c r="D250">
        <f t="shared" ca="1" si="3"/>
        <v>-0.30361611917839004</v>
      </c>
    </row>
    <row r="251" spans="1:4" x14ac:dyDescent="0.45">
      <c r="A251" s="3">
        <v>42726</v>
      </c>
      <c r="B251">
        <v>4834.63</v>
      </c>
      <c r="C251">
        <v>1.6756933439809885E-4</v>
      </c>
      <c r="D251">
        <f t="shared" ca="1" si="3"/>
        <v>4.36195878508603E-3</v>
      </c>
    </row>
    <row r="252" spans="1:4" x14ac:dyDescent="0.45">
      <c r="A252" s="3">
        <v>42727</v>
      </c>
      <c r="B252">
        <v>4839.68</v>
      </c>
      <c r="C252">
        <v>1.0445473593636567E-3</v>
      </c>
      <c r="D252">
        <f t="shared" ca="1" si="3"/>
        <v>-0.20639789758167851</v>
      </c>
    </row>
    <row r="253" spans="1:4" x14ac:dyDescent="0.45">
      <c r="A253" s="3">
        <v>42731</v>
      </c>
      <c r="B253">
        <v>4848.28</v>
      </c>
      <c r="C253">
        <v>1.7769769902140631E-3</v>
      </c>
      <c r="D253">
        <f t="shared" ca="1" si="3"/>
        <v>-1.0978280797343809E-2</v>
      </c>
    </row>
    <row r="254" spans="1:4" x14ac:dyDescent="0.45">
      <c r="A254" s="3">
        <v>42732</v>
      </c>
      <c r="B254">
        <v>4848.01</v>
      </c>
      <c r="C254">
        <v>-5.5689852896168013E-5</v>
      </c>
      <c r="D254">
        <f t="shared" ca="1" si="3"/>
        <v>-0.2595770508988765</v>
      </c>
    </row>
    <row r="255" spans="1:4" x14ac:dyDescent="0.45">
      <c r="A255" s="3">
        <v>42733</v>
      </c>
      <c r="B255">
        <v>4838.47</v>
      </c>
      <c r="C255">
        <v>-1.9678177231482463E-3</v>
      </c>
      <c r="D255">
        <f t="shared" ca="1" si="3"/>
        <v>-0.25083006765092225</v>
      </c>
    </row>
    <row r="256" spans="1:4" x14ac:dyDescent="0.45">
      <c r="A256" s="3">
        <v>42734</v>
      </c>
      <c r="B256">
        <v>4862.3100000000004</v>
      </c>
      <c r="C256">
        <v>4.9271773928536433E-3</v>
      </c>
      <c r="D256">
        <f t="shared" ca="1" si="3"/>
        <v>-0.32477750577018655</v>
      </c>
    </row>
    <row r="257" spans="1:4" x14ac:dyDescent="0.45">
      <c r="A257" s="3">
        <v>42737</v>
      </c>
      <c r="B257">
        <v>4882.38</v>
      </c>
      <c r="C257">
        <v>4.1276677134940432E-3</v>
      </c>
      <c r="D257">
        <f t="shared" ca="1" si="3"/>
        <v>0.12096264499925713</v>
      </c>
    </row>
    <row r="258" spans="1:4" x14ac:dyDescent="0.45">
      <c r="A258" s="3">
        <v>42738</v>
      </c>
      <c r="B258">
        <v>4899.33</v>
      </c>
      <c r="C258">
        <v>3.4716675064210278E-3</v>
      </c>
      <c r="D258">
        <f t="shared" ca="1" si="3"/>
        <v>-0.23014089852297526</v>
      </c>
    </row>
    <row r="259" spans="1:4" x14ac:dyDescent="0.45">
      <c r="A259" s="3">
        <v>42739</v>
      </c>
      <c r="B259">
        <v>4899.3999999999996</v>
      </c>
      <c r="C259">
        <v>1.4287667905454882E-5</v>
      </c>
      <c r="D259">
        <f t="shared" ca="1" si="3"/>
        <v>8.3902402878075835E-2</v>
      </c>
    </row>
    <row r="260" spans="1:4" x14ac:dyDescent="0.45">
      <c r="A260" s="3">
        <v>42740</v>
      </c>
      <c r="B260">
        <v>4900.6400000000003</v>
      </c>
      <c r="C260">
        <v>2.530922153733961E-4</v>
      </c>
      <c r="D260">
        <f t="shared" ca="1" si="3"/>
        <v>6.6362314760266342E-2</v>
      </c>
    </row>
    <row r="261" spans="1:4" x14ac:dyDescent="0.45">
      <c r="A261" s="3">
        <v>42741</v>
      </c>
      <c r="B261">
        <v>4909.84</v>
      </c>
      <c r="C261">
        <v>1.8773058212804283E-3</v>
      </c>
      <c r="D261">
        <f t="shared" ca="1" si="3"/>
        <v>-6.3485746650525449E-2</v>
      </c>
    </row>
    <row r="262" spans="1:4" x14ac:dyDescent="0.45">
      <c r="A262" s="3">
        <v>42744</v>
      </c>
      <c r="B262">
        <v>4887.57</v>
      </c>
      <c r="C262">
        <v>-4.5357893536246419E-3</v>
      </c>
      <c r="D262">
        <f t="shared" ca="1" si="3"/>
        <v>-0.17301098142636773</v>
      </c>
    </row>
    <row r="263" spans="1:4" x14ac:dyDescent="0.45">
      <c r="A263" s="3">
        <v>42745</v>
      </c>
      <c r="B263">
        <v>4888.2299999999996</v>
      </c>
      <c r="C263">
        <v>1.3503642914569625E-4</v>
      </c>
      <c r="D263">
        <f t="shared" ca="1" si="3"/>
        <v>-3.7265061943417874E-2</v>
      </c>
    </row>
    <row r="264" spans="1:4" x14ac:dyDescent="0.45">
      <c r="A264" s="3">
        <v>42746</v>
      </c>
      <c r="B264">
        <v>4888.71</v>
      </c>
      <c r="C264">
        <v>9.8195052196992094E-5</v>
      </c>
      <c r="D264">
        <f t="shared" ca="1" si="3"/>
        <v>-2.8122708772360408E-2</v>
      </c>
    </row>
    <row r="265" spans="1:4" x14ac:dyDescent="0.45">
      <c r="A265" s="3">
        <v>42747</v>
      </c>
      <c r="B265">
        <v>4863.97</v>
      </c>
      <c r="C265">
        <v>-5.0606397188623919E-3</v>
      </c>
      <c r="D265">
        <f t="shared" ca="1" si="3"/>
        <v>5.6601463027329182E-3</v>
      </c>
    </row>
    <row r="266" spans="1:4" x14ac:dyDescent="0.45">
      <c r="A266" s="3">
        <v>42748</v>
      </c>
      <c r="B266">
        <v>4922.49</v>
      </c>
      <c r="C266">
        <v>1.2031324206358107E-2</v>
      </c>
      <c r="D266">
        <f t="shared" ref="D266:D329" ca="1" si="4">0.5*(RAND()-0.5+AVERAGE($D260:$D265))</f>
        <v>-3.6926046368664769E-2</v>
      </c>
    </row>
    <row r="267" spans="1:4" x14ac:dyDescent="0.45">
      <c r="A267" s="3">
        <v>42751</v>
      </c>
      <c r="B267">
        <v>4882.18</v>
      </c>
      <c r="C267">
        <v>-8.1889450257897067E-3</v>
      </c>
      <c r="D267">
        <f t="shared" ca="1" si="4"/>
        <v>0.18089755186822287</v>
      </c>
    </row>
    <row r="268" spans="1:4" x14ac:dyDescent="0.45">
      <c r="A268" s="3">
        <v>42752</v>
      </c>
      <c r="B268">
        <v>4859.6899999999996</v>
      </c>
      <c r="C268">
        <v>-4.6065487138943206E-3</v>
      </c>
      <c r="D268">
        <f t="shared" ca="1" si="4"/>
        <v>0.10459523532582535</v>
      </c>
    </row>
    <row r="269" spans="1:4" x14ac:dyDescent="0.45">
      <c r="A269" s="3">
        <v>42753</v>
      </c>
      <c r="B269">
        <v>4853.3999999999996</v>
      </c>
      <c r="C269">
        <v>-1.2943212427130035E-3</v>
      </c>
      <c r="D269">
        <f t="shared" ca="1" si="4"/>
        <v>0.14847295687711706</v>
      </c>
    </row>
    <row r="270" spans="1:4" x14ac:dyDescent="0.45">
      <c r="A270" s="3">
        <v>42754</v>
      </c>
      <c r="B270">
        <v>4841.1400000000003</v>
      </c>
      <c r="C270">
        <v>-2.5260642024146351E-3</v>
      </c>
      <c r="D270">
        <f t="shared" ca="1" si="4"/>
        <v>2.601078053186956E-2</v>
      </c>
    </row>
    <row r="271" spans="1:4" x14ac:dyDescent="0.45">
      <c r="A271" s="3">
        <v>42755</v>
      </c>
      <c r="B271">
        <v>4850.67</v>
      </c>
      <c r="C271">
        <v>1.9685445989994221E-3</v>
      </c>
      <c r="D271">
        <f t="shared" ca="1" si="4"/>
        <v>-0.19777527421755953</v>
      </c>
    </row>
    <row r="272" spans="1:4" x14ac:dyDescent="0.45">
      <c r="A272" s="3">
        <v>42758</v>
      </c>
      <c r="B272">
        <v>4821.41</v>
      </c>
      <c r="C272">
        <v>-6.032156382520415E-3</v>
      </c>
      <c r="D272">
        <f t="shared" ca="1" si="4"/>
        <v>-0.15723845259297498</v>
      </c>
    </row>
    <row r="273" spans="1:4" x14ac:dyDescent="0.45">
      <c r="A273" s="3">
        <v>42759</v>
      </c>
      <c r="B273">
        <v>4830.03</v>
      </c>
      <c r="C273">
        <v>1.7878587384188016E-3</v>
      </c>
      <c r="D273">
        <f t="shared" ca="1" si="4"/>
        <v>9.6403757066874526E-2</v>
      </c>
    </row>
    <row r="274" spans="1:4" x14ac:dyDescent="0.45">
      <c r="A274" s="3">
        <v>42760</v>
      </c>
      <c r="B274">
        <v>4877.67</v>
      </c>
      <c r="C274">
        <v>9.8632927745792021E-3</v>
      </c>
      <c r="D274">
        <f t="shared" ca="1" si="4"/>
        <v>-0.15763196580319255</v>
      </c>
    </row>
    <row r="275" spans="1:4" x14ac:dyDescent="0.45">
      <c r="A275" s="3">
        <v>42761</v>
      </c>
      <c r="B275">
        <v>4867.24</v>
      </c>
      <c r="C275">
        <v>-2.1383160402406176E-3</v>
      </c>
      <c r="D275">
        <f t="shared" ca="1" si="4"/>
        <v>-0.11469621600135357</v>
      </c>
    </row>
    <row r="276" spans="1:4" x14ac:dyDescent="0.45">
      <c r="A276" s="3">
        <v>42762</v>
      </c>
      <c r="B276">
        <v>4839.9799999999996</v>
      </c>
      <c r="C276">
        <v>-5.6007100533361776E-3</v>
      </c>
      <c r="D276">
        <f t="shared" ca="1" si="4"/>
        <v>-2.2439017445470784E-2</v>
      </c>
    </row>
    <row r="277" spans="1:4" x14ac:dyDescent="0.45">
      <c r="A277" s="3">
        <v>42765</v>
      </c>
      <c r="B277">
        <v>4784.6400000000003</v>
      </c>
      <c r="C277">
        <v>-1.1433931545171472E-2</v>
      </c>
      <c r="D277">
        <f t="shared" ca="1" si="4"/>
        <v>-0.26944215420330064</v>
      </c>
    </row>
    <row r="278" spans="1:4" x14ac:dyDescent="0.45">
      <c r="A278" s="3">
        <v>42766</v>
      </c>
      <c r="B278">
        <v>4748.8999999999996</v>
      </c>
      <c r="C278">
        <v>-7.4697364901018526E-3</v>
      </c>
      <c r="D278">
        <f t="shared" ca="1" si="4"/>
        <v>-8.4593043297172071E-2</v>
      </c>
    </row>
    <row r="279" spans="1:4" x14ac:dyDescent="0.45">
      <c r="A279" s="3">
        <v>42767</v>
      </c>
      <c r="B279">
        <v>4794.58</v>
      </c>
      <c r="C279">
        <v>9.6190696792941566E-3</v>
      </c>
      <c r="D279">
        <f t="shared" ca="1" si="4"/>
        <v>4.486280749340963E-2</v>
      </c>
    </row>
    <row r="280" spans="1:4" x14ac:dyDescent="0.45">
      <c r="A280" s="3">
        <v>42768</v>
      </c>
      <c r="B280">
        <v>4794.29</v>
      </c>
      <c r="C280">
        <v>-6.0484964272133901E-5</v>
      </c>
      <c r="D280">
        <f t="shared" ca="1" si="4"/>
        <v>-0.22468702016108777</v>
      </c>
    </row>
    <row r="281" spans="1:4" x14ac:dyDescent="0.45">
      <c r="A281" s="3">
        <v>42769</v>
      </c>
      <c r="B281">
        <v>4825.42</v>
      </c>
      <c r="C281">
        <v>6.4931407987418588E-3</v>
      </c>
      <c r="D281">
        <f t="shared" ca="1" si="4"/>
        <v>3.7029232233867726E-2</v>
      </c>
    </row>
    <row r="282" spans="1:4" x14ac:dyDescent="0.45">
      <c r="A282" s="3">
        <v>42772</v>
      </c>
      <c r="B282">
        <v>4778.08</v>
      </c>
      <c r="C282">
        <v>-9.81054498883005E-3</v>
      </c>
      <c r="D282">
        <f t="shared" ca="1" si="4"/>
        <v>7.1036217111576955E-2</v>
      </c>
    </row>
    <row r="283" spans="1:4" x14ac:dyDescent="0.45">
      <c r="A283" s="3">
        <v>42773</v>
      </c>
      <c r="B283">
        <v>4754.47</v>
      </c>
      <c r="C283">
        <v>-4.9413153400528209E-3</v>
      </c>
      <c r="D283">
        <f t="shared" ca="1" si="4"/>
        <v>-0.20760742141207283</v>
      </c>
    </row>
    <row r="284" spans="1:4" x14ac:dyDescent="0.45">
      <c r="A284" s="3">
        <v>42774</v>
      </c>
      <c r="B284">
        <v>4766.6000000000004</v>
      </c>
      <c r="C284">
        <v>2.5512833186454031E-3</v>
      </c>
      <c r="D284">
        <f t="shared" ca="1" si="4"/>
        <v>-0.19134361724614313</v>
      </c>
    </row>
    <row r="285" spans="1:4" x14ac:dyDescent="0.45">
      <c r="A285" s="3">
        <v>42775</v>
      </c>
      <c r="B285">
        <v>4826.24</v>
      </c>
      <c r="C285">
        <v>1.2512063105777571E-2</v>
      </c>
      <c r="D285">
        <f t="shared" ca="1" si="4"/>
        <v>-6.5895706114480423E-2</v>
      </c>
    </row>
    <row r="286" spans="1:4" x14ac:dyDescent="0.45">
      <c r="A286" s="3">
        <v>42776</v>
      </c>
      <c r="B286">
        <v>4828.32</v>
      </c>
      <c r="C286">
        <v>4.30977323962356E-4</v>
      </c>
      <c r="D286">
        <f t="shared" ca="1" si="4"/>
        <v>8.1162669078048144E-2</v>
      </c>
    </row>
    <row r="287" spans="1:4" x14ac:dyDescent="0.45">
      <c r="A287" s="3">
        <v>42779</v>
      </c>
      <c r="B287">
        <v>4888.1899999999996</v>
      </c>
      <c r="C287">
        <v>1.2399758093912583E-2</v>
      </c>
      <c r="D287">
        <f t="shared" ca="1" si="4"/>
        <v>-0.2054227708667303</v>
      </c>
    </row>
    <row r="288" spans="1:4" x14ac:dyDescent="0.45">
      <c r="A288" s="3">
        <v>42780</v>
      </c>
      <c r="B288">
        <v>4895.82</v>
      </c>
      <c r="C288">
        <v>1.5609049566405186E-3</v>
      </c>
      <c r="D288">
        <f t="shared" ca="1" si="4"/>
        <v>-0.19536730597090718</v>
      </c>
    </row>
    <row r="289" spans="1:4" x14ac:dyDescent="0.45">
      <c r="A289" s="3">
        <v>42781</v>
      </c>
      <c r="B289">
        <v>4924.8599999999997</v>
      </c>
      <c r="C289">
        <v>5.9315906222041637E-3</v>
      </c>
      <c r="D289">
        <f t="shared" ca="1" si="4"/>
        <v>-1.8276781084510127E-2</v>
      </c>
    </row>
    <row r="290" spans="1:4" x14ac:dyDescent="0.45">
      <c r="A290" s="3">
        <v>42782</v>
      </c>
      <c r="B290">
        <v>4899.46</v>
      </c>
      <c r="C290">
        <v>-5.1575070154278313E-3</v>
      </c>
      <c r="D290">
        <f t="shared" ca="1" si="4"/>
        <v>-7.0381186999228795E-3</v>
      </c>
    </row>
    <row r="291" spans="1:4" x14ac:dyDescent="0.45">
      <c r="A291" s="3">
        <v>42783</v>
      </c>
      <c r="B291">
        <v>4867.58</v>
      </c>
      <c r="C291">
        <v>-6.506839529254238E-3</v>
      </c>
      <c r="D291">
        <f t="shared" ca="1" si="4"/>
        <v>-0.20307277440304441</v>
      </c>
    </row>
    <row r="292" spans="1:4" x14ac:dyDescent="0.45">
      <c r="A292" s="3">
        <v>42786</v>
      </c>
      <c r="B292">
        <v>4864.99</v>
      </c>
      <c r="C292">
        <v>-5.3209192247483106E-4</v>
      </c>
      <c r="D292">
        <f t="shared" ca="1" si="4"/>
        <v>-0.12931168228649137</v>
      </c>
    </row>
    <row r="293" spans="1:4" x14ac:dyDescent="0.45">
      <c r="A293" s="3">
        <v>42787</v>
      </c>
      <c r="B293">
        <v>4888.76</v>
      </c>
      <c r="C293">
        <v>4.8859298785814964E-3</v>
      </c>
      <c r="D293">
        <f t="shared" ca="1" si="4"/>
        <v>-1.3923596039675037E-2</v>
      </c>
    </row>
    <row r="294" spans="1:4" x14ac:dyDescent="0.45">
      <c r="A294" s="3">
        <v>42788</v>
      </c>
      <c r="B294">
        <v>4895.88</v>
      </c>
      <c r="C294">
        <v>1.4564020324172589E-3</v>
      </c>
      <c r="D294">
        <f t="shared" ca="1" si="4"/>
        <v>-0.13416342185372426</v>
      </c>
    </row>
    <row r="295" spans="1:4" x14ac:dyDescent="0.45">
      <c r="A295" s="3">
        <v>42789</v>
      </c>
      <c r="B295">
        <v>4891.29</v>
      </c>
      <c r="C295">
        <v>-9.3752297850435706E-4</v>
      </c>
      <c r="D295">
        <f t="shared" ca="1" si="4"/>
        <v>0.1469046719231773</v>
      </c>
    </row>
    <row r="296" spans="1:4" x14ac:dyDescent="0.45">
      <c r="A296" s="3">
        <v>42790</v>
      </c>
      <c r="B296">
        <v>4845.24</v>
      </c>
      <c r="C296">
        <v>-9.4146942831032643E-3</v>
      </c>
      <c r="D296">
        <f t="shared" ca="1" si="4"/>
        <v>3.386125364865275E-2</v>
      </c>
    </row>
    <row r="297" spans="1:4" x14ac:dyDescent="0.45">
      <c r="A297" s="3">
        <v>42793</v>
      </c>
      <c r="B297">
        <v>4845.18</v>
      </c>
      <c r="C297">
        <v>-1.2383287515072006E-5</v>
      </c>
      <c r="D297">
        <f t="shared" ca="1" si="4"/>
        <v>3.9202131918229341E-2</v>
      </c>
    </row>
    <row r="298" spans="1:4" x14ac:dyDescent="0.45">
      <c r="A298" s="3">
        <v>42794</v>
      </c>
      <c r="B298">
        <v>4858.58</v>
      </c>
      <c r="C298">
        <v>2.7656351260427758E-3</v>
      </c>
      <c r="D298">
        <f t="shared" ca="1" si="4"/>
        <v>0.22530387466536606</v>
      </c>
    </row>
    <row r="299" spans="1:4" x14ac:dyDescent="0.45">
      <c r="A299" s="3">
        <v>42795</v>
      </c>
      <c r="B299">
        <v>4960.83</v>
      </c>
      <c r="C299">
        <v>2.1045243672019431E-2</v>
      </c>
      <c r="D299">
        <f t="shared" ca="1" si="4"/>
        <v>5.5496945388905067E-2</v>
      </c>
    </row>
    <row r="300" spans="1:4" x14ac:dyDescent="0.45">
      <c r="A300" s="3">
        <v>42796</v>
      </c>
      <c r="B300">
        <v>4963.8</v>
      </c>
      <c r="C300">
        <v>5.9869013854552122E-4</v>
      </c>
      <c r="D300">
        <f t="shared" ca="1" si="4"/>
        <v>0.15844759145061943</v>
      </c>
    </row>
    <row r="301" spans="1:4" x14ac:dyDescent="0.45">
      <c r="A301" s="3">
        <v>42797</v>
      </c>
      <c r="B301">
        <v>4995.13</v>
      </c>
      <c r="C301">
        <v>6.3116966839920075E-3</v>
      </c>
      <c r="D301">
        <f t="shared" ca="1" si="4"/>
        <v>-0.16319698528260565</v>
      </c>
    </row>
    <row r="302" spans="1:4" x14ac:dyDescent="0.45">
      <c r="A302" s="3">
        <v>42800</v>
      </c>
      <c r="B302">
        <v>4972.1899999999996</v>
      </c>
      <c r="C302">
        <v>-4.5924730687690873E-3</v>
      </c>
      <c r="D302">
        <f t="shared" ca="1" si="4"/>
        <v>0.17839484666265051</v>
      </c>
    </row>
    <row r="303" spans="1:4" x14ac:dyDescent="0.45">
      <c r="A303" s="3">
        <v>42801</v>
      </c>
      <c r="B303">
        <v>4955</v>
      </c>
      <c r="C303">
        <v>-3.4572291083002638E-3</v>
      </c>
      <c r="D303">
        <f t="shared" ca="1" si="4"/>
        <v>-0.14637272382718303</v>
      </c>
    </row>
    <row r="304" spans="1:4" x14ac:dyDescent="0.45">
      <c r="A304" s="3">
        <v>42802</v>
      </c>
      <c r="B304">
        <v>4960.4799999999996</v>
      </c>
      <c r="C304">
        <v>1.1059535822399713E-3</v>
      </c>
      <c r="D304">
        <f t="shared" ca="1" si="4"/>
        <v>-3.0782292328618555E-2</v>
      </c>
    </row>
    <row r="305" spans="1:4" x14ac:dyDescent="0.45">
      <c r="A305" s="3">
        <v>42803</v>
      </c>
      <c r="B305">
        <v>4981.51</v>
      </c>
      <c r="C305">
        <v>4.2395090797666679E-3</v>
      </c>
      <c r="D305">
        <f t="shared" ca="1" si="4"/>
        <v>1.283123745800813E-2</v>
      </c>
    </row>
    <row r="306" spans="1:4" x14ac:dyDescent="0.45">
      <c r="A306" s="3">
        <v>42804</v>
      </c>
      <c r="B306">
        <v>4993.32</v>
      </c>
      <c r="C306">
        <v>2.3707670967236805E-3</v>
      </c>
      <c r="D306">
        <f t="shared" ca="1" si="4"/>
        <v>-1.2999075080510231E-2</v>
      </c>
    </row>
    <row r="307" spans="1:4" x14ac:dyDescent="0.45">
      <c r="A307" s="3">
        <v>42807</v>
      </c>
      <c r="B307">
        <v>4999.6000000000004</v>
      </c>
      <c r="C307">
        <v>1.2576802608286197E-3</v>
      </c>
      <c r="D307">
        <f t="shared" ca="1" si="4"/>
        <v>0.12432222438592656</v>
      </c>
    </row>
    <row r="308" spans="1:4" x14ac:dyDescent="0.45">
      <c r="A308" s="3">
        <v>42808</v>
      </c>
      <c r="B308">
        <v>4974.26</v>
      </c>
      <c r="C308">
        <v>-5.0684054724378091E-3</v>
      </c>
      <c r="D308">
        <f t="shared" ca="1" si="4"/>
        <v>0.1874558420407019</v>
      </c>
    </row>
    <row r="309" spans="1:4" x14ac:dyDescent="0.45">
      <c r="A309" s="3">
        <v>42809</v>
      </c>
      <c r="B309">
        <v>4985.4799999999996</v>
      </c>
      <c r="C309">
        <v>2.2556118900096678E-3</v>
      </c>
      <c r="D309">
        <f t="shared" ca="1" si="4"/>
        <v>0.165917560951958</v>
      </c>
    </row>
    <row r="310" spans="1:4" x14ac:dyDescent="0.45">
      <c r="A310" s="3">
        <v>42810</v>
      </c>
      <c r="B310">
        <v>5013.38</v>
      </c>
      <c r="C310">
        <v>5.5962515143979097E-3</v>
      </c>
      <c r="D310">
        <f t="shared" ca="1" si="4"/>
        <v>0.1939333436263512</v>
      </c>
    </row>
    <row r="311" spans="1:4" x14ac:dyDescent="0.45">
      <c r="A311" s="3">
        <v>42811</v>
      </c>
      <c r="B311">
        <v>5029.24</v>
      </c>
      <c r="C311">
        <v>3.1635343819937933E-3</v>
      </c>
      <c r="D311">
        <f t="shared" ca="1" si="4"/>
        <v>0.10229416649912304</v>
      </c>
    </row>
    <row r="312" spans="1:4" x14ac:dyDescent="0.45">
      <c r="A312" s="3">
        <v>42814</v>
      </c>
      <c r="B312">
        <v>5012.16</v>
      </c>
      <c r="C312">
        <v>-3.3961393769237347E-3</v>
      </c>
      <c r="D312">
        <f t="shared" ca="1" si="4"/>
        <v>3.8369550862785151E-3</v>
      </c>
    </row>
    <row r="313" spans="1:4" x14ac:dyDescent="0.45">
      <c r="A313" s="3">
        <v>42815</v>
      </c>
      <c r="B313">
        <v>5002.43</v>
      </c>
      <c r="C313">
        <v>-1.9412788099341105E-3</v>
      </c>
      <c r="D313">
        <f t="shared" ca="1" si="4"/>
        <v>-7.3165889099337425E-2</v>
      </c>
    </row>
    <row r="314" spans="1:4" x14ac:dyDescent="0.45">
      <c r="A314" s="3">
        <v>42816</v>
      </c>
      <c r="B314">
        <v>4994.7</v>
      </c>
      <c r="C314">
        <v>-1.5452490089816751E-3</v>
      </c>
      <c r="D314">
        <f t="shared" ca="1" si="4"/>
        <v>0.29360768465649639</v>
      </c>
    </row>
    <row r="315" spans="1:4" x14ac:dyDescent="0.45">
      <c r="A315" s="3">
        <v>42817</v>
      </c>
      <c r="B315">
        <v>5032.76</v>
      </c>
      <c r="C315">
        <v>7.6200772819188245E-3</v>
      </c>
      <c r="D315">
        <f t="shared" ca="1" si="4"/>
        <v>-4.0187893490959282E-2</v>
      </c>
    </row>
    <row r="316" spans="1:4" x14ac:dyDescent="0.45">
      <c r="A316" s="3">
        <v>42818</v>
      </c>
      <c r="B316">
        <v>5020.8999999999996</v>
      </c>
      <c r="C316">
        <v>-2.356559820059112E-3</v>
      </c>
      <c r="D316">
        <f t="shared" ca="1" si="4"/>
        <v>0.20903997683627279</v>
      </c>
    </row>
    <row r="317" spans="1:4" x14ac:dyDescent="0.45">
      <c r="A317" s="3">
        <v>42821</v>
      </c>
      <c r="B317">
        <v>5017.43</v>
      </c>
      <c r="C317">
        <v>-6.9111115537046075E-4</v>
      </c>
      <c r="D317">
        <f t="shared" ca="1" si="4"/>
        <v>6.214162932679846E-2</v>
      </c>
    </row>
    <row r="318" spans="1:4" x14ac:dyDescent="0.45">
      <c r="A318" s="3">
        <v>42822</v>
      </c>
      <c r="B318">
        <v>5046.2</v>
      </c>
      <c r="C318">
        <v>5.7340112368282625E-3</v>
      </c>
      <c r="D318">
        <f t="shared" ca="1" si="4"/>
        <v>0.26410320868726345</v>
      </c>
    </row>
    <row r="319" spans="1:4" x14ac:dyDescent="0.45">
      <c r="A319" s="3">
        <v>42823</v>
      </c>
      <c r="B319">
        <v>5069.04</v>
      </c>
      <c r="C319">
        <v>4.5261781142245106E-3</v>
      </c>
      <c r="D319">
        <f t="shared" ca="1" si="4"/>
        <v>1.3877324098353717E-2</v>
      </c>
    </row>
    <row r="320" spans="1:4" x14ac:dyDescent="0.45">
      <c r="A320" s="3">
        <v>42824</v>
      </c>
      <c r="B320">
        <v>5089.6400000000003</v>
      </c>
      <c r="C320">
        <v>4.063885863990091E-3</v>
      </c>
      <c r="D320">
        <f t="shared" ca="1" si="4"/>
        <v>0.22075455353435855</v>
      </c>
    </row>
    <row r="321" spans="1:4" x14ac:dyDescent="0.45">
      <c r="A321" s="3">
        <v>42825</v>
      </c>
      <c r="B321">
        <v>5122.51</v>
      </c>
      <c r="C321">
        <v>6.4582170841158693E-3</v>
      </c>
      <c r="D321">
        <f t="shared" ca="1" si="4"/>
        <v>7.9517084639124075E-2</v>
      </c>
    </row>
    <row r="322" spans="1:4" x14ac:dyDescent="0.45">
      <c r="A322" s="3">
        <v>42828</v>
      </c>
      <c r="B322">
        <v>5085.91</v>
      </c>
      <c r="C322">
        <v>-7.1449348073503449E-3</v>
      </c>
      <c r="D322">
        <f t="shared" ca="1" si="4"/>
        <v>0.2547118098913328</v>
      </c>
    </row>
    <row r="323" spans="1:4" x14ac:dyDescent="0.45">
      <c r="A323" s="3">
        <v>42829</v>
      </c>
      <c r="B323">
        <v>5101.13</v>
      </c>
      <c r="C323">
        <v>2.9925814652638216E-3</v>
      </c>
      <c r="D323">
        <f t="shared" ca="1" si="4"/>
        <v>-9.1704068864499971E-2</v>
      </c>
    </row>
    <row r="324" spans="1:4" x14ac:dyDescent="0.45">
      <c r="A324" s="3">
        <v>42830</v>
      </c>
      <c r="B324">
        <v>5091.8500000000004</v>
      </c>
      <c r="C324">
        <v>-1.8192047644345344E-3</v>
      </c>
      <c r="D324">
        <f t="shared" ca="1" si="4"/>
        <v>-8.6555319050603707E-2</v>
      </c>
    </row>
    <row r="325" spans="1:4" x14ac:dyDescent="0.45">
      <c r="A325" s="3">
        <v>42831</v>
      </c>
      <c r="B325">
        <v>5121.4399999999996</v>
      </c>
      <c r="C325">
        <v>5.8112473855276292E-3</v>
      </c>
      <c r="D325">
        <f t="shared" ca="1" si="4"/>
        <v>0.15661233617488227</v>
      </c>
    </row>
    <row r="326" spans="1:4" x14ac:dyDescent="0.45">
      <c r="A326" s="3">
        <v>42832</v>
      </c>
      <c r="B326">
        <v>5135.28</v>
      </c>
      <c r="C326">
        <v>2.7023649598549859E-3</v>
      </c>
      <c r="D326">
        <f t="shared" ca="1" si="4"/>
        <v>-4.2604842627525508E-2</v>
      </c>
    </row>
    <row r="327" spans="1:4" x14ac:dyDescent="0.45">
      <c r="A327" s="3">
        <v>42835</v>
      </c>
      <c r="B327">
        <v>5107.45</v>
      </c>
      <c r="C327">
        <v>-5.4193734324126108E-3</v>
      </c>
      <c r="D327">
        <f t="shared" ca="1" si="4"/>
        <v>-0.15286726267098008</v>
      </c>
    </row>
    <row r="328" spans="1:4" x14ac:dyDescent="0.45">
      <c r="A328" s="3">
        <v>42836</v>
      </c>
      <c r="B328">
        <v>5101.8599999999997</v>
      </c>
      <c r="C328">
        <v>-1.0944796326934902E-3</v>
      </c>
      <c r="D328">
        <f t="shared" ca="1" si="4"/>
        <v>-0.1051012603824826</v>
      </c>
    </row>
    <row r="329" spans="1:4" x14ac:dyDescent="0.45">
      <c r="A329" s="3">
        <v>42837</v>
      </c>
      <c r="B329">
        <v>5101.1099999999997</v>
      </c>
      <c r="C329">
        <v>-1.4700520986465904E-4</v>
      </c>
      <c r="D329">
        <f t="shared" ca="1" si="4"/>
        <v>-0.15359280551850985</v>
      </c>
    </row>
    <row r="330" spans="1:4" x14ac:dyDescent="0.45">
      <c r="A330" s="3">
        <v>42838</v>
      </c>
      <c r="B330">
        <v>5071.1000000000004</v>
      </c>
      <c r="C330">
        <v>-5.8830333005952529E-3</v>
      </c>
      <c r="D330">
        <f t="shared" ref="D330:D393" ca="1" si="5">0.5*(RAND()-0.5+AVERAGE($D324:$D329))</f>
        <v>-0.17526559340127634</v>
      </c>
    </row>
    <row r="331" spans="1:4" x14ac:dyDescent="0.45">
      <c r="A331" s="3">
        <v>42843</v>
      </c>
      <c r="B331">
        <v>4990.25</v>
      </c>
      <c r="C331">
        <v>-1.594328646644716E-2</v>
      </c>
      <c r="D331">
        <f t="shared" ca="1" si="5"/>
        <v>6.7773458170564294E-2</v>
      </c>
    </row>
    <row r="332" spans="1:4" x14ac:dyDescent="0.45">
      <c r="A332" s="3">
        <v>42844</v>
      </c>
      <c r="B332">
        <v>5003.7299999999996</v>
      </c>
      <c r="C332">
        <v>2.7012674715694018E-3</v>
      </c>
      <c r="D332">
        <f t="shared" ca="1" si="5"/>
        <v>0.1167017182352324</v>
      </c>
    </row>
    <row r="333" spans="1:4" x14ac:dyDescent="0.45">
      <c r="A333" s="3">
        <v>42845</v>
      </c>
      <c r="B333">
        <v>5077.91</v>
      </c>
      <c r="C333">
        <v>1.4824940594316605E-2</v>
      </c>
      <c r="D333">
        <f t="shared" ca="1" si="5"/>
        <v>-7.1374779167200225E-2</v>
      </c>
    </row>
    <row r="334" spans="1:4" x14ac:dyDescent="0.45">
      <c r="A334" s="3">
        <v>42846</v>
      </c>
      <c r="B334">
        <v>5059.2</v>
      </c>
      <c r="C334">
        <v>-3.6845867689659917E-3</v>
      </c>
      <c r="D334">
        <f t="shared" ca="1" si="5"/>
        <v>0.17027272098761537</v>
      </c>
    </row>
    <row r="335" spans="1:4" x14ac:dyDescent="0.45">
      <c r="A335" s="3">
        <v>42849</v>
      </c>
      <c r="B335">
        <v>5268.85</v>
      </c>
      <c r="C335">
        <v>4.1439358001265081E-2</v>
      </c>
      <c r="D335">
        <f t="shared" ca="1" si="5"/>
        <v>7.1389311799416738E-2</v>
      </c>
    </row>
    <row r="336" spans="1:4" x14ac:dyDescent="0.45">
      <c r="A336" s="3">
        <v>42850</v>
      </c>
      <c r="B336">
        <v>5277.88</v>
      </c>
      <c r="C336">
        <v>1.7138464750372506E-3</v>
      </c>
      <c r="D336">
        <f t="shared" ca="1" si="5"/>
        <v>-0.2007445260560643</v>
      </c>
    </row>
    <row r="337" spans="1:4" x14ac:dyDescent="0.45">
      <c r="A337" s="3">
        <v>42851</v>
      </c>
      <c r="B337">
        <v>5287.88</v>
      </c>
      <c r="C337">
        <v>1.8947001447551237E-3</v>
      </c>
      <c r="D337">
        <f t="shared" ca="1" si="5"/>
        <v>-3.2475632220342415E-2</v>
      </c>
    </row>
    <row r="338" spans="1:4" x14ac:dyDescent="0.45">
      <c r="A338" s="3">
        <v>42852</v>
      </c>
      <c r="B338">
        <v>5271.7</v>
      </c>
      <c r="C338">
        <v>-3.0598273788361441E-3</v>
      </c>
      <c r="D338">
        <f t="shared" ca="1" si="5"/>
        <v>0.10156914074361235</v>
      </c>
    </row>
    <row r="339" spans="1:4" x14ac:dyDescent="0.45">
      <c r="A339" s="3">
        <v>42853</v>
      </c>
      <c r="B339">
        <v>5267.33</v>
      </c>
      <c r="C339">
        <v>-8.2895460667331555E-4</v>
      </c>
      <c r="D339">
        <f t="shared" ca="1" si="5"/>
        <v>7.2380217835907659E-2</v>
      </c>
    </row>
    <row r="340" spans="1:4" x14ac:dyDescent="0.45">
      <c r="A340" s="3">
        <v>42857</v>
      </c>
      <c r="B340">
        <v>5304.15</v>
      </c>
      <c r="C340">
        <v>6.9902588218317963E-3</v>
      </c>
      <c r="D340">
        <f t="shared" ca="1" si="5"/>
        <v>9.1759785528502752E-2</v>
      </c>
    </row>
    <row r="341" spans="1:4" x14ac:dyDescent="0.45">
      <c r="A341" s="3">
        <v>42858</v>
      </c>
      <c r="B341">
        <v>5301</v>
      </c>
      <c r="C341">
        <v>-5.938746076185053E-4</v>
      </c>
      <c r="D341">
        <f t="shared" ca="1" si="5"/>
        <v>0.19446925600816428</v>
      </c>
    </row>
    <row r="342" spans="1:4" x14ac:dyDescent="0.45">
      <c r="A342" s="3">
        <v>42859</v>
      </c>
      <c r="B342">
        <v>5372.42</v>
      </c>
      <c r="C342">
        <v>1.347292963591773E-2</v>
      </c>
      <c r="D342">
        <f t="shared" ca="1" si="5"/>
        <v>-0.20774040245770994</v>
      </c>
    </row>
    <row r="343" spans="1:4" x14ac:dyDescent="0.45">
      <c r="A343" s="3">
        <v>42860</v>
      </c>
      <c r="B343">
        <v>5432.4</v>
      </c>
      <c r="C343">
        <v>1.1164428693214434E-2</v>
      </c>
      <c r="D343">
        <f t="shared" ca="1" si="5"/>
        <v>-0.12455300403096821</v>
      </c>
    </row>
    <row r="344" spans="1:4" x14ac:dyDescent="0.45">
      <c r="A344" s="3">
        <v>42863</v>
      </c>
      <c r="B344">
        <v>5382.95</v>
      </c>
      <c r="C344">
        <v>-9.1027906634267852E-3</v>
      </c>
      <c r="D344">
        <f t="shared" ca="1" si="5"/>
        <v>1.7121834801422785E-2</v>
      </c>
    </row>
    <row r="345" spans="1:4" x14ac:dyDescent="0.45">
      <c r="A345" s="3">
        <v>42864</v>
      </c>
      <c r="B345">
        <v>5398.01</v>
      </c>
      <c r="C345">
        <v>2.797722438439898E-3</v>
      </c>
      <c r="D345">
        <f t="shared" ca="1" si="5"/>
        <v>-0.17134808365719742</v>
      </c>
    </row>
    <row r="346" spans="1:4" x14ac:dyDescent="0.45">
      <c r="A346" s="3">
        <v>42865</v>
      </c>
      <c r="B346">
        <v>5400.46</v>
      </c>
      <c r="C346">
        <v>4.5387096355886669E-4</v>
      </c>
      <c r="D346">
        <f t="shared" ca="1" si="5"/>
        <v>6.5670377364580312E-2</v>
      </c>
    </row>
    <row r="347" spans="1:4" x14ac:dyDescent="0.45">
      <c r="A347" s="3">
        <v>42866</v>
      </c>
      <c r="B347">
        <v>5383.42</v>
      </c>
      <c r="C347">
        <v>-3.1552867718676048E-3</v>
      </c>
      <c r="D347">
        <f t="shared" ca="1" si="5"/>
        <v>0.16653749387327688</v>
      </c>
    </row>
    <row r="348" spans="1:4" x14ac:dyDescent="0.45">
      <c r="A348" s="3">
        <v>42867</v>
      </c>
      <c r="B348">
        <v>5405.42</v>
      </c>
      <c r="C348">
        <v>4.0866215156907248E-3</v>
      </c>
      <c r="D348">
        <f t="shared" ca="1" si="5"/>
        <v>0.12235200425218819</v>
      </c>
    </row>
    <row r="349" spans="1:4" x14ac:dyDescent="0.45">
      <c r="A349" s="3">
        <v>42870</v>
      </c>
      <c r="B349">
        <v>5417.4</v>
      </c>
      <c r="C349">
        <v>2.2162940160059819E-3</v>
      </c>
      <c r="D349">
        <f t="shared" ca="1" si="5"/>
        <v>-0.22245052295460849</v>
      </c>
    </row>
    <row r="350" spans="1:4" x14ac:dyDescent="0.45">
      <c r="A350" s="3">
        <v>42871</v>
      </c>
      <c r="B350">
        <v>5406.1</v>
      </c>
      <c r="C350">
        <v>-2.0858714512494991E-3</v>
      </c>
      <c r="D350">
        <f t="shared" ca="1" si="5"/>
        <v>-0.19812810299364925</v>
      </c>
    </row>
    <row r="351" spans="1:4" x14ac:dyDescent="0.45">
      <c r="A351" s="3">
        <v>42872</v>
      </c>
      <c r="B351">
        <v>5317.89</v>
      </c>
      <c r="C351">
        <v>-1.6316753297201281E-2</v>
      </c>
      <c r="D351">
        <f t="shared" ca="1" si="5"/>
        <v>-0.2242143267896296</v>
      </c>
    </row>
    <row r="352" spans="1:4" x14ac:dyDescent="0.45">
      <c r="A352" s="3">
        <v>42873</v>
      </c>
      <c r="B352">
        <v>5289.73</v>
      </c>
      <c r="C352">
        <v>-5.2953332994855051E-3</v>
      </c>
      <c r="D352">
        <f t="shared" ca="1" si="5"/>
        <v>-1.4508499983384333E-3</v>
      </c>
    </row>
    <row r="353" spans="1:4" x14ac:dyDescent="0.45">
      <c r="A353" s="3">
        <v>42874</v>
      </c>
      <c r="B353">
        <v>5324.4</v>
      </c>
      <c r="C353">
        <v>6.5542097611788197E-3</v>
      </c>
      <c r="D353">
        <f t="shared" ca="1" si="5"/>
        <v>0.14521551018386442</v>
      </c>
    </row>
    <row r="354" spans="1:4" x14ac:dyDescent="0.45">
      <c r="A354" s="3">
        <v>42877</v>
      </c>
      <c r="B354">
        <v>5322.88</v>
      </c>
      <c r="C354">
        <v>-2.854781759445979E-4</v>
      </c>
      <c r="D354">
        <f t="shared" ca="1" si="5"/>
        <v>-0.27457741363057397</v>
      </c>
    </row>
    <row r="355" spans="1:4" x14ac:dyDescent="0.45">
      <c r="A355" s="3">
        <v>42879</v>
      </c>
      <c r="B355">
        <v>5341.34</v>
      </c>
      <c r="C355">
        <v>3.4680473728507799E-3</v>
      </c>
      <c r="D355">
        <f t="shared" ca="1" si="5"/>
        <v>-0.30495192977522256</v>
      </c>
    </row>
    <row r="356" spans="1:4" x14ac:dyDescent="0.45">
      <c r="A356" s="3">
        <v>42880</v>
      </c>
      <c r="B356">
        <v>5337.16</v>
      </c>
      <c r="C356">
        <v>-7.8257515904256447E-4</v>
      </c>
      <c r="D356">
        <f t="shared" ca="1" si="5"/>
        <v>-8.9687222458111102E-2</v>
      </c>
    </row>
    <row r="357" spans="1:4" x14ac:dyDescent="0.45">
      <c r="A357" s="3">
        <v>42881</v>
      </c>
      <c r="B357">
        <v>5336.64</v>
      </c>
      <c r="C357">
        <v>-9.7430093907502346E-5</v>
      </c>
      <c r="D357">
        <f t="shared" ca="1" si="5"/>
        <v>1.9648326142088432E-3</v>
      </c>
    </row>
    <row r="358" spans="1:4" x14ac:dyDescent="0.45">
      <c r="A358" s="3">
        <v>42884</v>
      </c>
      <c r="B358">
        <v>5332.47</v>
      </c>
      <c r="C358">
        <v>-7.8139053786652202E-4</v>
      </c>
      <c r="D358">
        <f t="shared" ca="1" si="5"/>
        <v>-2.1142533679196628E-2</v>
      </c>
    </row>
    <row r="359" spans="1:4" x14ac:dyDescent="0.45">
      <c r="A359" s="3">
        <v>42885</v>
      </c>
      <c r="B359">
        <v>5305.94</v>
      </c>
      <c r="C359">
        <v>-4.9751803573204745E-3</v>
      </c>
      <c r="D359">
        <f t="shared" ca="1" si="5"/>
        <v>-0.26119721585250633</v>
      </c>
    </row>
    <row r="360" spans="1:4" x14ac:dyDescent="0.45">
      <c r="A360" s="3">
        <v>42886</v>
      </c>
      <c r="B360">
        <v>5283.63</v>
      </c>
      <c r="C360">
        <v>-4.2047215008084171E-3</v>
      </c>
      <c r="D360">
        <f t="shared" ca="1" si="5"/>
        <v>-0.21138437910133406</v>
      </c>
    </row>
    <row r="361" spans="1:4" x14ac:dyDescent="0.45">
      <c r="A361" s="3">
        <v>42887</v>
      </c>
      <c r="B361">
        <v>5318.67</v>
      </c>
      <c r="C361">
        <v>6.631804270927466E-3</v>
      </c>
      <c r="D361">
        <f t="shared" ca="1" si="5"/>
        <v>-0.24829718436023163</v>
      </c>
    </row>
    <row r="362" spans="1:4" x14ac:dyDescent="0.45">
      <c r="A362" s="3">
        <v>42888</v>
      </c>
      <c r="B362">
        <v>5343.41</v>
      </c>
      <c r="C362">
        <v>4.6515388245558231E-3</v>
      </c>
      <c r="D362">
        <f t="shared" ca="1" si="5"/>
        <v>-0.15205205769436497</v>
      </c>
    </row>
    <row r="363" spans="1:4" x14ac:dyDescent="0.45">
      <c r="A363" s="3">
        <v>42891</v>
      </c>
      <c r="B363">
        <v>5307.89</v>
      </c>
      <c r="C363">
        <v>-6.6474404921200714E-3</v>
      </c>
      <c r="D363">
        <f t="shared" ca="1" si="5"/>
        <v>-0.32117220353193671</v>
      </c>
    </row>
    <row r="364" spans="1:4" x14ac:dyDescent="0.45">
      <c r="A364" s="3">
        <v>42892</v>
      </c>
      <c r="B364">
        <v>5269.22</v>
      </c>
      <c r="C364">
        <v>-7.2853808198738434E-3</v>
      </c>
      <c r="D364">
        <f t="shared" ca="1" si="5"/>
        <v>-8.185524896936458E-2</v>
      </c>
    </row>
    <row r="365" spans="1:4" x14ac:dyDescent="0.45">
      <c r="A365" s="3">
        <v>42893</v>
      </c>
      <c r="B365">
        <v>5265.53</v>
      </c>
      <c r="C365">
        <v>-7.002934020595708E-4</v>
      </c>
      <c r="D365">
        <f t="shared" ca="1" si="5"/>
        <v>0.14079639625163781</v>
      </c>
    </row>
    <row r="366" spans="1:4" x14ac:dyDescent="0.45">
      <c r="A366" s="3">
        <v>42894</v>
      </c>
      <c r="B366">
        <v>5264.24</v>
      </c>
      <c r="C366">
        <v>-2.4498958319485453E-4</v>
      </c>
      <c r="D366">
        <f t="shared" ca="1" si="5"/>
        <v>-0.18279700232983576</v>
      </c>
    </row>
    <row r="367" spans="1:4" x14ac:dyDescent="0.45">
      <c r="A367" s="3">
        <v>42895</v>
      </c>
      <c r="B367">
        <v>5299.71</v>
      </c>
      <c r="C367">
        <v>6.7379146847408311E-3</v>
      </c>
      <c r="D367">
        <f t="shared" ca="1" si="5"/>
        <v>-0.16112614339273823</v>
      </c>
    </row>
    <row r="368" spans="1:4" x14ac:dyDescent="0.45">
      <c r="A368" s="3">
        <v>42898</v>
      </c>
      <c r="B368">
        <v>5240.59</v>
      </c>
      <c r="C368">
        <v>-1.1155327366969114E-2</v>
      </c>
      <c r="D368">
        <f t="shared" ca="1" si="5"/>
        <v>-0.26111052779056654</v>
      </c>
    </row>
    <row r="369" spans="1:4" x14ac:dyDescent="0.45">
      <c r="A369" s="3">
        <v>42899</v>
      </c>
      <c r="B369">
        <v>5261.74</v>
      </c>
      <c r="C369">
        <v>4.0358051288118535E-3</v>
      </c>
      <c r="D369">
        <f t="shared" ca="1" si="5"/>
        <v>0.16235111349712161</v>
      </c>
    </row>
    <row r="370" spans="1:4" x14ac:dyDescent="0.45">
      <c r="A370" s="3">
        <v>42900</v>
      </c>
      <c r="B370">
        <v>5243.29</v>
      </c>
      <c r="C370">
        <v>-3.506444636184991E-3</v>
      </c>
      <c r="D370">
        <f t="shared" ca="1" si="5"/>
        <v>-5.6988645312753695E-2</v>
      </c>
    </row>
    <row r="371" spans="1:4" x14ac:dyDescent="0.45">
      <c r="A371" s="3">
        <v>42901</v>
      </c>
      <c r="B371">
        <v>5216.88</v>
      </c>
      <c r="C371">
        <v>-5.0369138460775176E-3</v>
      </c>
      <c r="D371">
        <f t="shared" ca="1" si="5"/>
        <v>2.0648050329623188E-2</v>
      </c>
    </row>
    <row r="372" spans="1:4" x14ac:dyDescent="0.45">
      <c r="A372" s="3">
        <v>42902</v>
      </c>
      <c r="B372">
        <v>5263.31</v>
      </c>
      <c r="C372">
        <v>8.8999555289752674E-3</v>
      </c>
      <c r="D372">
        <f t="shared" ca="1" si="5"/>
        <v>0.15237738276210483</v>
      </c>
    </row>
    <row r="373" spans="1:4" x14ac:dyDescent="0.45">
      <c r="A373" s="3">
        <v>42905</v>
      </c>
      <c r="B373">
        <v>5310.72</v>
      </c>
      <c r="C373">
        <v>9.0076396792131419E-3</v>
      </c>
      <c r="D373">
        <f t="shared" ca="1" si="5"/>
        <v>-0.10725224353109702</v>
      </c>
    </row>
    <row r="374" spans="1:4" x14ac:dyDescent="0.45">
      <c r="A374" s="3">
        <v>42906</v>
      </c>
      <c r="B374">
        <v>5293.65</v>
      </c>
      <c r="C374">
        <v>-3.2142534345626084E-3</v>
      </c>
      <c r="D374">
        <f t="shared" ca="1" si="5"/>
        <v>-9.5079917910375039E-2</v>
      </c>
    </row>
    <row r="375" spans="1:4" x14ac:dyDescent="0.45">
      <c r="A375" s="3">
        <v>42907</v>
      </c>
      <c r="B375">
        <v>5274.26</v>
      </c>
      <c r="C375">
        <v>-3.6628791098768376E-3</v>
      </c>
      <c r="D375">
        <f t="shared" ca="1" si="5"/>
        <v>0.15146538702469123</v>
      </c>
    </row>
    <row r="376" spans="1:4" x14ac:dyDescent="0.45">
      <c r="A376" s="3">
        <v>42908</v>
      </c>
      <c r="B376">
        <v>5281.93</v>
      </c>
      <c r="C376">
        <v>1.4542324420867558E-3</v>
      </c>
      <c r="D376">
        <f t="shared" ca="1" si="5"/>
        <v>6.2267023776903421E-2</v>
      </c>
    </row>
    <row r="377" spans="1:4" x14ac:dyDescent="0.45">
      <c r="A377" s="3">
        <v>42909</v>
      </c>
      <c r="B377">
        <v>5266.12</v>
      </c>
      <c r="C377">
        <v>-2.9932240677177369E-3</v>
      </c>
      <c r="D377">
        <f t="shared" ca="1" si="5"/>
        <v>-7.4208722767728722E-3</v>
      </c>
    </row>
    <row r="378" spans="1:4" x14ac:dyDescent="0.45">
      <c r="A378" s="3">
        <v>42912</v>
      </c>
      <c r="B378">
        <v>5295.75</v>
      </c>
      <c r="C378">
        <v>5.6265333870098022E-3</v>
      </c>
      <c r="D378">
        <f t="shared" ca="1" si="5"/>
        <v>9.0697488009482019E-2</v>
      </c>
    </row>
    <row r="379" spans="1:4" x14ac:dyDescent="0.45">
      <c r="A379" s="3">
        <v>42913</v>
      </c>
      <c r="B379">
        <v>5258.58</v>
      </c>
      <c r="C379">
        <v>-7.0188358589434729E-3</v>
      </c>
      <c r="D379">
        <f t="shared" ca="1" si="5"/>
        <v>3.1976300420039919E-2</v>
      </c>
    </row>
    <row r="380" spans="1:4" x14ac:dyDescent="0.45">
      <c r="A380" s="3">
        <v>42914</v>
      </c>
      <c r="B380">
        <v>5252.9</v>
      </c>
      <c r="C380">
        <v>-1.0801395053418039E-3</v>
      </c>
      <c r="D380">
        <f t="shared" ca="1" si="5"/>
        <v>6.8604790387209263E-2</v>
      </c>
    </row>
    <row r="381" spans="1:4" x14ac:dyDescent="0.45">
      <c r="A381" s="3">
        <v>42915</v>
      </c>
      <c r="B381">
        <v>5154.3500000000004</v>
      </c>
      <c r="C381">
        <v>-1.8761065316301284E-2</v>
      </c>
      <c r="D381">
        <f t="shared" ca="1" si="5"/>
        <v>-2.7993220802914574E-2</v>
      </c>
    </row>
    <row r="382" spans="1:4" x14ac:dyDescent="0.45">
      <c r="A382" s="3">
        <v>42916</v>
      </c>
      <c r="B382">
        <v>5120.68</v>
      </c>
      <c r="C382">
        <v>-6.5323464646366292E-3</v>
      </c>
      <c r="D382">
        <f t="shared" ca="1" si="5"/>
        <v>5.8223337934713501E-2</v>
      </c>
    </row>
    <row r="383" spans="1:4" x14ac:dyDescent="0.45">
      <c r="A383" s="3">
        <v>42919</v>
      </c>
      <c r="B383">
        <v>5195.72</v>
      </c>
      <c r="C383">
        <v>1.4654303725286422E-2</v>
      </c>
      <c r="D383">
        <f t="shared" ca="1" si="5"/>
        <v>0.13123612859090178</v>
      </c>
    </row>
    <row r="384" spans="1:4" x14ac:dyDescent="0.45">
      <c r="A384" s="3">
        <v>42920</v>
      </c>
      <c r="B384">
        <v>5174.8999999999996</v>
      </c>
      <c r="C384">
        <v>-4.0071443418815411E-3</v>
      </c>
      <c r="D384">
        <f t="shared" ca="1" si="5"/>
        <v>0.20333810424367832</v>
      </c>
    </row>
    <row r="385" spans="1:4" x14ac:dyDescent="0.45">
      <c r="A385" s="3">
        <v>42921</v>
      </c>
      <c r="B385">
        <v>5180.1000000000004</v>
      </c>
      <c r="C385">
        <v>1.0048503352724225E-3</v>
      </c>
      <c r="D385">
        <f t="shared" ca="1" si="5"/>
        <v>-6.751285665859863E-3</v>
      </c>
    </row>
    <row r="386" spans="1:4" x14ac:dyDescent="0.45">
      <c r="A386" s="3">
        <v>42922</v>
      </c>
      <c r="B386">
        <v>5152.3999999999996</v>
      </c>
      <c r="C386">
        <v>-5.347387116078961E-3</v>
      </c>
      <c r="D386">
        <f t="shared" ca="1" si="5"/>
        <v>0.21931152060130929</v>
      </c>
    </row>
    <row r="387" spans="1:4" x14ac:dyDescent="0.45">
      <c r="A387" s="3">
        <v>42923</v>
      </c>
      <c r="B387">
        <v>5145.16</v>
      </c>
      <c r="C387">
        <v>-1.4051704060242809E-3</v>
      </c>
      <c r="D387">
        <f t="shared" ca="1" si="5"/>
        <v>-5.9891714262568389E-2</v>
      </c>
    </row>
    <row r="388" spans="1:4" x14ac:dyDescent="0.45">
      <c r="A388" s="3">
        <v>42926</v>
      </c>
      <c r="B388">
        <v>5165.6400000000003</v>
      </c>
      <c r="C388">
        <v>3.9804398697029786E-3</v>
      </c>
      <c r="D388">
        <f t="shared" ca="1" si="5"/>
        <v>-3.0346995791434871E-2</v>
      </c>
    </row>
    <row r="389" spans="1:4" x14ac:dyDescent="0.45">
      <c r="A389" s="3">
        <v>42927</v>
      </c>
      <c r="B389">
        <v>5140.6000000000004</v>
      </c>
      <c r="C389">
        <v>-4.8474148411425944E-3</v>
      </c>
      <c r="D389">
        <f t="shared" ca="1" si="5"/>
        <v>-0.21009138397596816</v>
      </c>
    </row>
    <row r="390" spans="1:4" x14ac:dyDescent="0.45">
      <c r="A390" s="3">
        <v>42928</v>
      </c>
      <c r="B390">
        <v>5222.13</v>
      </c>
      <c r="C390">
        <v>1.5860016340504934E-2</v>
      </c>
      <c r="D390">
        <f t="shared" ca="1" si="5"/>
        <v>-0.14841030768406371</v>
      </c>
    </row>
    <row r="391" spans="1:4" x14ac:dyDescent="0.45">
      <c r="A391" s="3">
        <v>42929</v>
      </c>
      <c r="B391">
        <v>5235.3999999999996</v>
      </c>
      <c r="C391">
        <v>2.5411087046856018E-3</v>
      </c>
      <c r="D391">
        <f t="shared" ca="1" si="5"/>
        <v>0.11251215846875198</v>
      </c>
    </row>
    <row r="392" spans="1:4" x14ac:dyDescent="0.45">
      <c r="A392" s="3">
        <v>42930</v>
      </c>
      <c r="B392">
        <v>5235.3100000000004</v>
      </c>
      <c r="C392">
        <v>-1.7190663559429886E-5</v>
      </c>
      <c r="D392">
        <f t="shared" ca="1" si="5"/>
        <v>-0.18712287536938016</v>
      </c>
    </row>
    <row r="393" spans="1:4" x14ac:dyDescent="0.45">
      <c r="A393" s="3">
        <v>42933</v>
      </c>
      <c r="B393">
        <v>5230.17</v>
      </c>
      <c r="C393">
        <v>-9.8179477433046891E-4</v>
      </c>
      <c r="D393">
        <f t="shared" ca="1" si="5"/>
        <v>-0.10498848700153016</v>
      </c>
    </row>
    <row r="394" spans="1:4" x14ac:dyDescent="0.45">
      <c r="A394" s="3">
        <v>42934</v>
      </c>
      <c r="B394">
        <v>5173.2700000000004</v>
      </c>
      <c r="C394">
        <v>-1.0879187483389563E-2</v>
      </c>
      <c r="D394">
        <f t="shared" ref="D394:D457" ca="1" si="6">0.5*(RAND()-0.5+AVERAGE($D388:$D393))</f>
        <v>5.1307079800425738E-2</v>
      </c>
    </row>
    <row r="395" spans="1:4" x14ac:dyDescent="0.45">
      <c r="A395" s="3">
        <v>42935</v>
      </c>
      <c r="B395">
        <v>5216.07</v>
      </c>
      <c r="C395">
        <v>8.2732971602099692E-3</v>
      </c>
      <c r="D395">
        <f t="shared" ca="1" si="6"/>
        <v>5.3942417982201542E-2</v>
      </c>
    </row>
    <row r="396" spans="1:4" x14ac:dyDescent="0.45">
      <c r="A396" s="3">
        <v>42936</v>
      </c>
      <c r="B396">
        <v>5199.22</v>
      </c>
      <c r="C396">
        <v>-3.2304014324959773E-3</v>
      </c>
      <c r="D396">
        <f t="shared" ca="1" si="6"/>
        <v>-0.23848838605642492</v>
      </c>
    </row>
    <row r="397" spans="1:4" x14ac:dyDescent="0.45">
      <c r="A397" s="3">
        <v>42937</v>
      </c>
      <c r="B397">
        <v>5117.66</v>
      </c>
      <c r="C397">
        <v>-1.5686968429879933E-2</v>
      </c>
      <c r="D397">
        <f t="shared" ca="1" si="6"/>
        <v>-0.1218689086370692</v>
      </c>
    </row>
    <row r="398" spans="1:4" x14ac:dyDescent="0.45">
      <c r="A398" s="3">
        <v>42940</v>
      </c>
      <c r="B398">
        <v>5127.7</v>
      </c>
      <c r="C398">
        <v>1.9618341195000166E-3</v>
      </c>
      <c r="D398">
        <f t="shared" ca="1" si="6"/>
        <v>-6.2879145423328037E-2</v>
      </c>
    </row>
    <row r="399" spans="1:4" x14ac:dyDescent="0.45">
      <c r="A399" s="3">
        <v>42941</v>
      </c>
      <c r="B399">
        <v>5161.08</v>
      </c>
      <c r="C399">
        <v>6.5097412095092011E-3</v>
      </c>
      <c r="D399">
        <f t="shared" ca="1" si="6"/>
        <v>-9.8929121731667208E-2</v>
      </c>
    </row>
    <row r="400" spans="1:4" x14ac:dyDescent="0.45">
      <c r="A400" s="3">
        <v>42942</v>
      </c>
      <c r="B400">
        <v>5190.17</v>
      </c>
      <c r="C400">
        <v>5.6364171840002086E-3</v>
      </c>
      <c r="D400">
        <f t="shared" ca="1" si="6"/>
        <v>-0.14330804943790904</v>
      </c>
    </row>
    <row r="401" spans="1:4" x14ac:dyDescent="0.45">
      <c r="A401" s="3">
        <v>42943</v>
      </c>
      <c r="B401">
        <v>5186.95</v>
      </c>
      <c r="C401">
        <v>-6.2040357059600648E-4</v>
      </c>
      <c r="D401">
        <f t="shared" ca="1" si="6"/>
        <v>-0.15509373572401747</v>
      </c>
    </row>
    <row r="402" spans="1:4" x14ac:dyDescent="0.45">
      <c r="A402" s="3">
        <v>42944</v>
      </c>
      <c r="B402">
        <v>5131.3900000000003</v>
      </c>
      <c r="C402">
        <v>-1.0711497122586344E-2</v>
      </c>
      <c r="D402">
        <f t="shared" ca="1" si="6"/>
        <v>-5.000431399052678E-2</v>
      </c>
    </row>
    <row r="403" spans="1:4" x14ac:dyDescent="0.45">
      <c r="A403" s="3">
        <v>42947</v>
      </c>
      <c r="B403">
        <v>5093.7700000000004</v>
      </c>
      <c r="C403">
        <v>-7.3313468670281878E-3</v>
      </c>
      <c r="D403">
        <f t="shared" ca="1" si="6"/>
        <v>-7.0752751827266591E-2</v>
      </c>
    </row>
    <row r="404" spans="1:4" x14ac:dyDescent="0.45">
      <c r="A404" s="3">
        <v>42948</v>
      </c>
      <c r="B404">
        <v>5127.03</v>
      </c>
      <c r="C404">
        <v>6.5295449146700602E-3</v>
      </c>
      <c r="D404">
        <f t="shared" ca="1" si="6"/>
        <v>-0.22902364626793412</v>
      </c>
    </row>
    <row r="405" spans="1:4" x14ac:dyDescent="0.45">
      <c r="A405" s="3">
        <v>42949</v>
      </c>
      <c r="B405">
        <v>5107.25</v>
      </c>
      <c r="C405">
        <v>-3.8579840570466262E-3</v>
      </c>
      <c r="D405">
        <f t="shared" ca="1" si="6"/>
        <v>-8.2925974739812974E-2</v>
      </c>
    </row>
    <row r="406" spans="1:4" x14ac:dyDescent="0.45">
      <c r="A406" s="3">
        <v>42950</v>
      </c>
      <c r="B406">
        <v>5130.49</v>
      </c>
      <c r="C406">
        <v>4.5503940476772087E-3</v>
      </c>
      <c r="D406">
        <f t="shared" ca="1" si="6"/>
        <v>0.16421340863539308</v>
      </c>
    </row>
    <row r="407" spans="1:4" x14ac:dyDescent="0.45">
      <c r="A407" s="3">
        <v>42951</v>
      </c>
      <c r="B407">
        <v>5203.4399999999996</v>
      </c>
      <c r="C407">
        <v>1.4218914762527568E-2</v>
      </c>
      <c r="D407">
        <f t="shared" ca="1" si="6"/>
        <v>-0.22773042192778567</v>
      </c>
    </row>
    <row r="408" spans="1:4" x14ac:dyDescent="0.45">
      <c r="A408" s="3">
        <v>42954</v>
      </c>
      <c r="B408">
        <v>5207.8900000000003</v>
      </c>
      <c r="C408">
        <v>8.5520348077450237E-4</v>
      </c>
      <c r="D408">
        <f t="shared" ca="1" si="6"/>
        <v>6.5592493094940169E-2</v>
      </c>
    </row>
    <row r="409" spans="1:4" x14ac:dyDescent="0.45">
      <c r="A409" s="3">
        <v>42955</v>
      </c>
      <c r="B409">
        <v>5218.8900000000003</v>
      </c>
      <c r="C409">
        <v>2.1121797887435623E-3</v>
      </c>
      <c r="D409">
        <f t="shared" ca="1" si="6"/>
        <v>-0.2668958986556107</v>
      </c>
    </row>
    <row r="410" spans="1:4" x14ac:dyDescent="0.45">
      <c r="A410" s="3">
        <v>42956</v>
      </c>
      <c r="B410">
        <v>5145.7</v>
      </c>
      <c r="C410">
        <v>-1.4024054923556628E-2</v>
      </c>
      <c r="D410">
        <f t="shared" ca="1" si="6"/>
        <v>-8.9149223259517629E-2</v>
      </c>
    </row>
    <row r="411" spans="1:4" x14ac:dyDescent="0.45">
      <c r="A411" s="3">
        <v>42957</v>
      </c>
      <c r="B411">
        <v>5115.2299999999996</v>
      </c>
      <c r="C411">
        <v>-5.9214489768156797E-3</v>
      </c>
      <c r="D411">
        <f t="shared" ca="1" si="6"/>
        <v>6.3008057714332266E-2</v>
      </c>
    </row>
    <row r="412" spans="1:4" x14ac:dyDescent="0.45">
      <c r="A412" s="3">
        <v>42958</v>
      </c>
      <c r="B412">
        <v>5060.92</v>
      </c>
      <c r="C412">
        <v>-1.0617313395487549E-2</v>
      </c>
      <c r="D412">
        <f t="shared" ca="1" si="6"/>
        <v>0.13122337261976771</v>
      </c>
    </row>
    <row r="413" spans="1:4" x14ac:dyDescent="0.45">
      <c r="A413" s="3">
        <v>42961</v>
      </c>
      <c r="B413">
        <v>5121.67</v>
      </c>
      <c r="C413">
        <v>1.200374635441781E-2</v>
      </c>
      <c r="D413">
        <f t="shared" ca="1" si="6"/>
        <v>6.5878932030008816E-2</v>
      </c>
    </row>
    <row r="414" spans="1:4" x14ac:dyDescent="0.45">
      <c r="A414" s="3">
        <v>42962</v>
      </c>
      <c r="B414">
        <v>5140.25</v>
      </c>
      <c r="C414">
        <v>3.6277229887906604E-3</v>
      </c>
      <c r="D414">
        <f t="shared" ca="1" si="6"/>
        <v>-8.4836816408727395E-2</v>
      </c>
    </row>
    <row r="415" spans="1:4" x14ac:dyDescent="0.45">
      <c r="A415" s="3">
        <v>42963</v>
      </c>
      <c r="B415">
        <v>5176.6099999999997</v>
      </c>
      <c r="C415">
        <v>7.0735859150818925E-3</v>
      </c>
      <c r="D415">
        <f t="shared" ca="1" si="6"/>
        <v>-4.696561013920128E-2</v>
      </c>
    </row>
    <row r="416" spans="1:4" x14ac:dyDescent="0.45">
      <c r="A416" s="3">
        <v>42964</v>
      </c>
      <c r="B416">
        <v>5146.8500000000004</v>
      </c>
      <c r="C416">
        <v>-5.7489360797895461E-3</v>
      </c>
      <c r="D416">
        <f t="shared" ca="1" si="6"/>
        <v>-6.9631950364131362E-2</v>
      </c>
    </row>
    <row r="417" spans="1:4" x14ac:dyDescent="0.45">
      <c r="A417" s="3">
        <v>42965</v>
      </c>
      <c r="B417">
        <v>5114.1499999999996</v>
      </c>
      <c r="C417">
        <v>-6.3534006236826146E-3</v>
      </c>
      <c r="D417">
        <f t="shared" ca="1" si="6"/>
        <v>0.10535991166935166</v>
      </c>
    </row>
    <row r="418" spans="1:4" x14ac:dyDescent="0.45">
      <c r="A418" s="3">
        <v>42968</v>
      </c>
      <c r="B418">
        <v>5087.59</v>
      </c>
      <c r="C418">
        <v>-5.1934339039721999E-3</v>
      </c>
      <c r="D418">
        <f t="shared" ca="1" si="6"/>
        <v>-0.17637848360445571</v>
      </c>
    </row>
    <row r="419" spans="1:4" x14ac:dyDescent="0.45">
      <c r="A419" s="3">
        <v>42969</v>
      </c>
      <c r="B419">
        <v>5131.8599999999997</v>
      </c>
      <c r="C419">
        <v>8.7015659673832513E-3</v>
      </c>
      <c r="D419">
        <f t="shared" ca="1" si="6"/>
        <v>-0.14256178696357691</v>
      </c>
    </row>
    <row r="420" spans="1:4" x14ac:dyDescent="0.45">
      <c r="A420" s="3">
        <v>42970</v>
      </c>
      <c r="B420">
        <v>5115.3900000000003</v>
      </c>
      <c r="C420">
        <v>-3.2093626872127246E-3</v>
      </c>
      <c r="D420">
        <f t="shared" ca="1" si="6"/>
        <v>0.11358479498407067</v>
      </c>
    </row>
    <row r="421" spans="1:4" x14ac:dyDescent="0.45">
      <c r="A421" s="3">
        <v>42971</v>
      </c>
      <c r="B421">
        <v>5113.13</v>
      </c>
      <c r="C421">
        <v>-4.4180404622129466E-4</v>
      </c>
      <c r="D421">
        <f t="shared" ca="1" si="6"/>
        <v>-3.4299398803680423E-2</v>
      </c>
    </row>
    <row r="422" spans="1:4" x14ac:dyDescent="0.45">
      <c r="A422" s="3">
        <v>42972</v>
      </c>
      <c r="B422">
        <v>5104.33</v>
      </c>
      <c r="C422">
        <v>-1.721059312006612E-3</v>
      </c>
      <c r="D422">
        <f t="shared" ca="1" si="6"/>
        <v>0.20046345288294382</v>
      </c>
    </row>
    <row r="423" spans="1:4" x14ac:dyDescent="0.45">
      <c r="A423" s="3">
        <v>42975</v>
      </c>
      <c r="B423">
        <v>5079.75</v>
      </c>
      <c r="C423">
        <v>-4.8155193727678069E-3</v>
      </c>
      <c r="D423">
        <f t="shared" ca="1" si="6"/>
        <v>0.24124534286405613</v>
      </c>
    </row>
    <row r="424" spans="1:4" x14ac:dyDescent="0.45">
      <c r="A424" s="3">
        <v>42976</v>
      </c>
      <c r="B424">
        <v>5031.92</v>
      </c>
      <c r="C424">
        <v>-9.415817707564389E-3</v>
      </c>
      <c r="D424">
        <f t="shared" ca="1" si="6"/>
        <v>4.8632509138462482E-2</v>
      </c>
    </row>
    <row r="425" spans="1:4" x14ac:dyDescent="0.45">
      <c r="A425" s="3">
        <v>42977</v>
      </c>
      <c r="B425">
        <v>5056.34</v>
      </c>
      <c r="C425">
        <v>4.8530183309751784E-3</v>
      </c>
      <c r="D425">
        <f t="shared" ca="1" si="6"/>
        <v>2.7432539319107996E-2</v>
      </c>
    </row>
    <row r="426" spans="1:4" x14ac:dyDescent="0.45">
      <c r="A426" s="3">
        <v>42978</v>
      </c>
      <c r="B426">
        <v>5085.59</v>
      </c>
      <c r="C426">
        <v>5.7848166855867245E-3</v>
      </c>
      <c r="D426">
        <f t="shared" ca="1" si="6"/>
        <v>0.28660328674285557</v>
      </c>
    </row>
    <row r="427" spans="1:4" x14ac:dyDescent="0.45">
      <c r="A427" s="3">
        <v>42979</v>
      </c>
      <c r="B427">
        <v>5123.26</v>
      </c>
      <c r="C427">
        <v>7.4072034906471629E-3</v>
      </c>
      <c r="D427">
        <f t="shared" ca="1" si="6"/>
        <v>0.13645351792604815</v>
      </c>
    </row>
    <row r="428" spans="1:4" x14ac:dyDescent="0.45">
      <c r="A428" s="3">
        <v>42982</v>
      </c>
      <c r="B428">
        <v>5103.97</v>
      </c>
      <c r="C428">
        <v>-3.7651807638104939E-3</v>
      </c>
      <c r="D428">
        <f t="shared" ca="1" si="6"/>
        <v>0.10287484200837323</v>
      </c>
    </row>
    <row r="429" spans="1:4" x14ac:dyDescent="0.45">
      <c r="A429" s="3">
        <v>42983</v>
      </c>
      <c r="B429">
        <v>5086.5600000000004</v>
      </c>
      <c r="C429">
        <v>-3.4110702061336262E-3</v>
      </c>
      <c r="D429">
        <f t="shared" ca="1" si="6"/>
        <v>0.17520209545762089</v>
      </c>
    </row>
    <row r="430" spans="1:4" x14ac:dyDescent="0.45">
      <c r="A430" s="3">
        <v>42984</v>
      </c>
      <c r="B430">
        <v>5101.41</v>
      </c>
      <c r="C430">
        <v>2.9194583372651461E-3</v>
      </c>
      <c r="D430">
        <f t="shared" ca="1" si="6"/>
        <v>4.8174127707885497E-2</v>
      </c>
    </row>
    <row r="431" spans="1:4" x14ac:dyDescent="0.45">
      <c r="A431" s="3">
        <v>42985</v>
      </c>
      <c r="B431">
        <v>5114.62</v>
      </c>
      <c r="C431">
        <v>2.5894801633274955E-3</v>
      </c>
      <c r="D431">
        <f t="shared" ca="1" si="6"/>
        <v>-4.7182670845964642E-2</v>
      </c>
    </row>
    <row r="432" spans="1:4" x14ac:dyDescent="0.45">
      <c r="A432" s="3">
        <v>42986</v>
      </c>
      <c r="B432">
        <v>5113.49</v>
      </c>
      <c r="C432">
        <v>-2.2093527964939241E-4</v>
      </c>
      <c r="D432">
        <f t="shared" ca="1" si="6"/>
        <v>-3.2697032457487202E-2</v>
      </c>
    </row>
    <row r="433" spans="1:4" x14ac:dyDescent="0.45">
      <c r="A433" s="3">
        <v>42989</v>
      </c>
      <c r="B433">
        <v>5176.71</v>
      </c>
      <c r="C433">
        <v>1.2363376089520095E-2</v>
      </c>
      <c r="D433">
        <f t="shared" ca="1" si="6"/>
        <v>1.5823845973228778E-3</v>
      </c>
    </row>
    <row r="434" spans="1:4" x14ac:dyDescent="0.45">
      <c r="A434" s="3">
        <v>42990</v>
      </c>
      <c r="B434">
        <v>5209.01</v>
      </c>
      <c r="C434">
        <v>6.2394841511308474E-3</v>
      </c>
      <c r="D434">
        <f t="shared" ca="1" si="6"/>
        <v>-9.7601623203749238E-2</v>
      </c>
    </row>
    <row r="435" spans="1:4" x14ac:dyDescent="0.45">
      <c r="A435" s="3">
        <v>42991</v>
      </c>
      <c r="B435">
        <v>5217.59</v>
      </c>
      <c r="C435">
        <v>1.6471460027913665E-3</v>
      </c>
      <c r="D435">
        <f t="shared" ca="1" si="6"/>
        <v>-0.24251169247532794</v>
      </c>
    </row>
    <row r="436" spans="1:4" x14ac:dyDescent="0.45">
      <c r="A436" s="3">
        <v>42992</v>
      </c>
      <c r="B436">
        <v>5225.2</v>
      </c>
      <c r="C436">
        <v>1.4585277877332548E-3</v>
      </c>
      <c r="D436">
        <f t="shared" ca="1" si="6"/>
        <v>0.19851549580624314</v>
      </c>
    </row>
    <row r="437" spans="1:4" x14ac:dyDescent="0.45">
      <c r="A437" s="3">
        <v>42993</v>
      </c>
      <c r="B437">
        <v>5213.91</v>
      </c>
      <c r="C437">
        <v>-2.1606828446757431E-3</v>
      </c>
      <c r="D437">
        <f t="shared" ca="1" si="6"/>
        <v>-0.16603630146990947</v>
      </c>
    </row>
    <row r="438" spans="1:4" x14ac:dyDescent="0.45">
      <c r="A438" s="3">
        <v>42996</v>
      </c>
      <c r="B438">
        <v>5229.32</v>
      </c>
      <c r="C438">
        <v>2.9555554276923246E-3</v>
      </c>
      <c r="D438">
        <f t="shared" ca="1" si="6"/>
        <v>-0.25680777393573739</v>
      </c>
    </row>
    <row r="439" spans="1:4" x14ac:dyDescent="0.45">
      <c r="A439" s="3">
        <v>42997</v>
      </c>
      <c r="B439">
        <v>5237.4399999999996</v>
      </c>
      <c r="C439">
        <v>1.552783153450088E-3</v>
      </c>
      <c r="D439">
        <f t="shared" ca="1" si="6"/>
        <v>0.15759833969084211</v>
      </c>
    </row>
    <row r="440" spans="1:4" x14ac:dyDescent="0.45">
      <c r="A440" s="3">
        <v>42998</v>
      </c>
      <c r="B440">
        <v>5241.66</v>
      </c>
      <c r="C440">
        <v>8.0573715402953994E-4</v>
      </c>
      <c r="D440">
        <f t="shared" ca="1" si="6"/>
        <v>-0.18623843581670782</v>
      </c>
    </row>
    <row r="441" spans="1:4" x14ac:dyDescent="0.45">
      <c r="A441" s="3">
        <v>42999</v>
      </c>
      <c r="B441">
        <v>5267.29</v>
      </c>
      <c r="C441">
        <v>4.8896723557041444E-3</v>
      </c>
      <c r="D441">
        <f t="shared" ca="1" si="6"/>
        <v>1.4253976562952284E-3</v>
      </c>
    </row>
    <row r="442" spans="1:4" x14ac:dyDescent="0.45">
      <c r="A442" s="3">
        <v>43000</v>
      </c>
      <c r="B442">
        <v>5281.29</v>
      </c>
      <c r="C442">
        <v>2.6579132722899246E-3</v>
      </c>
      <c r="D442">
        <f t="shared" ca="1" si="6"/>
        <v>-0.18943780107110991</v>
      </c>
    </row>
    <row r="443" spans="1:4" x14ac:dyDescent="0.45">
      <c r="A443" s="3">
        <v>43003</v>
      </c>
      <c r="B443">
        <v>5267.13</v>
      </c>
      <c r="C443">
        <v>-2.6811631249182843E-3</v>
      </c>
      <c r="D443">
        <f t="shared" ca="1" si="6"/>
        <v>4.9937557434783647E-4</v>
      </c>
    </row>
    <row r="444" spans="1:4" x14ac:dyDescent="0.45">
      <c r="A444" s="3">
        <v>43004</v>
      </c>
      <c r="B444">
        <v>5268.76</v>
      </c>
      <c r="C444">
        <v>3.094664456735341E-4</v>
      </c>
      <c r="D444">
        <f t="shared" ca="1" si="6"/>
        <v>-0.13499906248928376</v>
      </c>
    </row>
    <row r="445" spans="1:4" x14ac:dyDescent="0.45">
      <c r="A445" s="3">
        <v>43005</v>
      </c>
      <c r="B445">
        <v>5281.96</v>
      </c>
      <c r="C445">
        <v>2.5053333232107899E-3</v>
      </c>
      <c r="D445">
        <f t="shared" ca="1" si="6"/>
        <v>-0.18668708325969302</v>
      </c>
    </row>
    <row r="446" spans="1:4" x14ac:dyDescent="0.45">
      <c r="A446" s="3">
        <v>43006</v>
      </c>
      <c r="B446">
        <v>5293.77</v>
      </c>
      <c r="C446">
        <v>2.2359124264479391E-3</v>
      </c>
      <c r="D446">
        <f t="shared" ca="1" si="6"/>
        <v>-0.21900619070104893</v>
      </c>
    </row>
    <row r="447" spans="1:4" x14ac:dyDescent="0.45">
      <c r="A447" s="3">
        <v>43007</v>
      </c>
      <c r="B447">
        <v>5329.81</v>
      </c>
      <c r="C447">
        <v>6.8080026143939598E-3</v>
      </c>
      <c r="D447">
        <f t="shared" ca="1" si="6"/>
        <v>-0.19818604105346707</v>
      </c>
    </row>
    <row r="448" spans="1:4" x14ac:dyDescent="0.45">
      <c r="A448" s="3">
        <v>43010</v>
      </c>
      <c r="B448">
        <v>5350.44</v>
      </c>
      <c r="C448">
        <v>3.8706820693419353E-3</v>
      </c>
      <c r="D448">
        <f t="shared" ca="1" si="6"/>
        <v>-0.18154423226319921</v>
      </c>
    </row>
    <row r="449" spans="1:4" x14ac:dyDescent="0.45">
      <c r="A449" s="3">
        <v>43011</v>
      </c>
      <c r="B449">
        <v>5367.41</v>
      </c>
      <c r="C449">
        <v>3.1717017665837677E-3</v>
      </c>
      <c r="D449">
        <f t="shared" ca="1" si="6"/>
        <v>-6.3259935800212413E-3</v>
      </c>
    </row>
    <row r="450" spans="1:4" x14ac:dyDescent="0.45">
      <c r="A450" s="3">
        <v>43013</v>
      </c>
      <c r="B450">
        <v>5379.21</v>
      </c>
      <c r="C450">
        <v>2.1984532577166149E-3</v>
      </c>
      <c r="D450">
        <f t="shared" ca="1" si="6"/>
        <v>-4.6987593405718356E-2</v>
      </c>
    </row>
    <row r="451" spans="1:4" x14ac:dyDescent="0.45">
      <c r="A451" s="3">
        <v>43014</v>
      </c>
      <c r="B451">
        <v>5359.9</v>
      </c>
      <c r="C451">
        <v>-3.5897464497575138E-3</v>
      </c>
      <c r="D451">
        <f t="shared" ca="1" si="6"/>
        <v>7.8948564823164549E-2</v>
      </c>
    </row>
    <row r="452" spans="1:4" x14ac:dyDescent="0.45">
      <c r="A452" s="3">
        <v>43017</v>
      </c>
      <c r="B452">
        <v>5365.83</v>
      </c>
      <c r="C452">
        <v>1.1063639247002044E-3</v>
      </c>
      <c r="D452">
        <f t="shared" ca="1" si="6"/>
        <v>-0.11176155089746598</v>
      </c>
    </row>
    <row r="453" spans="1:4" x14ac:dyDescent="0.45">
      <c r="A453" s="3">
        <v>43018</v>
      </c>
      <c r="B453">
        <v>5363.65</v>
      </c>
      <c r="C453">
        <v>-4.0627451857411234E-4</v>
      </c>
      <c r="D453">
        <f t="shared" ca="1" si="6"/>
        <v>0.19631123260751432</v>
      </c>
    </row>
    <row r="454" spans="1:4" x14ac:dyDescent="0.45">
      <c r="A454" s="3">
        <v>43019</v>
      </c>
      <c r="B454">
        <v>5362.41</v>
      </c>
      <c r="C454">
        <v>-2.3118585291725946E-4</v>
      </c>
      <c r="D454">
        <f t="shared" ca="1" si="6"/>
        <v>8.0963514588534624E-2</v>
      </c>
    </row>
    <row r="455" spans="1:4" x14ac:dyDescent="0.45">
      <c r="A455" s="3">
        <v>43020</v>
      </c>
      <c r="B455">
        <v>5360.81</v>
      </c>
      <c r="C455">
        <v>-2.9837330603210699E-4</v>
      </c>
      <c r="D455">
        <f t="shared" ca="1" si="6"/>
        <v>-0.17984199138458679</v>
      </c>
    </row>
    <row r="456" spans="1:4" x14ac:dyDescent="0.45">
      <c r="A456" s="3">
        <v>43021</v>
      </c>
      <c r="B456">
        <v>5351.74</v>
      </c>
      <c r="C456">
        <v>-1.6919084989023281E-3</v>
      </c>
      <c r="D456">
        <f t="shared" ca="1" si="6"/>
        <v>0.22232073673537731</v>
      </c>
    </row>
    <row r="457" spans="1:4" x14ac:dyDescent="0.45">
      <c r="A457" s="3">
        <v>43024</v>
      </c>
      <c r="B457">
        <v>5362.88</v>
      </c>
      <c r="C457">
        <v>2.0815659953585808E-3</v>
      </c>
      <c r="D457">
        <f t="shared" ca="1" si="6"/>
        <v>-0.12492783863109129</v>
      </c>
    </row>
    <row r="458" spans="1:4" x14ac:dyDescent="0.45">
      <c r="A458" s="3">
        <v>43025</v>
      </c>
      <c r="B458">
        <v>5361.37</v>
      </c>
      <c r="C458">
        <v>-2.8156512918431353E-4</v>
      </c>
      <c r="D458">
        <f t="shared" ref="D458:D521" ca="1" si="7">0.5*(RAND()-0.5+AVERAGE($D452:$D457))</f>
        <v>0.25236381991141221</v>
      </c>
    </row>
    <row r="459" spans="1:4" x14ac:dyDescent="0.45">
      <c r="A459" s="3">
        <v>43027</v>
      </c>
      <c r="B459">
        <v>5368.29</v>
      </c>
      <c r="C459">
        <v>1.2907148732506091E-3</v>
      </c>
      <c r="D459">
        <f t="shared" ca="1" si="7"/>
        <v>0.1414921563590664</v>
      </c>
    </row>
    <row r="460" spans="1:4" x14ac:dyDescent="0.45">
      <c r="A460" s="3">
        <v>43028</v>
      </c>
      <c r="B460">
        <v>5372.38</v>
      </c>
      <c r="C460">
        <v>7.6188134396626417E-4</v>
      </c>
      <c r="D460">
        <f t="shared" ca="1" si="7"/>
        <v>0.22976259838042401</v>
      </c>
    </row>
    <row r="461" spans="1:4" x14ac:dyDescent="0.45">
      <c r="A461" s="3">
        <v>43031</v>
      </c>
      <c r="B461">
        <v>5386.81</v>
      </c>
      <c r="C461">
        <v>2.6859604123312675E-3</v>
      </c>
      <c r="D461">
        <f t="shared" ca="1" si="7"/>
        <v>4.3222650621601057E-2</v>
      </c>
    </row>
    <row r="462" spans="1:4" x14ac:dyDescent="0.45">
      <c r="A462" s="3">
        <v>43032</v>
      </c>
      <c r="B462">
        <v>5394.8</v>
      </c>
      <c r="C462">
        <v>1.4832526114714195E-3</v>
      </c>
      <c r="D462">
        <f t="shared" ca="1" si="7"/>
        <v>-8.3232824763740249E-2</v>
      </c>
    </row>
    <row r="463" spans="1:4" x14ac:dyDescent="0.45">
      <c r="A463" s="3">
        <v>43033</v>
      </c>
      <c r="B463">
        <v>5374.89</v>
      </c>
      <c r="C463">
        <v>-3.690590939423144E-3</v>
      </c>
      <c r="D463">
        <f t="shared" ca="1" si="7"/>
        <v>0.15297387156266509</v>
      </c>
    </row>
    <row r="464" spans="1:4" x14ac:dyDescent="0.45">
      <c r="A464" s="3">
        <v>43034</v>
      </c>
      <c r="B464">
        <v>5455.4</v>
      </c>
      <c r="C464">
        <v>1.4978911196322109E-2</v>
      </c>
      <c r="D464">
        <f t="shared" ca="1" si="7"/>
        <v>-6.5721997414405819E-2</v>
      </c>
    </row>
    <row r="465" spans="1:4" x14ac:dyDescent="0.45">
      <c r="A465" s="3">
        <v>43035</v>
      </c>
      <c r="B465">
        <v>5494.13</v>
      </c>
      <c r="C465">
        <v>7.0993877625840085E-3</v>
      </c>
      <c r="D465">
        <f t="shared" ca="1" si="7"/>
        <v>9.3613773307461789E-2</v>
      </c>
    </row>
    <row r="466" spans="1:4" x14ac:dyDescent="0.45">
      <c r="A466" s="3">
        <v>43039</v>
      </c>
      <c r="B466">
        <v>5503.29</v>
      </c>
      <c r="C466">
        <v>1.6672339387673318E-3</v>
      </c>
      <c r="D466">
        <f t="shared" ca="1" si="7"/>
        <v>-2.3112429977912616E-2</v>
      </c>
    </row>
    <row r="467" spans="1:4" x14ac:dyDescent="0.45">
      <c r="A467" s="3">
        <v>43040</v>
      </c>
      <c r="B467">
        <v>5514.29</v>
      </c>
      <c r="C467">
        <v>1.9988043515788423E-3</v>
      </c>
      <c r="D467">
        <f t="shared" ca="1" si="7"/>
        <v>3.599911481684169E-2</v>
      </c>
    </row>
    <row r="468" spans="1:4" x14ac:dyDescent="0.45">
      <c r="A468" s="3">
        <v>43041</v>
      </c>
      <c r="B468">
        <v>5510.5</v>
      </c>
      <c r="C468">
        <v>-6.8730516530690622E-4</v>
      </c>
      <c r="D468">
        <f t="shared" ca="1" si="7"/>
        <v>-0.19438925313357608</v>
      </c>
    </row>
    <row r="469" spans="1:4" x14ac:dyDescent="0.45">
      <c r="A469" s="3">
        <v>43042</v>
      </c>
      <c r="B469">
        <v>5517.97</v>
      </c>
      <c r="C469">
        <v>1.355593866255278E-3</v>
      </c>
      <c r="D469">
        <f t="shared" ca="1" si="7"/>
        <v>-0.1265551939090569</v>
      </c>
    </row>
    <row r="470" spans="1:4" x14ac:dyDescent="0.45">
      <c r="A470" s="3">
        <v>43045</v>
      </c>
      <c r="B470">
        <v>5507.25</v>
      </c>
      <c r="C470">
        <v>-1.9427434364449603E-3</v>
      </c>
      <c r="D470">
        <f t="shared" ca="1" si="7"/>
        <v>-5.7977319060674756E-2</v>
      </c>
    </row>
    <row r="471" spans="1:4" x14ac:dyDescent="0.45">
      <c r="A471" s="3">
        <v>43046</v>
      </c>
      <c r="B471">
        <v>5480.64</v>
      </c>
      <c r="C471">
        <v>-4.8318126106495773E-3</v>
      </c>
      <c r="D471">
        <f t="shared" ca="1" si="7"/>
        <v>0.11609353150404117</v>
      </c>
    </row>
    <row r="472" spans="1:4" x14ac:dyDescent="0.45">
      <c r="A472" s="3">
        <v>43047</v>
      </c>
      <c r="B472">
        <v>5471.43</v>
      </c>
      <c r="C472">
        <v>-1.6804606761253726E-3</v>
      </c>
      <c r="D472">
        <f t="shared" ca="1" si="7"/>
        <v>1.2151099409974383E-2</v>
      </c>
    </row>
    <row r="473" spans="1:4" x14ac:dyDescent="0.45">
      <c r="A473" s="3">
        <v>43048</v>
      </c>
      <c r="B473">
        <v>5407.75</v>
      </c>
      <c r="C473">
        <v>-1.163863925884101E-2</v>
      </c>
      <c r="D473">
        <f t="shared" ca="1" si="7"/>
        <v>-0.22298862067404912</v>
      </c>
    </row>
    <row r="474" spans="1:4" x14ac:dyDescent="0.45">
      <c r="A474" s="3">
        <v>43049</v>
      </c>
      <c r="B474">
        <v>5380.72</v>
      </c>
      <c r="C474">
        <v>-4.9983819518283346E-3</v>
      </c>
      <c r="D474">
        <f t="shared" ca="1" si="7"/>
        <v>6.4070873581313206E-2</v>
      </c>
    </row>
    <row r="475" spans="1:4" x14ac:dyDescent="0.45">
      <c r="A475" s="3">
        <v>43052</v>
      </c>
      <c r="B475">
        <v>5341.63</v>
      </c>
      <c r="C475">
        <v>-7.264827011998376E-3</v>
      </c>
      <c r="D475">
        <f t="shared" ca="1" si="7"/>
        <v>0.10564663629587537</v>
      </c>
    </row>
    <row r="476" spans="1:4" x14ac:dyDescent="0.45">
      <c r="A476" s="3">
        <v>43053</v>
      </c>
      <c r="B476">
        <v>5315.58</v>
      </c>
      <c r="C476">
        <v>-4.8767885458184113E-3</v>
      </c>
      <c r="D476">
        <f t="shared" ca="1" si="7"/>
        <v>-0.11075759816665427</v>
      </c>
    </row>
    <row r="477" spans="1:4" x14ac:dyDescent="0.45">
      <c r="A477" s="3">
        <v>43054</v>
      </c>
      <c r="B477">
        <v>5301.25</v>
      </c>
      <c r="C477">
        <v>-2.6958488067153619E-3</v>
      </c>
      <c r="D477">
        <f t="shared" ca="1" si="7"/>
        <v>0.21915157980036903</v>
      </c>
    </row>
    <row r="478" spans="1:4" x14ac:dyDescent="0.45">
      <c r="A478" s="3">
        <v>43055</v>
      </c>
      <c r="B478">
        <v>5336.39</v>
      </c>
      <c r="C478">
        <v>6.628625324216042E-3</v>
      </c>
      <c r="D478">
        <f t="shared" ca="1" si="7"/>
        <v>-0.24028021240542727</v>
      </c>
    </row>
    <row r="479" spans="1:4" x14ac:dyDescent="0.45">
      <c r="A479" s="3">
        <v>43056</v>
      </c>
      <c r="B479">
        <v>5319.17</v>
      </c>
      <c r="C479">
        <v>-3.2269005826036645E-3</v>
      </c>
      <c r="D479">
        <f t="shared" ca="1" si="7"/>
        <v>-0.16681562872203104</v>
      </c>
    </row>
    <row r="480" spans="1:4" x14ac:dyDescent="0.45">
      <c r="A480" s="3">
        <v>43059</v>
      </c>
      <c r="B480">
        <v>5340.45</v>
      </c>
      <c r="C480">
        <v>4.0006241575283319E-3</v>
      </c>
      <c r="D480">
        <f t="shared" ca="1" si="7"/>
        <v>-0.10002431956866195</v>
      </c>
    </row>
    <row r="481" spans="1:4" x14ac:dyDescent="0.45">
      <c r="A481" s="3">
        <v>43060</v>
      </c>
      <c r="B481">
        <v>5366.15</v>
      </c>
      <c r="C481">
        <v>4.812328549092193E-3</v>
      </c>
      <c r="D481">
        <f t="shared" ca="1" si="7"/>
        <v>5.0388783755590666E-2</v>
      </c>
    </row>
    <row r="482" spans="1:4" x14ac:dyDescent="0.45">
      <c r="A482" s="3">
        <v>43061</v>
      </c>
      <c r="B482">
        <v>5352.76</v>
      </c>
      <c r="C482">
        <v>-2.495271283881273E-3</v>
      </c>
      <c r="D482">
        <f t="shared" ca="1" si="7"/>
        <v>0.20291344218747764</v>
      </c>
    </row>
    <row r="483" spans="1:4" x14ac:dyDescent="0.45">
      <c r="A483" s="3">
        <v>43062</v>
      </c>
      <c r="B483">
        <v>5379.54</v>
      </c>
      <c r="C483">
        <v>5.0030264760609899E-3</v>
      </c>
      <c r="D483">
        <f t="shared" ca="1" si="7"/>
        <v>-0.11924058283554942</v>
      </c>
    </row>
    <row r="484" spans="1:4" x14ac:dyDescent="0.45">
      <c r="A484" s="3">
        <v>43063</v>
      </c>
      <c r="B484">
        <v>5390.46</v>
      </c>
      <c r="C484">
        <v>2.029913338315259E-3</v>
      </c>
      <c r="D484">
        <f t="shared" ca="1" si="7"/>
        <v>0.11696209616125459</v>
      </c>
    </row>
    <row r="485" spans="1:4" x14ac:dyDescent="0.45">
      <c r="A485" s="3">
        <v>43066</v>
      </c>
      <c r="B485">
        <v>5360.09</v>
      </c>
      <c r="C485">
        <v>-5.6340275226974823E-3</v>
      </c>
      <c r="D485">
        <f t="shared" ca="1" si="7"/>
        <v>-2.4316263176817447E-2</v>
      </c>
    </row>
    <row r="486" spans="1:4" x14ac:dyDescent="0.45">
      <c r="A486" s="3">
        <v>43067</v>
      </c>
      <c r="B486">
        <v>5390.48</v>
      </c>
      <c r="C486">
        <v>5.6696809195366793E-3</v>
      </c>
      <c r="D486">
        <f t="shared" ca="1" si="7"/>
        <v>0.17507860130498643</v>
      </c>
    </row>
    <row r="487" spans="1:4" x14ac:dyDescent="0.45">
      <c r="A487" s="3">
        <v>43068</v>
      </c>
      <c r="B487">
        <v>5398.05</v>
      </c>
      <c r="C487">
        <v>1.4043276294506413E-3</v>
      </c>
      <c r="D487">
        <f t="shared" ca="1" si="7"/>
        <v>0.25143462698213237</v>
      </c>
    </row>
    <row r="488" spans="1:4" x14ac:dyDescent="0.45">
      <c r="A488" s="3">
        <v>43069</v>
      </c>
      <c r="B488">
        <v>5372.79</v>
      </c>
      <c r="C488">
        <v>-4.679467585517072E-3</v>
      </c>
      <c r="D488">
        <f t="shared" ca="1" si="7"/>
        <v>0.28787323790359259</v>
      </c>
    </row>
    <row r="489" spans="1:4" x14ac:dyDescent="0.45">
      <c r="A489" s="3">
        <v>43070</v>
      </c>
      <c r="B489">
        <v>5316.89</v>
      </c>
      <c r="C489">
        <v>-1.0404277851916666E-2</v>
      </c>
      <c r="D489">
        <f t="shared" ca="1" si="7"/>
        <v>-0.15685623945930693</v>
      </c>
    </row>
    <row r="490" spans="1:4" x14ac:dyDescent="0.45">
      <c r="A490" s="3">
        <v>43073</v>
      </c>
      <c r="B490">
        <v>5389.29</v>
      </c>
      <c r="C490">
        <v>1.3616982860281013E-2</v>
      </c>
      <c r="D490">
        <f t="shared" ca="1" si="7"/>
        <v>0.18685046242109996</v>
      </c>
    </row>
    <row r="491" spans="1:4" x14ac:dyDescent="0.45">
      <c r="A491" s="3">
        <v>43074</v>
      </c>
      <c r="B491">
        <v>5375.53</v>
      </c>
      <c r="C491">
        <v>-2.5532120186518847E-3</v>
      </c>
      <c r="D491">
        <f t="shared" ca="1" si="7"/>
        <v>0.24748775587677468</v>
      </c>
    </row>
    <row r="492" spans="1:4" x14ac:dyDescent="0.45">
      <c r="A492" s="3">
        <v>43075</v>
      </c>
      <c r="B492">
        <v>5374.35</v>
      </c>
      <c r="C492">
        <v>-2.1951323869451311E-4</v>
      </c>
      <c r="D492">
        <f t="shared" ca="1" si="7"/>
        <v>0.2355186001914058</v>
      </c>
    </row>
    <row r="493" spans="1:4" x14ac:dyDescent="0.45">
      <c r="A493" s="3">
        <v>43076</v>
      </c>
      <c r="B493">
        <v>5383.86</v>
      </c>
      <c r="C493">
        <v>1.769516313600672E-3</v>
      </c>
      <c r="D493">
        <f t="shared" ca="1" si="7"/>
        <v>-0.14769186573247156</v>
      </c>
    </row>
    <row r="494" spans="1:4" x14ac:dyDescent="0.45">
      <c r="A494" s="3">
        <v>43077</v>
      </c>
      <c r="B494">
        <v>5399.09</v>
      </c>
      <c r="C494">
        <v>2.8288254152226688E-3</v>
      </c>
      <c r="D494">
        <f t="shared" ca="1" si="7"/>
        <v>0.24515807785289451</v>
      </c>
    </row>
    <row r="495" spans="1:4" x14ac:dyDescent="0.45">
      <c r="A495" s="3">
        <v>43080</v>
      </c>
      <c r="B495">
        <v>5386.83</v>
      </c>
      <c r="C495">
        <v>-2.2707530343076821E-3</v>
      </c>
      <c r="D495">
        <f t="shared" ca="1" si="7"/>
        <v>0.13472294443302063</v>
      </c>
    </row>
    <row r="496" spans="1:4" x14ac:dyDescent="0.45">
      <c r="A496" s="3">
        <v>43081</v>
      </c>
      <c r="B496">
        <v>5427.19</v>
      </c>
      <c r="C496">
        <v>7.4923470761096844E-3</v>
      </c>
      <c r="D496">
        <f t="shared" ca="1" si="7"/>
        <v>-6.8182187905177993E-2</v>
      </c>
    </row>
    <row r="497" spans="1:4" x14ac:dyDescent="0.45">
      <c r="A497" s="3">
        <v>43082</v>
      </c>
      <c r="B497">
        <v>5399.45</v>
      </c>
      <c r="C497">
        <v>-5.1113006915179948E-3</v>
      </c>
      <c r="D497">
        <f t="shared" ca="1" si="7"/>
        <v>-2.0514604528721579E-2</v>
      </c>
    </row>
    <row r="498" spans="1:4" x14ac:dyDescent="0.45">
      <c r="A498" s="3">
        <v>43083</v>
      </c>
      <c r="B498">
        <v>5357.14</v>
      </c>
      <c r="C498">
        <v>-7.8359832945946728E-3</v>
      </c>
      <c r="D498">
        <f t="shared" ca="1" si="7"/>
        <v>0.24557876483692045</v>
      </c>
    </row>
    <row r="499" spans="1:4" x14ac:dyDescent="0.45">
      <c r="A499" s="3">
        <v>43084</v>
      </c>
      <c r="B499">
        <v>5349.3</v>
      </c>
      <c r="C499">
        <v>-1.4634674471826203E-3</v>
      </c>
      <c r="D499">
        <f t="shared" ca="1" si="7"/>
        <v>0.1572905229317153</v>
      </c>
    </row>
    <row r="500" spans="1:4" x14ac:dyDescent="0.45">
      <c r="A500" s="3">
        <v>43087</v>
      </c>
      <c r="B500">
        <v>5420.58</v>
      </c>
      <c r="C500">
        <v>1.332510795805053E-2</v>
      </c>
      <c r="D500">
        <f t="shared" ca="1" si="7"/>
        <v>5.4766416875567554E-2</v>
      </c>
    </row>
    <row r="501" spans="1:4" x14ac:dyDescent="0.45">
      <c r="A501" s="3">
        <v>43088</v>
      </c>
      <c r="B501">
        <v>5382.91</v>
      </c>
      <c r="C501">
        <v>-6.9494408347445802E-3</v>
      </c>
      <c r="D501">
        <f t="shared" ca="1" si="7"/>
        <v>-0.1751155320086952</v>
      </c>
    </row>
    <row r="502" spans="1:4" x14ac:dyDescent="0.45">
      <c r="A502" s="3">
        <v>43089</v>
      </c>
      <c r="B502">
        <v>5352.77</v>
      </c>
      <c r="C502">
        <v>-5.599201918664698E-3</v>
      </c>
      <c r="D502">
        <f t="shared" ca="1" si="7"/>
        <v>-6.2006796152652317E-3</v>
      </c>
    </row>
    <row r="503" spans="1:4" x14ac:dyDescent="0.45">
      <c r="A503" s="3">
        <v>43090</v>
      </c>
      <c r="B503">
        <v>5385.97</v>
      </c>
      <c r="C503">
        <v>6.2023961425579088E-3</v>
      </c>
      <c r="D503">
        <f t="shared" ca="1" si="7"/>
        <v>-0.20637124315223321</v>
      </c>
    </row>
    <row r="504" spans="1:4" x14ac:dyDescent="0.45">
      <c r="A504" s="3">
        <v>43091</v>
      </c>
      <c r="B504">
        <v>5364.72</v>
      </c>
      <c r="C504">
        <v>-3.9454360124545618E-3</v>
      </c>
      <c r="D504">
        <f t="shared" ca="1" si="7"/>
        <v>8.568907502714887E-2</v>
      </c>
    </row>
    <row r="505" spans="1:4" x14ac:dyDescent="0.45">
      <c r="A505" s="3">
        <v>43096</v>
      </c>
      <c r="B505">
        <v>5368.84</v>
      </c>
      <c r="C505">
        <v>7.679804351392594E-4</v>
      </c>
      <c r="D505">
        <f t="shared" ca="1" si="7"/>
        <v>0.11781571214615674</v>
      </c>
    </row>
    <row r="506" spans="1:4" x14ac:dyDescent="0.45">
      <c r="A506" s="3">
        <v>43097</v>
      </c>
      <c r="B506">
        <v>5339.42</v>
      </c>
      <c r="C506">
        <v>-5.4797684416000303E-3</v>
      </c>
      <c r="D506">
        <f t="shared" ca="1" si="7"/>
        <v>-0.1107567249298794</v>
      </c>
    </row>
    <row r="507" spans="1:4" x14ac:dyDescent="0.45">
      <c r="A507" s="3">
        <v>43098</v>
      </c>
      <c r="B507">
        <v>5312.56</v>
      </c>
      <c r="C507">
        <v>-5.0305089316816654E-3</v>
      </c>
      <c r="D507">
        <f t="shared" ca="1" si="7"/>
        <v>4.4798949420912879E-2</v>
      </c>
    </row>
    <row r="508" spans="1:4" x14ac:dyDescent="0.45">
      <c r="A508" s="3">
        <v>43102</v>
      </c>
      <c r="B508">
        <v>5288.6</v>
      </c>
      <c r="C508">
        <v>-4.5100667098347813E-3</v>
      </c>
      <c r="D508">
        <f t="shared" ca="1" si="7"/>
        <v>-0.25269562109188559</v>
      </c>
    </row>
    <row r="509" spans="1:4" x14ac:dyDescent="0.45">
      <c r="A509" s="3">
        <v>43103</v>
      </c>
      <c r="B509">
        <v>5331.28</v>
      </c>
      <c r="C509">
        <v>8.0701887077865297E-3</v>
      </c>
      <c r="D509">
        <f t="shared" ca="1" si="7"/>
        <v>0.20210784057843431</v>
      </c>
    </row>
    <row r="510" spans="1:4" x14ac:dyDescent="0.45">
      <c r="A510" s="3">
        <v>43104</v>
      </c>
      <c r="B510">
        <v>5413.69</v>
      </c>
      <c r="C510">
        <v>1.5457826263111318E-2</v>
      </c>
      <c r="D510">
        <f t="shared" ca="1" si="7"/>
        <v>9.3374005451072918E-3</v>
      </c>
    </row>
    <row r="511" spans="1:4" x14ac:dyDescent="0.45">
      <c r="A511" s="3">
        <v>43105</v>
      </c>
      <c r="B511">
        <v>5470.75</v>
      </c>
      <c r="C511">
        <v>1.0539945951836938E-2</v>
      </c>
      <c r="D511">
        <f t="shared" ca="1" si="7"/>
        <v>0.16046850222370856</v>
      </c>
    </row>
    <row r="512" spans="1:4" x14ac:dyDescent="0.45">
      <c r="A512" s="3">
        <v>43108</v>
      </c>
      <c r="B512">
        <v>5487.42</v>
      </c>
      <c r="C512">
        <v>3.0471141982360006E-3</v>
      </c>
      <c r="D512">
        <f t="shared" ca="1" si="7"/>
        <v>0.13418405106609593</v>
      </c>
    </row>
    <row r="513" spans="1:4" x14ac:dyDescent="0.45">
      <c r="A513" s="3">
        <v>43109</v>
      </c>
      <c r="B513">
        <v>5523.94</v>
      </c>
      <c r="C513">
        <v>6.6552223084801465E-3</v>
      </c>
      <c r="D513">
        <f t="shared" ca="1" si="7"/>
        <v>0.17656823455290427</v>
      </c>
    </row>
    <row r="514" spans="1:4" x14ac:dyDescent="0.45">
      <c r="A514" s="3">
        <v>43110</v>
      </c>
      <c r="B514">
        <v>5504.68</v>
      </c>
      <c r="C514">
        <v>-3.486641781047406E-3</v>
      </c>
      <c r="D514">
        <f t="shared" ca="1" si="7"/>
        <v>0.10039335043124936</v>
      </c>
    </row>
    <row r="515" spans="1:4" x14ac:dyDescent="0.45">
      <c r="A515" s="3">
        <v>43111</v>
      </c>
      <c r="B515">
        <v>5488.55</v>
      </c>
      <c r="C515">
        <v>-2.9302339100547581E-3</v>
      </c>
      <c r="D515">
        <f t="shared" ca="1" si="7"/>
        <v>0.18761236663580877</v>
      </c>
    </row>
    <row r="516" spans="1:4" x14ac:dyDescent="0.45">
      <c r="A516" s="3">
        <v>43112</v>
      </c>
      <c r="B516">
        <v>5517.06</v>
      </c>
      <c r="C516">
        <v>5.1944502646419366E-3</v>
      </c>
      <c r="D516">
        <f t="shared" ca="1" si="7"/>
        <v>-0.116277969913596</v>
      </c>
    </row>
    <row r="517" spans="1:4" x14ac:dyDescent="0.45">
      <c r="A517" s="3">
        <v>43116</v>
      </c>
      <c r="B517">
        <v>5513.82</v>
      </c>
      <c r="C517">
        <v>-5.8726930647856612E-4</v>
      </c>
      <c r="D517">
        <f t="shared" ca="1" si="7"/>
        <v>0.15559593110986933</v>
      </c>
    </row>
    <row r="518" spans="1:4" x14ac:dyDescent="0.45">
      <c r="A518" s="3">
        <v>43117</v>
      </c>
      <c r="B518">
        <v>5493.99</v>
      </c>
      <c r="C518">
        <v>-3.5964177285439103E-3</v>
      </c>
      <c r="D518">
        <f t="shared" ca="1" si="7"/>
        <v>0.15724930283143898</v>
      </c>
    </row>
    <row r="519" spans="1:4" x14ac:dyDescent="0.45">
      <c r="A519" s="3">
        <v>43118</v>
      </c>
      <c r="B519">
        <v>5494.83</v>
      </c>
      <c r="C519">
        <v>1.5289434454746065E-4</v>
      </c>
      <c r="D519">
        <f t="shared" ca="1" si="7"/>
        <v>0.30359670269107336</v>
      </c>
    </row>
    <row r="520" spans="1:4" x14ac:dyDescent="0.45">
      <c r="A520" s="3">
        <v>43123</v>
      </c>
      <c r="B520">
        <v>5535.26</v>
      </c>
      <c r="C520">
        <v>7.3578254468291693E-3</v>
      </c>
      <c r="D520">
        <f t="shared" ca="1" si="7"/>
        <v>0.21628312702725017</v>
      </c>
    </row>
    <row r="521" spans="1:4" x14ac:dyDescent="0.45">
      <c r="A521" s="3">
        <v>43124</v>
      </c>
      <c r="B521">
        <v>5495.16</v>
      </c>
      <c r="C521">
        <v>-7.2444654812963138E-3</v>
      </c>
      <c r="D521">
        <f t="shared" ca="1" si="7"/>
        <v>5.8208365127315267E-2</v>
      </c>
    </row>
    <row r="522" spans="1:4" x14ac:dyDescent="0.45">
      <c r="A522" s="3">
        <v>43125</v>
      </c>
      <c r="B522">
        <v>5481.21</v>
      </c>
      <c r="C522">
        <v>-2.5385976022536116E-3</v>
      </c>
      <c r="D522">
        <f t="shared" ref="D522:D585" ca="1" si="8">0.5*(RAND()-0.5+AVERAGE($D516:$D521))</f>
        <v>-0.10511369785179241</v>
      </c>
    </row>
    <row r="523" spans="1:4" x14ac:dyDescent="0.45">
      <c r="A523" s="3">
        <v>43126</v>
      </c>
      <c r="B523">
        <v>5529.15</v>
      </c>
      <c r="C523">
        <v>8.7462439862731056E-3</v>
      </c>
      <c r="D523">
        <f t="shared" ca="1" si="8"/>
        <v>-0.10562954502467101</v>
      </c>
    </row>
    <row r="524" spans="1:4" x14ac:dyDescent="0.45">
      <c r="A524" s="3">
        <v>43129</v>
      </c>
      <c r="B524">
        <v>5521.59</v>
      </c>
      <c r="C524">
        <v>-1.3672987710587892E-3</v>
      </c>
      <c r="D524">
        <f t="shared" ca="1" si="8"/>
        <v>0.26208169272409948</v>
      </c>
    </row>
    <row r="525" spans="1:4" x14ac:dyDescent="0.45">
      <c r="A525" s="3">
        <v>43130</v>
      </c>
      <c r="B525">
        <v>5473.78</v>
      </c>
      <c r="C525">
        <v>-8.6587377911073737E-3</v>
      </c>
      <c r="D525">
        <f t="shared" ca="1" si="8"/>
        <v>7.221539425296436E-2</v>
      </c>
    </row>
    <row r="526" spans="1:4" x14ac:dyDescent="0.45">
      <c r="A526" s="3">
        <v>43131</v>
      </c>
      <c r="B526">
        <v>5481.93</v>
      </c>
      <c r="C526">
        <v>1.4889162516580345E-3</v>
      </c>
      <c r="D526">
        <f t="shared" ca="1" si="8"/>
        <v>0.18861401605930742</v>
      </c>
    </row>
    <row r="527" spans="1:4" x14ac:dyDescent="0.45">
      <c r="A527" s="3">
        <v>43132</v>
      </c>
      <c r="B527">
        <v>5454.55</v>
      </c>
      <c r="C527">
        <v>-4.994591320939934E-3</v>
      </c>
      <c r="D527">
        <f t="shared" ca="1" si="8"/>
        <v>-0.19599822624067428</v>
      </c>
    </row>
    <row r="528" spans="1:4" x14ac:dyDescent="0.45">
      <c r="A528" s="3">
        <v>43133</v>
      </c>
      <c r="B528">
        <v>5364.98</v>
      </c>
      <c r="C528">
        <v>-1.6421152982372678E-2</v>
      </c>
      <c r="D528">
        <f t="shared" ca="1" si="8"/>
        <v>-0.16167363449137892</v>
      </c>
    </row>
    <row r="529" spans="1:4" x14ac:dyDescent="0.45">
      <c r="A529" s="3">
        <v>43136</v>
      </c>
      <c r="B529">
        <v>5285.83</v>
      </c>
      <c r="C529">
        <v>-1.4753083888476737E-2</v>
      </c>
      <c r="D529">
        <f t="shared" ca="1" si="8"/>
        <v>1.2381682528721238E-3</v>
      </c>
    </row>
    <row r="530" spans="1:4" x14ac:dyDescent="0.45">
      <c r="A530" s="3">
        <v>43137</v>
      </c>
      <c r="B530">
        <v>5161.8100000000004</v>
      </c>
      <c r="C530">
        <v>-2.3462729599703303E-2</v>
      </c>
      <c r="D530">
        <f t="shared" ca="1" si="8"/>
        <v>-2.3761368452961864E-3</v>
      </c>
    </row>
    <row r="531" spans="1:4" x14ac:dyDescent="0.45">
      <c r="A531" s="3">
        <v>43138</v>
      </c>
      <c r="B531">
        <v>5255.9</v>
      </c>
      <c r="C531">
        <v>1.8228102157963777E-2</v>
      </c>
      <c r="D531">
        <f t="shared" ca="1" si="8"/>
        <v>-2.3297922673612536E-2</v>
      </c>
    </row>
    <row r="532" spans="1:4" x14ac:dyDescent="0.45">
      <c r="A532" s="3">
        <v>43139</v>
      </c>
      <c r="B532">
        <v>5151.68</v>
      </c>
      <c r="C532">
        <v>-1.9829144390113851E-2</v>
      </c>
      <c r="D532">
        <f t="shared" ca="1" si="8"/>
        <v>-7.6766121055490591E-2</v>
      </c>
    </row>
    <row r="533" spans="1:4" x14ac:dyDescent="0.45">
      <c r="A533" s="3">
        <v>43140</v>
      </c>
      <c r="B533">
        <v>5079.21</v>
      </c>
      <c r="C533">
        <v>-1.4067255730169648E-2</v>
      </c>
      <c r="D533">
        <f t="shared" ca="1" si="8"/>
        <v>-5.8616615510281078E-2</v>
      </c>
    </row>
    <row r="534" spans="1:4" x14ac:dyDescent="0.45">
      <c r="A534" s="3">
        <v>43143</v>
      </c>
      <c r="B534">
        <v>5140.0600000000004</v>
      </c>
      <c r="C534">
        <v>1.1980209520771945E-2</v>
      </c>
      <c r="D534">
        <f t="shared" ca="1" si="8"/>
        <v>-0.20318345134315313</v>
      </c>
    </row>
    <row r="535" spans="1:4" x14ac:dyDescent="0.45">
      <c r="A535" s="3">
        <v>43144</v>
      </c>
      <c r="B535">
        <v>5109.24</v>
      </c>
      <c r="C535">
        <v>-5.9960389567438321E-3</v>
      </c>
      <c r="D535">
        <f t="shared" ca="1" si="8"/>
        <v>0.10280701695297868</v>
      </c>
    </row>
    <row r="536" spans="1:4" x14ac:dyDescent="0.45">
      <c r="A536" s="3">
        <v>43145</v>
      </c>
      <c r="B536">
        <v>5165.26</v>
      </c>
      <c r="C536">
        <v>1.0964448724272158E-2</v>
      </c>
      <c r="D536">
        <f t="shared" ca="1" si="8"/>
        <v>0.10282257608845298</v>
      </c>
    </row>
    <row r="537" spans="1:4" x14ac:dyDescent="0.45">
      <c r="A537" s="3">
        <v>43146</v>
      </c>
      <c r="B537">
        <v>5222.5200000000004</v>
      </c>
      <c r="C537">
        <v>1.1085598788831641E-2</v>
      </c>
      <c r="D537">
        <f t="shared" ca="1" si="8"/>
        <v>-9.5896200409060287E-2</v>
      </c>
    </row>
    <row r="538" spans="1:4" x14ac:dyDescent="0.45">
      <c r="A538" s="3">
        <v>43147</v>
      </c>
      <c r="B538">
        <v>5281.58</v>
      </c>
      <c r="C538">
        <v>1.1308716864655288E-2</v>
      </c>
      <c r="D538">
        <f t="shared" ca="1" si="8"/>
        <v>8.2742116297070664E-2</v>
      </c>
    </row>
    <row r="539" spans="1:4" x14ac:dyDescent="0.45">
      <c r="A539" s="3">
        <v>43150</v>
      </c>
      <c r="B539">
        <v>5256.18</v>
      </c>
      <c r="C539">
        <v>-4.809166953828159E-3</v>
      </c>
      <c r="D539">
        <f t="shared" ca="1" si="8"/>
        <v>6.575678591075583E-2</v>
      </c>
    </row>
    <row r="540" spans="1:4" x14ac:dyDescent="0.45">
      <c r="A540" s="3">
        <v>43151</v>
      </c>
      <c r="B540">
        <v>5289.86</v>
      </c>
      <c r="C540">
        <v>6.4076953224583288E-3</v>
      </c>
      <c r="D540">
        <f t="shared" ca="1" si="8"/>
        <v>0.1772336176544646</v>
      </c>
    </row>
    <row r="541" spans="1:4" x14ac:dyDescent="0.45">
      <c r="A541" s="3">
        <v>43152</v>
      </c>
      <c r="B541">
        <v>5302.17</v>
      </c>
      <c r="C541">
        <v>2.3270937227073407E-3</v>
      </c>
      <c r="D541">
        <f t="shared" ca="1" si="8"/>
        <v>-0.17790041130234233</v>
      </c>
    </row>
    <row r="542" spans="1:4" x14ac:dyDescent="0.45">
      <c r="A542" s="3">
        <v>43153</v>
      </c>
      <c r="B542">
        <v>5309.23</v>
      </c>
      <c r="C542">
        <v>1.3315302979721721E-3</v>
      </c>
      <c r="D542">
        <f t="shared" ca="1" si="8"/>
        <v>0.26195272340098169</v>
      </c>
    </row>
    <row r="543" spans="1:4" x14ac:dyDescent="0.45">
      <c r="A543" s="3">
        <v>43154</v>
      </c>
      <c r="B543">
        <v>5317.37</v>
      </c>
      <c r="C543">
        <v>1.5331790108923382E-3</v>
      </c>
      <c r="D543">
        <f t="shared" ca="1" si="8"/>
        <v>0.2326179817185545</v>
      </c>
    </row>
    <row r="544" spans="1:4" x14ac:dyDescent="0.45">
      <c r="A544" s="3">
        <v>43157</v>
      </c>
      <c r="B544">
        <v>5344.26</v>
      </c>
      <c r="C544">
        <v>5.0570112668482103E-3</v>
      </c>
      <c r="D544">
        <f t="shared" ca="1" si="8"/>
        <v>0.23907870729000821</v>
      </c>
    </row>
    <row r="545" spans="1:4" x14ac:dyDescent="0.45">
      <c r="A545" s="3">
        <v>43158</v>
      </c>
      <c r="B545">
        <v>5343.93</v>
      </c>
      <c r="C545">
        <v>-6.1748492775404173E-5</v>
      </c>
      <c r="D545">
        <f t="shared" ca="1" si="8"/>
        <v>-0.14245928306613648</v>
      </c>
    </row>
    <row r="546" spans="1:4" x14ac:dyDescent="0.45">
      <c r="A546" s="3">
        <v>43159</v>
      </c>
      <c r="B546">
        <v>5320.49</v>
      </c>
      <c r="C546">
        <v>-4.3862849999907194E-3</v>
      </c>
      <c r="D546">
        <f t="shared" ca="1" si="8"/>
        <v>-3.151709335923325E-2</v>
      </c>
    </row>
    <row r="547" spans="1:4" x14ac:dyDescent="0.45">
      <c r="A547" s="3">
        <v>43160</v>
      </c>
      <c r="B547">
        <v>5262.56</v>
      </c>
      <c r="C547">
        <v>-1.0888094893515277E-2</v>
      </c>
      <c r="D547">
        <f t="shared" ca="1" si="8"/>
        <v>0.20085215163271525</v>
      </c>
    </row>
    <row r="548" spans="1:4" x14ac:dyDescent="0.45">
      <c r="A548" s="3">
        <v>43161</v>
      </c>
      <c r="B548">
        <v>5136.58</v>
      </c>
      <c r="C548">
        <v>-2.3938919461250929E-2</v>
      </c>
      <c r="D548">
        <f t="shared" ca="1" si="8"/>
        <v>-1.2566801094091126E-2</v>
      </c>
    </row>
    <row r="549" spans="1:4" x14ac:dyDescent="0.45">
      <c r="A549" s="3">
        <v>43164</v>
      </c>
      <c r="B549">
        <v>5167.2299999999996</v>
      </c>
      <c r="C549">
        <v>5.9670052836711118E-3</v>
      </c>
      <c r="D549">
        <f t="shared" ca="1" si="8"/>
        <v>8.2142988868240549E-2</v>
      </c>
    </row>
    <row r="550" spans="1:4" x14ac:dyDescent="0.45">
      <c r="A550" s="3">
        <v>43165</v>
      </c>
      <c r="B550">
        <v>5170.2299999999996</v>
      </c>
      <c r="C550">
        <v>5.8058185913933968E-4</v>
      </c>
      <c r="D550">
        <f t="shared" ca="1" si="8"/>
        <v>0.22886663815715044</v>
      </c>
    </row>
    <row r="551" spans="1:4" x14ac:dyDescent="0.45">
      <c r="A551" s="3">
        <v>43166</v>
      </c>
      <c r="B551">
        <v>5187.83</v>
      </c>
      <c r="C551">
        <v>3.4041038793246603E-3</v>
      </c>
      <c r="D551">
        <f t="shared" ca="1" si="8"/>
        <v>-0.16716656978321509</v>
      </c>
    </row>
    <row r="552" spans="1:4" x14ac:dyDescent="0.45">
      <c r="A552" s="3">
        <v>43167</v>
      </c>
      <c r="B552">
        <v>5254.1</v>
      </c>
      <c r="C552">
        <v>1.2774127139864033E-2</v>
      </c>
      <c r="D552">
        <f t="shared" ca="1" si="8"/>
        <v>0.10732210038434227</v>
      </c>
    </row>
    <row r="553" spans="1:4" x14ac:dyDescent="0.45">
      <c r="A553" s="3">
        <v>43168</v>
      </c>
      <c r="B553">
        <v>5274.4</v>
      </c>
      <c r="C553">
        <v>3.8636493405148631E-3</v>
      </c>
      <c r="D553">
        <f t="shared" ca="1" si="8"/>
        <v>0.1510514306203454</v>
      </c>
    </row>
    <row r="554" spans="1:4" x14ac:dyDescent="0.45">
      <c r="A554" s="3">
        <v>43171</v>
      </c>
      <c r="B554">
        <v>5276.71</v>
      </c>
      <c r="C554">
        <v>4.3796450781141694E-4</v>
      </c>
      <c r="D554">
        <f t="shared" ca="1" si="8"/>
        <v>-0.14839028685489672</v>
      </c>
    </row>
    <row r="555" spans="1:4" x14ac:dyDescent="0.45">
      <c r="A555" s="3">
        <v>43172</v>
      </c>
      <c r="B555">
        <v>5242.79</v>
      </c>
      <c r="C555">
        <v>-6.4282479044708296E-3</v>
      </c>
      <c r="D555">
        <f t="shared" ca="1" si="8"/>
        <v>-3.0942226381961053E-2</v>
      </c>
    </row>
    <row r="556" spans="1:4" x14ac:dyDescent="0.45">
      <c r="A556" s="3">
        <v>43173</v>
      </c>
      <c r="B556">
        <v>5233.3599999999997</v>
      </c>
      <c r="C556">
        <v>-1.7986606367984548E-3</v>
      </c>
      <c r="D556">
        <f t="shared" ca="1" si="8"/>
        <v>-0.21907632274683436</v>
      </c>
    </row>
    <row r="557" spans="1:4" x14ac:dyDescent="0.45">
      <c r="A557" s="3">
        <v>43174</v>
      </c>
      <c r="B557">
        <v>5267.26</v>
      </c>
      <c r="C557">
        <v>6.4776739991134757E-3</v>
      </c>
      <c r="D557">
        <f t="shared" ca="1" si="8"/>
        <v>-0.15899841459793068</v>
      </c>
    </row>
    <row r="558" spans="1:4" x14ac:dyDescent="0.45">
      <c r="A558" s="3">
        <v>43175</v>
      </c>
      <c r="B558">
        <v>5282.75</v>
      </c>
      <c r="C558">
        <v>2.9408079342960747E-3</v>
      </c>
      <c r="D558">
        <f t="shared" ca="1" si="8"/>
        <v>0.10054561881290551</v>
      </c>
    </row>
    <row r="559" spans="1:4" x14ac:dyDescent="0.45">
      <c r="A559" s="3">
        <v>43178</v>
      </c>
      <c r="B559">
        <v>5222.84</v>
      </c>
      <c r="C559">
        <v>-1.1340684302683202E-2</v>
      </c>
      <c r="D559">
        <f t="shared" ca="1" si="8"/>
        <v>-0.15467808648578182</v>
      </c>
    </row>
    <row r="560" spans="1:4" x14ac:dyDescent="0.45">
      <c r="A560" s="3">
        <v>43179</v>
      </c>
      <c r="B560">
        <v>5252.43</v>
      </c>
      <c r="C560">
        <v>5.6654999961707198E-3</v>
      </c>
      <c r="D560">
        <f t="shared" ca="1" si="8"/>
        <v>1.5643796670216224E-2</v>
      </c>
    </row>
    <row r="561" spans="1:4" x14ac:dyDescent="0.45">
      <c r="A561" s="3">
        <v>43180</v>
      </c>
      <c r="B561">
        <v>5239.74</v>
      </c>
      <c r="C561">
        <v>-2.4160245829074611E-3</v>
      </c>
      <c r="D561">
        <f t="shared" ca="1" si="8"/>
        <v>-6.4087685713924897E-2</v>
      </c>
    </row>
    <row r="562" spans="1:4" x14ac:dyDescent="0.45">
      <c r="A562" s="3">
        <v>43181</v>
      </c>
      <c r="B562">
        <v>5167.21</v>
      </c>
      <c r="C562">
        <v>-1.3842289884612557E-2</v>
      </c>
      <c r="D562">
        <f t="shared" ca="1" si="8"/>
        <v>-0.19175055463938015</v>
      </c>
    </row>
    <row r="563" spans="1:4" x14ac:dyDescent="0.45">
      <c r="A563" s="3">
        <v>43182</v>
      </c>
      <c r="B563">
        <v>5095.22</v>
      </c>
      <c r="C563">
        <v>-1.3932083271243068E-2</v>
      </c>
      <c r="D563">
        <f t="shared" ca="1" si="8"/>
        <v>9.910554740405389E-2</v>
      </c>
    </row>
    <row r="564" spans="1:4" x14ac:dyDescent="0.45">
      <c r="A564" s="3">
        <v>43185</v>
      </c>
      <c r="B564">
        <v>5066.28</v>
      </c>
      <c r="C564">
        <v>-5.6798332554827136E-3</v>
      </c>
      <c r="D564">
        <f t="shared" ca="1" si="8"/>
        <v>-0.12523959925033085</v>
      </c>
    </row>
    <row r="565" spans="1:4" x14ac:dyDescent="0.45">
      <c r="A565" s="3">
        <v>43186</v>
      </c>
      <c r="B565">
        <v>5115.74</v>
      </c>
      <c r="C565">
        <v>9.7625871448083767E-3</v>
      </c>
      <c r="D565">
        <f t="shared" ca="1" si="8"/>
        <v>-0.12980214609014243</v>
      </c>
    </row>
    <row r="566" spans="1:4" x14ac:dyDescent="0.45">
      <c r="A566" s="3">
        <v>43187</v>
      </c>
      <c r="B566">
        <v>5130.4399999999996</v>
      </c>
      <c r="C566">
        <v>2.873484578965968E-3</v>
      </c>
      <c r="D566">
        <f t="shared" ca="1" si="8"/>
        <v>0.20614627791123041</v>
      </c>
    </row>
    <row r="567" spans="1:4" x14ac:dyDescent="0.45">
      <c r="A567" s="3">
        <v>43188</v>
      </c>
      <c r="B567">
        <v>5167.3</v>
      </c>
      <c r="C567">
        <v>7.184568964845317E-3</v>
      </c>
      <c r="D567">
        <f t="shared" ca="1" si="8"/>
        <v>5.5628538552987369E-2</v>
      </c>
    </row>
    <row r="568" spans="1:4" x14ac:dyDescent="0.45">
      <c r="A568" s="3">
        <v>43193</v>
      </c>
      <c r="B568">
        <v>5152.12</v>
      </c>
      <c r="C568">
        <v>-2.9377044104271777E-3</v>
      </c>
      <c r="D568">
        <f t="shared" ca="1" si="8"/>
        <v>5.6824403506831539E-3</v>
      </c>
    </row>
    <row r="569" spans="1:4" x14ac:dyDescent="0.45">
      <c r="A569" s="3">
        <v>43194</v>
      </c>
      <c r="B569">
        <v>5141.8</v>
      </c>
      <c r="C569">
        <v>-2.0030589349626648E-3</v>
      </c>
      <c r="D569">
        <f t="shared" ca="1" si="8"/>
        <v>8.5570809440965859E-2</v>
      </c>
    </row>
    <row r="570" spans="1:4" x14ac:dyDescent="0.45">
      <c r="A570" s="3">
        <v>43195</v>
      </c>
      <c r="B570">
        <v>5276.67</v>
      </c>
      <c r="C570">
        <v>2.6230113967871116E-2</v>
      </c>
      <c r="D570">
        <f t="shared" ca="1" si="8"/>
        <v>-0.17272850318019528</v>
      </c>
    </row>
    <row r="571" spans="1:4" x14ac:dyDescent="0.45">
      <c r="A571" s="3">
        <v>43196</v>
      </c>
      <c r="B571">
        <v>5258.24</v>
      </c>
      <c r="C571">
        <v>-3.4927331062962752E-3</v>
      </c>
      <c r="D571">
        <f t="shared" ca="1" si="8"/>
        <v>-0.17465809074202485</v>
      </c>
    </row>
    <row r="572" spans="1:4" x14ac:dyDescent="0.45">
      <c r="A572" s="3">
        <v>43199</v>
      </c>
      <c r="B572">
        <v>5263.39</v>
      </c>
      <c r="C572">
        <v>9.7941516553068375E-4</v>
      </c>
      <c r="D572">
        <f t="shared" ca="1" si="8"/>
        <v>-0.14993921198891225</v>
      </c>
    </row>
    <row r="573" spans="1:4" x14ac:dyDescent="0.45">
      <c r="A573" s="3">
        <v>43200</v>
      </c>
      <c r="B573">
        <v>5307.56</v>
      </c>
      <c r="C573">
        <v>8.3919299158907723E-3</v>
      </c>
      <c r="D573">
        <f t="shared" ca="1" si="8"/>
        <v>-0.22130505555225696</v>
      </c>
    </row>
    <row r="574" spans="1:4" x14ac:dyDescent="0.45">
      <c r="A574" s="3">
        <v>43201</v>
      </c>
      <c r="B574">
        <v>5277.94</v>
      </c>
      <c r="C574">
        <v>-5.5807188237158023E-3</v>
      </c>
      <c r="D574">
        <f t="shared" ca="1" si="8"/>
        <v>-0.19902310866787842</v>
      </c>
    </row>
    <row r="575" spans="1:4" x14ac:dyDescent="0.45">
      <c r="A575" s="3">
        <v>43202</v>
      </c>
      <c r="B575">
        <v>5309.22</v>
      </c>
      <c r="C575">
        <v>5.9265546785300938E-3</v>
      </c>
      <c r="D575">
        <f t="shared" ca="1" si="8"/>
        <v>-7.504497407027734E-2</v>
      </c>
    </row>
    <row r="576" spans="1:4" x14ac:dyDescent="0.45">
      <c r="A576" s="3">
        <v>43203</v>
      </c>
      <c r="B576">
        <v>5315.02</v>
      </c>
      <c r="C576">
        <v>1.0924391906910191E-3</v>
      </c>
      <c r="D576">
        <f t="shared" ca="1" si="8"/>
        <v>0.15249985204122829</v>
      </c>
    </row>
    <row r="577" spans="1:4" x14ac:dyDescent="0.45">
      <c r="A577" s="3">
        <v>43206</v>
      </c>
      <c r="B577">
        <v>5312.96</v>
      </c>
      <c r="C577">
        <v>-3.8758085576351409E-4</v>
      </c>
      <c r="D577">
        <f t="shared" ca="1" si="8"/>
        <v>-8.7762669437816299E-2</v>
      </c>
    </row>
    <row r="578" spans="1:4" x14ac:dyDescent="0.45">
      <c r="A578" s="3">
        <v>43207</v>
      </c>
      <c r="B578">
        <v>5353.54</v>
      </c>
      <c r="C578">
        <v>7.6379268806840983E-3</v>
      </c>
      <c r="D578">
        <f t="shared" ca="1" si="8"/>
        <v>4.2027194722204009E-2</v>
      </c>
    </row>
    <row r="579" spans="1:4" x14ac:dyDescent="0.45">
      <c r="A579" s="3">
        <v>43208</v>
      </c>
      <c r="B579">
        <v>5380.17</v>
      </c>
      <c r="C579">
        <v>4.9742787015694123E-3</v>
      </c>
      <c r="D579">
        <f t="shared" ca="1" si="8"/>
        <v>8.6201610165965309E-4</v>
      </c>
    </row>
    <row r="580" spans="1:4" x14ac:dyDescent="0.45">
      <c r="A580" s="3">
        <v>43209</v>
      </c>
      <c r="B580">
        <v>5391.64</v>
      </c>
      <c r="C580">
        <v>2.1319028952617725E-3</v>
      </c>
      <c r="D580">
        <f t="shared" ca="1" si="8"/>
        <v>0.19166626252918381</v>
      </c>
    </row>
    <row r="581" spans="1:4" x14ac:dyDescent="0.45">
      <c r="A581" s="3">
        <v>43210</v>
      </c>
      <c r="B581">
        <v>5412.83</v>
      </c>
      <c r="C581">
        <v>3.9301585417423901E-3</v>
      </c>
      <c r="D581">
        <f t="shared" ca="1" si="8"/>
        <v>-3.9627461269970181E-2</v>
      </c>
    </row>
    <row r="582" spans="1:4" x14ac:dyDescent="0.45">
      <c r="A582" s="3">
        <v>43213</v>
      </c>
      <c r="B582">
        <v>5438.55</v>
      </c>
      <c r="C582">
        <v>4.7516733390851051E-3</v>
      </c>
      <c r="D582">
        <f t="shared" ca="1" si="8"/>
        <v>1.5299238816002082E-2</v>
      </c>
    </row>
    <row r="583" spans="1:4" x14ac:dyDescent="0.45">
      <c r="A583" s="3">
        <v>43214</v>
      </c>
      <c r="B583">
        <v>5444.16</v>
      </c>
      <c r="C583">
        <v>1.0315249469068366E-3</v>
      </c>
      <c r="D583">
        <f t="shared" ca="1" si="8"/>
        <v>0.14436219313305651</v>
      </c>
    </row>
    <row r="584" spans="1:4" x14ac:dyDescent="0.45">
      <c r="A584" s="3">
        <v>43215</v>
      </c>
      <c r="B584">
        <v>5413.3</v>
      </c>
      <c r="C584">
        <v>-5.6684594133896704E-3</v>
      </c>
      <c r="D584">
        <f t="shared" ca="1" si="8"/>
        <v>7.2350591112862087E-2</v>
      </c>
    </row>
    <row r="585" spans="1:4" x14ac:dyDescent="0.45">
      <c r="A585" s="3">
        <v>43216</v>
      </c>
      <c r="B585">
        <v>5453.58</v>
      </c>
      <c r="C585">
        <v>7.4409325180573305E-3</v>
      </c>
      <c r="D585">
        <f t="shared" ca="1" si="8"/>
        <v>-8.7617662389295914E-2</v>
      </c>
    </row>
    <row r="586" spans="1:4" x14ac:dyDescent="0.45">
      <c r="A586" s="3">
        <v>43217</v>
      </c>
      <c r="B586">
        <v>5483.19</v>
      </c>
      <c r="C586">
        <v>5.4294610145995126E-3</v>
      </c>
      <c r="D586">
        <f t="shared" ref="D586:D649" ca="1" si="9">0.5*(RAND()-0.5+AVERAGE($D580:$D585))</f>
        <v>8.2483397010360879E-2</v>
      </c>
    </row>
    <row r="587" spans="1:4" x14ac:dyDescent="0.45">
      <c r="A587" s="3">
        <v>43220</v>
      </c>
      <c r="B587">
        <v>5520.5</v>
      </c>
      <c r="C587">
        <v>6.8044331857914919E-3</v>
      </c>
      <c r="D587">
        <f t="shared" ca="1" si="9"/>
        <v>-3.3366747119353862E-2</v>
      </c>
    </row>
    <row r="588" spans="1:4" x14ac:dyDescent="0.45">
      <c r="A588" s="3">
        <v>43222</v>
      </c>
      <c r="B588">
        <v>5529.22</v>
      </c>
      <c r="C588">
        <v>1.5795670682003937E-3</v>
      </c>
      <c r="D588">
        <f t="shared" ca="1" si="9"/>
        <v>-0.20686266873215606</v>
      </c>
    </row>
    <row r="589" spans="1:4" x14ac:dyDescent="0.45">
      <c r="A589" s="3">
        <v>43223</v>
      </c>
      <c r="B589">
        <v>5501.66</v>
      </c>
      <c r="C589">
        <v>-4.9844281833604231E-3</v>
      </c>
      <c r="D589">
        <f t="shared" ca="1" si="9"/>
        <v>-0.23019128585620136</v>
      </c>
    </row>
    <row r="590" spans="1:4" x14ac:dyDescent="0.45">
      <c r="A590" s="3">
        <v>43224</v>
      </c>
      <c r="B590">
        <v>5516.05</v>
      </c>
      <c r="C590">
        <v>2.6155742085116618E-3</v>
      </c>
      <c r="D590">
        <f t="shared" ca="1" si="9"/>
        <v>0.16111092483169637</v>
      </c>
    </row>
    <row r="591" spans="1:4" x14ac:dyDescent="0.45">
      <c r="A591" s="3">
        <v>43227</v>
      </c>
      <c r="B591">
        <v>5531.42</v>
      </c>
      <c r="C591">
        <v>2.7864141913143126E-3</v>
      </c>
      <c r="D591">
        <f t="shared" ca="1" si="9"/>
        <v>9.4877177976018898E-2</v>
      </c>
    </row>
    <row r="592" spans="1:4" x14ac:dyDescent="0.45">
      <c r="A592" s="3">
        <v>43228</v>
      </c>
      <c r="B592">
        <v>5521.93</v>
      </c>
      <c r="C592">
        <v>-1.7156534850002458E-3</v>
      </c>
      <c r="D592">
        <f t="shared" ca="1" si="9"/>
        <v>0.23277088293676937</v>
      </c>
    </row>
    <row r="593" spans="1:4" x14ac:dyDescent="0.45">
      <c r="A593" s="3">
        <v>43229</v>
      </c>
      <c r="B593">
        <v>5534.63</v>
      </c>
      <c r="C593">
        <v>2.2999204988110034E-3</v>
      </c>
      <c r="D593">
        <f t="shared" ca="1" si="9"/>
        <v>-0.22940986765583166</v>
      </c>
    </row>
    <row r="594" spans="1:4" x14ac:dyDescent="0.45">
      <c r="A594" s="3">
        <v>43230</v>
      </c>
      <c r="B594">
        <v>5545.95</v>
      </c>
      <c r="C594">
        <v>2.0453038414491864E-3</v>
      </c>
      <c r="D594">
        <f t="shared" ca="1" si="9"/>
        <v>-0.25001445182687498</v>
      </c>
    </row>
    <row r="595" spans="1:4" x14ac:dyDescent="0.45">
      <c r="A595" s="3">
        <v>43231</v>
      </c>
      <c r="B595">
        <v>5541.94</v>
      </c>
      <c r="C595">
        <v>-7.230501537157652E-4</v>
      </c>
      <c r="D595">
        <f t="shared" ca="1" si="9"/>
        <v>-2.8451698138464813E-3</v>
      </c>
    </row>
    <row r="596" spans="1:4" x14ac:dyDescent="0.45">
      <c r="A596" s="3">
        <v>43234</v>
      </c>
      <c r="B596">
        <v>5540.68</v>
      </c>
      <c r="C596">
        <v>-2.2735720704292195E-4</v>
      </c>
      <c r="D596">
        <f t="shared" ca="1" si="9"/>
        <v>0.10153441901924734</v>
      </c>
    </row>
    <row r="597" spans="1:4" x14ac:dyDescent="0.45">
      <c r="A597" s="3">
        <v>43235</v>
      </c>
      <c r="B597">
        <v>5553.16</v>
      </c>
      <c r="C597">
        <v>2.2524311095388772E-3</v>
      </c>
      <c r="D597">
        <f t="shared" ca="1" si="9"/>
        <v>-1.9070190253272227E-2</v>
      </c>
    </row>
    <row r="598" spans="1:4" x14ac:dyDescent="0.45">
      <c r="A598" s="3">
        <v>43236</v>
      </c>
      <c r="B598">
        <v>5567.54</v>
      </c>
      <c r="C598">
        <v>2.5895165995577507E-3</v>
      </c>
      <c r="D598">
        <f t="shared" ca="1" si="9"/>
        <v>0.11509854995704027</v>
      </c>
    </row>
    <row r="599" spans="1:4" x14ac:dyDescent="0.45">
      <c r="A599" s="3">
        <v>43237</v>
      </c>
      <c r="B599">
        <v>5621.92</v>
      </c>
      <c r="C599">
        <v>9.7673299159053428E-3</v>
      </c>
      <c r="D599">
        <f t="shared" ca="1" si="9"/>
        <v>-1.0905195623908261E-2</v>
      </c>
    </row>
    <row r="600" spans="1:4" x14ac:dyDescent="0.45">
      <c r="A600" s="3">
        <v>43238</v>
      </c>
      <c r="B600">
        <v>5614.51</v>
      </c>
      <c r="C600">
        <v>-1.3180550416939107E-3</v>
      </c>
      <c r="D600">
        <f t="shared" ca="1" si="9"/>
        <v>2.9865146095263074E-2</v>
      </c>
    </row>
    <row r="601" spans="1:4" x14ac:dyDescent="0.45">
      <c r="A601" s="3">
        <v>43241</v>
      </c>
      <c r="B601">
        <v>5637.51</v>
      </c>
      <c r="C601">
        <v>4.0965284592957563E-3</v>
      </c>
      <c r="D601">
        <f t="shared" ca="1" si="9"/>
        <v>-0.22316255786268285</v>
      </c>
    </row>
    <row r="602" spans="1:4" x14ac:dyDescent="0.45">
      <c r="A602" s="3">
        <v>43242</v>
      </c>
      <c r="B602">
        <v>5640.1</v>
      </c>
      <c r="C602">
        <v>4.5942268838539135E-4</v>
      </c>
      <c r="D602">
        <f t="shared" ca="1" si="9"/>
        <v>0.180241766854291</v>
      </c>
    </row>
    <row r="603" spans="1:4" x14ac:dyDescent="0.45">
      <c r="A603" s="3">
        <v>43243</v>
      </c>
      <c r="B603">
        <v>5565.85</v>
      </c>
      <c r="C603">
        <v>-1.3164660201060219E-2</v>
      </c>
      <c r="D603">
        <f t="shared" ca="1" si="9"/>
        <v>0.24126530849926886</v>
      </c>
    </row>
    <row r="604" spans="1:4" x14ac:dyDescent="0.45">
      <c r="A604" s="3">
        <v>43244</v>
      </c>
      <c r="B604">
        <v>5548.45</v>
      </c>
      <c r="C604">
        <v>-3.1262071381730205E-3</v>
      </c>
      <c r="D604">
        <f t="shared" ca="1" si="9"/>
        <v>0.11927262656187933</v>
      </c>
    </row>
    <row r="605" spans="1:4" x14ac:dyDescent="0.45">
      <c r="A605" s="3">
        <v>43245</v>
      </c>
      <c r="B605">
        <v>5542.55</v>
      </c>
      <c r="C605">
        <v>-1.0633600374878593E-3</v>
      </c>
      <c r="D605">
        <f t="shared" ca="1" si="9"/>
        <v>-0.21948441587153691</v>
      </c>
    </row>
    <row r="606" spans="1:4" x14ac:dyDescent="0.45">
      <c r="A606" s="3">
        <v>43248</v>
      </c>
      <c r="B606">
        <v>5508.93</v>
      </c>
      <c r="C606">
        <v>-6.0658000378887023E-3</v>
      </c>
      <c r="D606">
        <f t="shared" ca="1" si="9"/>
        <v>0.2168794690368632</v>
      </c>
    </row>
    <row r="607" spans="1:4" x14ac:dyDescent="0.45">
      <c r="A607" s="3">
        <v>43249</v>
      </c>
      <c r="B607">
        <v>5438.06</v>
      </c>
      <c r="C607">
        <v>-1.286456716640072E-2</v>
      </c>
      <c r="D607">
        <f t="shared" ca="1" si="9"/>
        <v>9.2560161180924902E-2</v>
      </c>
    </row>
    <row r="608" spans="1:4" x14ac:dyDescent="0.45">
      <c r="A608" s="3">
        <v>43250</v>
      </c>
      <c r="B608">
        <v>5427.35</v>
      </c>
      <c r="C608">
        <v>-1.9694523414600651E-3</v>
      </c>
      <c r="D608">
        <f t="shared" ca="1" si="9"/>
        <v>0.16611718189541363</v>
      </c>
    </row>
    <row r="609" spans="1:4" x14ac:dyDescent="0.45">
      <c r="A609" s="3">
        <v>43251</v>
      </c>
      <c r="B609">
        <v>5398.4</v>
      </c>
      <c r="C609">
        <v>-5.3340949081965849E-3</v>
      </c>
      <c r="D609">
        <f t="shared" ca="1" si="9"/>
        <v>-0.13718626701861206</v>
      </c>
    </row>
    <row r="610" spans="1:4" x14ac:dyDescent="0.45">
      <c r="A610" s="3">
        <v>43252</v>
      </c>
      <c r="B610">
        <v>5465.53</v>
      </c>
      <c r="C610">
        <v>1.2435165975103857E-2</v>
      </c>
      <c r="D610">
        <f t="shared" ca="1" si="9"/>
        <v>-3.1085985636834602E-2</v>
      </c>
    </row>
    <row r="611" spans="1:4" x14ac:dyDescent="0.45">
      <c r="A611" s="3">
        <v>43255</v>
      </c>
      <c r="B611">
        <v>5472.91</v>
      </c>
      <c r="C611">
        <v>1.3502807595970889E-3</v>
      </c>
      <c r="D611">
        <f t="shared" ca="1" si="9"/>
        <v>-0.20775024420628371</v>
      </c>
    </row>
    <row r="612" spans="1:4" x14ac:dyDescent="0.45">
      <c r="A612" s="3">
        <v>43256</v>
      </c>
      <c r="B612">
        <v>5460.95</v>
      </c>
      <c r="C612">
        <v>-2.1853090951614584E-3</v>
      </c>
      <c r="D612">
        <f t="shared" ca="1" si="9"/>
        <v>-4.6545572992105717E-2</v>
      </c>
    </row>
    <row r="613" spans="1:4" x14ac:dyDescent="0.45">
      <c r="A613" s="3">
        <v>43257</v>
      </c>
      <c r="B613">
        <v>5457.56</v>
      </c>
      <c r="C613">
        <v>-6.2077111125347084E-4</v>
      </c>
      <c r="D613">
        <f t="shared" ca="1" si="9"/>
        <v>0.13027587714844274</v>
      </c>
    </row>
    <row r="614" spans="1:4" x14ac:dyDescent="0.45">
      <c r="A614" s="3">
        <v>43258</v>
      </c>
      <c r="B614">
        <v>5448.36</v>
      </c>
      <c r="C614">
        <v>-1.6857350171139984E-3</v>
      </c>
      <c r="D614">
        <f t="shared" ca="1" si="9"/>
        <v>-6.3590157162795227E-3</v>
      </c>
    </row>
    <row r="615" spans="1:4" x14ac:dyDescent="0.45">
      <c r="A615" s="3">
        <v>43259</v>
      </c>
      <c r="B615">
        <v>5450.22</v>
      </c>
      <c r="C615">
        <v>3.4138713300890799E-4</v>
      </c>
      <c r="D615">
        <f t="shared" ca="1" si="9"/>
        <v>0.11902369961994669</v>
      </c>
    </row>
    <row r="616" spans="1:4" x14ac:dyDescent="0.45">
      <c r="A616" s="3">
        <v>43262</v>
      </c>
      <c r="B616">
        <v>5473.91</v>
      </c>
      <c r="C616">
        <v>4.346613531196919E-3</v>
      </c>
      <c r="D616">
        <f t="shared" ca="1" si="9"/>
        <v>-0.24488862603065967</v>
      </c>
    </row>
    <row r="617" spans="1:4" x14ac:dyDescent="0.45">
      <c r="A617" s="3">
        <v>43263</v>
      </c>
      <c r="B617">
        <v>5453.37</v>
      </c>
      <c r="C617">
        <v>-3.7523452157598447E-3</v>
      </c>
      <c r="D617">
        <f t="shared" ca="1" si="9"/>
        <v>-0.14051825272221685</v>
      </c>
    </row>
    <row r="618" spans="1:4" x14ac:dyDescent="0.45">
      <c r="A618" s="3">
        <v>43264</v>
      </c>
      <c r="B618">
        <v>5452.73</v>
      </c>
      <c r="C618">
        <v>-1.1735862411688114E-4</v>
      </c>
      <c r="D618">
        <f t="shared" ca="1" si="9"/>
        <v>0.179230660236671</v>
      </c>
    </row>
    <row r="619" spans="1:4" x14ac:dyDescent="0.45">
      <c r="A619" s="3">
        <v>43265</v>
      </c>
      <c r="B619">
        <v>5528.46</v>
      </c>
      <c r="C619">
        <v>1.3888455874397021E-2</v>
      </c>
      <c r="D619">
        <f t="shared" ca="1" si="9"/>
        <v>2.5636194876061159E-2</v>
      </c>
    </row>
    <row r="620" spans="1:4" x14ac:dyDescent="0.45">
      <c r="A620" s="3">
        <v>43266</v>
      </c>
      <c r="B620">
        <v>5501.88</v>
      </c>
      <c r="C620">
        <v>-4.8078488403642261E-3</v>
      </c>
      <c r="D620">
        <f t="shared" ca="1" si="9"/>
        <v>3.4322428932580591E-2</v>
      </c>
    </row>
    <row r="621" spans="1:4" x14ac:dyDescent="0.45">
      <c r="A621" s="3">
        <v>43269</v>
      </c>
      <c r="B621">
        <v>5450.48</v>
      </c>
      <c r="C621">
        <v>-9.3422611907203468E-3</v>
      </c>
      <c r="D621">
        <f t="shared" ca="1" si="9"/>
        <v>-6.1483651039312949E-2</v>
      </c>
    </row>
    <row r="622" spans="1:4" x14ac:dyDescent="0.45">
      <c r="A622" s="3">
        <v>43270</v>
      </c>
      <c r="B622">
        <v>5390.63</v>
      </c>
      <c r="C622">
        <v>-1.09806842700092E-2</v>
      </c>
      <c r="D622">
        <f t="shared" ca="1" si="9"/>
        <v>-0.26421030949853896</v>
      </c>
    </row>
    <row r="623" spans="1:4" x14ac:dyDescent="0.45">
      <c r="A623" s="3">
        <v>43271</v>
      </c>
      <c r="B623">
        <v>5372.31</v>
      </c>
      <c r="C623">
        <v>-3.3984896014008781E-3</v>
      </c>
      <c r="D623">
        <f t="shared" ca="1" si="9"/>
        <v>-0.18887870770847204</v>
      </c>
    </row>
    <row r="624" spans="1:4" x14ac:dyDescent="0.45">
      <c r="A624" s="3">
        <v>43272</v>
      </c>
      <c r="B624">
        <v>5316.01</v>
      </c>
      <c r="C624">
        <v>-1.0479663310568488E-2</v>
      </c>
      <c r="D624">
        <f t="shared" ca="1" si="9"/>
        <v>-0.13437589909814254</v>
      </c>
    </row>
    <row r="625" spans="1:4" x14ac:dyDescent="0.45">
      <c r="A625" s="3">
        <v>43273</v>
      </c>
      <c r="B625">
        <v>5387.38</v>
      </c>
      <c r="C625">
        <v>1.3425482645818887E-2</v>
      </c>
      <c r="D625">
        <f t="shared" ca="1" si="9"/>
        <v>4.2163238503832377E-2</v>
      </c>
    </row>
    <row r="626" spans="1:4" x14ac:dyDescent="0.45">
      <c r="A626" s="3">
        <v>43276</v>
      </c>
      <c r="B626">
        <v>5283.86</v>
      </c>
      <c r="C626">
        <v>-1.9215277184828294E-2</v>
      </c>
      <c r="D626">
        <f t="shared" ca="1" si="9"/>
        <v>-9.5407971121005755E-3</v>
      </c>
    </row>
    <row r="627" spans="1:4" x14ac:dyDescent="0.45">
      <c r="A627" s="3">
        <v>43277</v>
      </c>
      <c r="B627">
        <v>5281.29</v>
      </c>
      <c r="C627">
        <v>-4.8638684598001358E-4</v>
      </c>
      <c r="D627">
        <f t="shared" ca="1" si="9"/>
        <v>-0.12668067507894443</v>
      </c>
    </row>
    <row r="628" spans="1:4" x14ac:dyDescent="0.45">
      <c r="A628" s="3">
        <v>43278</v>
      </c>
      <c r="B628">
        <v>5327.2</v>
      </c>
      <c r="C628">
        <v>8.6929519113700948E-3</v>
      </c>
      <c r="D628">
        <f t="shared" ca="1" si="9"/>
        <v>0.18263174047945541</v>
      </c>
    </row>
    <row r="629" spans="1:4" x14ac:dyDescent="0.45">
      <c r="A629" s="3">
        <v>43279</v>
      </c>
      <c r="B629">
        <v>5275.64</v>
      </c>
      <c r="C629">
        <v>-9.6786304249886213E-3</v>
      </c>
      <c r="D629">
        <f t="shared" ca="1" si="9"/>
        <v>-3.6776308583292019E-2</v>
      </c>
    </row>
    <row r="630" spans="1:4" x14ac:dyDescent="0.45">
      <c r="A630" s="3">
        <v>43280</v>
      </c>
      <c r="B630">
        <v>5323.53</v>
      </c>
      <c r="C630">
        <v>9.077571631119552E-3</v>
      </c>
      <c r="D630">
        <f t="shared" ca="1" si="9"/>
        <v>-0.11545845848622788</v>
      </c>
    </row>
    <row r="631" spans="1:4" x14ac:dyDescent="0.45">
      <c r="A631" s="3">
        <v>43283</v>
      </c>
      <c r="B631">
        <v>5276.76</v>
      </c>
      <c r="C631">
        <v>-8.7855238911022093E-3</v>
      </c>
      <c r="D631">
        <f t="shared" ca="1" si="9"/>
        <v>-0.12242754639568558</v>
      </c>
    </row>
    <row r="632" spans="1:4" x14ac:dyDescent="0.45">
      <c r="A632" s="3">
        <v>43284</v>
      </c>
      <c r="B632">
        <v>5316.77</v>
      </c>
      <c r="C632">
        <v>7.5823042927858353E-3</v>
      </c>
      <c r="D632">
        <f t="shared" ca="1" si="9"/>
        <v>0.16205360288410775</v>
      </c>
    </row>
    <row r="633" spans="1:4" x14ac:dyDescent="0.45">
      <c r="A633" s="3">
        <v>43285</v>
      </c>
      <c r="B633">
        <v>5320.5</v>
      </c>
      <c r="C633">
        <v>7.0155376290492732E-4</v>
      </c>
      <c r="D633">
        <f t="shared" ca="1" si="9"/>
        <v>0.13396851015241362</v>
      </c>
    </row>
    <row r="634" spans="1:4" x14ac:dyDescent="0.45">
      <c r="A634" s="3">
        <v>43286</v>
      </c>
      <c r="B634">
        <v>5366.32</v>
      </c>
      <c r="C634">
        <v>8.6119725589699492E-3</v>
      </c>
      <c r="D634">
        <f t="shared" ca="1" si="9"/>
        <v>-4.7781117155751979E-2</v>
      </c>
    </row>
    <row r="635" spans="1:4" x14ac:dyDescent="0.45">
      <c r="A635" s="3">
        <v>43287</v>
      </c>
      <c r="B635">
        <v>5375.77</v>
      </c>
      <c r="C635">
        <v>1.7609833181773116E-3</v>
      </c>
      <c r="D635">
        <f t="shared" ca="1" si="9"/>
        <v>-0.19248391450909713</v>
      </c>
    </row>
    <row r="636" spans="1:4" x14ac:dyDescent="0.45">
      <c r="A636" s="3">
        <v>43290</v>
      </c>
      <c r="B636">
        <v>5398.11</v>
      </c>
      <c r="C636">
        <v>4.1556837439100658E-3</v>
      </c>
      <c r="D636">
        <f t="shared" ca="1" si="9"/>
        <v>-0.19605845437687583</v>
      </c>
    </row>
    <row r="637" spans="1:4" x14ac:dyDescent="0.45">
      <c r="A637" s="3">
        <v>43291</v>
      </c>
      <c r="B637">
        <v>5434.36</v>
      </c>
      <c r="C637">
        <v>6.715313322625871E-3</v>
      </c>
      <c r="D637">
        <f t="shared" ca="1" si="9"/>
        <v>0.15867046480412011</v>
      </c>
    </row>
    <row r="638" spans="1:4" x14ac:dyDescent="0.45">
      <c r="A638" s="3">
        <v>43292</v>
      </c>
      <c r="B638">
        <v>5353.93</v>
      </c>
      <c r="C638">
        <v>-1.4800270869062659E-2</v>
      </c>
      <c r="D638">
        <f t="shared" ca="1" si="9"/>
        <v>-0.23981881963736704</v>
      </c>
    </row>
    <row r="639" spans="1:4" x14ac:dyDescent="0.45">
      <c r="A639" s="3">
        <v>43293</v>
      </c>
      <c r="B639">
        <v>5405.9</v>
      </c>
      <c r="C639">
        <v>9.7068882110897814E-3</v>
      </c>
      <c r="D639">
        <f t="shared" ca="1" si="9"/>
        <v>-0.2327883199953405</v>
      </c>
    </row>
    <row r="640" spans="1:4" x14ac:dyDescent="0.45">
      <c r="A640" s="3">
        <v>43294</v>
      </c>
      <c r="B640">
        <v>5429.2</v>
      </c>
      <c r="C640">
        <v>4.3101056253354031E-3</v>
      </c>
      <c r="D640">
        <f t="shared" ca="1" si="9"/>
        <v>-7.7226681823033966E-3</v>
      </c>
    </row>
    <row r="641" spans="1:4" x14ac:dyDescent="0.45">
      <c r="A641" s="3">
        <v>43297</v>
      </c>
      <c r="B641">
        <v>5409.43</v>
      </c>
      <c r="C641">
        <v>-3.6414204671036954E-3</v>
      </c>
      <c r="D641">
        <f t="shared" ca="1" si="9"/>
        <v>2.7881096150661755E-3</v>
      </c>
    </row>
    <row r="642" spans="1:4" x14ac:dyDescent="0.45">
      <c r="A642" s="3">
        <v>43298</v>
      </c>
      <c r="B642">
        <v>5422.54</v>
      </c>
      <c r="C642">
        <v>2.4235455491612434E-3</v>
      </c>
      <c r="D642">
        <f t="shared" ca="1" si="9"/>
        <v>-0.21332384274118918</v>
      </c>
    </row>
    <row r="643" spans="1:4" x14ac:dyDescent="0.45">
      <c r="A643" s="3">
        <v>43299</v>
      </c>
      <c r="B643">
        <v>5447.44</v>
      </c>
      <c r="C643">
        <v>4.591943996724801E-3</v>
      </c>
      <c r="D643">
        <f t="shared" ca="1" si="9"/>
        <v>3.0416097042946351E-2</v>
      </c>
    </row>
    <row r="644" spans="1:4" x14ac:dyDescent="0.45">
      <c r="A644" s="3">
        <v>43300</v>
      </c>
      <c r="B644">
        <v>5417.07</v>
      </c>
      <c r="C644">
        <v>-5.575095824827736E-3</v>
      </c>
      <c r="D644">
        <f t="shared" ca="1" si="9"/>
        <v>0.16093000944830566</v>
      </c>
    </row>
    <row r="645" spans="1:4" x14ac:dyDescent="0.45">
      <c r="A645" s="3">
        <v>43301</v>
      </c>
      <c r="B645">
        <v>5398.32</v>
      </c>
      <c r="C645">
        <v>-3.4612807292503378E-3</v>
      </c>
      <c r="D645">
        <f t="shared" ca="1" si="9"/>
        <v>0.21949618480969174</v>
      </c>
    </row>
    <row r="646" spans="1:4" x14ac:dyDescent="0.45">
      <c r="A646" s="3">
        <v>43304</v>
      </c>
      <c r="B646">
        <v>5378.25</v>
      </c>
      <c r="C646">
        <v>-3.7178233228114532E-3</v>
      </c>
      <c r="D646">
        <f t="shared" ca="1" si="9"/>
        <v>-0.17961169348425748</v>
      </c>
    </row>
    <row r="647" spans="1:4" x14ac:dyDescent="0.45">
      <c r="A647" s="3">
        <v>43305</v>
      </c>
      <c r="B647">
        <v>5434.19</v>
      </c>
      <c r="C647">
        <v>1.0401152791335466E-2</v>
      </c>
      <c r="D647">
        <f t="shared" ca="1" si="9"/>
        <v>-0.22110081035621237</v>
      </c>
    </row>
    <row r="648" spans="1:4" x14ac:dyDescent="0.45">
      <c r="A648" s="3">
        <v>43306</v>
      </c>
      <c r="B648">
        <v>5426.41</v>
      </c>
      <c r="C648">
        <v>-1.431676109962976E-3</v>
      </c>
      <c r="D648">
        <f t="shared" ca="1" si="9"/>
        <v>-6.1224188308631952E-2</v>
      </c>
    </row>
    <row r="649" spans="1:4" x14ac:dyDescent="0.45">
      <c r="A649" s="3">
        <v>43307</v>
      </c>
      <c r="B649">
        <v>5480.55</v>
      </c>
      <c r="C649">
        <v>9.9771303679596635E-3</v>
      </c>
      <c r="D649">
        <f t="shared" ca="1" si="9"/>
        <v>9.0053177363998663E-2</v>
      </c>
    </row>
    <row r="650" spans="1:4" x14ac:dyDescent="0.45">
      <c r="A650" s="3">
        <v>43308</v>
      </c>
      <c r="B650">
        <v>5511.76</v>
      </c>
      <c r="C650">
        <v>5.6946839277078887E-3</v>
      </c>
      <c r="D650">
        <f t="shared" ref="D650:D713" ca="1" si="10">0.5*(RAND()-0.5+AVERAGE($D644:$D649))</f>
        <v>7.8984350395052472E-2</v>
      </c>
    </row>
    <row r="651" spans="1:4" x14ac:dyDescent="0.45">
      <c r="A651" s="3">
        <v>43311</v>
      </c>
      <c r="B651">
        <v>5491.22</v>
      </c>
      <c r="C651">
        <v>-3.7265773546018011E-3</v>
      </c>
      <c r="D651">
        <f t="shared" ca="1" si="10"/>
        <v>0.22346885833925045</v>
      </c>
    </row>
    <row r="652" spans="1:4" x14ac:dyDescent="0.45">
      <c r="A652" s="3">
        <v>43312</v>
      </c>
      <c r="B652">
        <v>5511.3</v>
      </c>
      <c r="C652">
        <v>3.6567465881898187E-3</v>
      </c>
      <c r="D652">
        <f t="shared" ca="1" si="10"/>
        <v>0.21339978481209912</v>
      </c>
    </row>
    <row r="653" spans="1:4" x14ac:dyDescent="0.45">
      <c r="A653" s="3">
        <v>43313</v>
      </c>
      <c r="B653">
        <v>5498.37</v>
      </c>
      <c r="C653">
        <v>-2.3460889445321431E-3</v>
      </c>
      <c r="D653">
        <f t="shared" ca="1" si="10"/>
        <v>0.1544121719481982</v>
      </c>
    </row>
    <row r="654" spans="1:4" x14ac:dyDescent="0.45">
      <c r="A654" s="3">
        <v>43314</v>
      </c>
      <c r="B654">
        <v>5460.98</v>
      </c>
      <c r="C654">
        <v>-6.800197149336995E-3</v>
      </c>
      <c r="D654">
        <f t="shared" ca="1" si="10"/>
        <v>-0.1261727829785606</v>
      </c>
    </row>
    <row r="655" spans="1:4" x14ac:dyDescent="0.45">
      <c r="A655" s="3">
        <v>43315</v>
      </c>
      <c r="B655">
        <v>5478.98</v>
      </c>
      <c r="C655">
        <v>3.296111686913239E-3</v>
      </c>
      <c r="D655">
        <f t="shared" ca="1" si="10"/>
        <v>0.21635633787828909</v>
      </c>
    </row>
    <row r="656" spans="1:4" x14ac:dyDescent="0.45">
      <c r="A656" s="3">
        <v>43318</v>
      </c>
      <c r="B656">
        <v>5477.18</v>
      </c>
      <c r="C656">
        <v>-3.2852830271312694E-4</v>
      </c>
      <c r="D656">
        <f t="shared" ca="1" si="10"/>
        <v>-0.17676904080522679</v>
      </c>
    </row>
    <row r="657" spans="1:4" x14ac:dyDescent="0.45">
      <c r="A657" s="3">
        <v>43319</v>
      </c>
      <c r="B657">
        <v>5521.31</v>
      </c>
      <c r="C657">
        <v>8.0570658623597691E-3</v>
      </c>
      <c r="D657">
        <f t="shared" ca="1" si="10"/>
        <v>0.17064454390882075</v>
      </c>
    </row>
    <row r="658" spans="1:4" x14ac:dyDescent="0.45">
      <c r="A658" s="3">
        <v>43320</v>
      </c>
      <c r="B658">
        <v>5501.9</v>
      </c>
      <c r="C658">
        <v>-3.5154700605473099E-3</v>
      </c>
      <c r="D658">
        <f t="shared" ca="1" si="10"/>
        <v>-8.2153678642416461E-2</v>
      </c>
    </row>
    <row r="659" spans="1:4" x14ac:dyDescent="0.45">
      <c r="A659" s="3">
        <v>43321</v>
      </c>
      <c r="B659">
        <v>5502.25</v>
      </c>
      <c r="C659">
        <v>6.3614387757038315E-5</v>
      </c>
      <c r="D659">
        <f t="shared" ca="1" si="10"/>
        <v>-0.16962965651663142</v>
      </c>
    </row>
    <row r="660" spans="1:4" x14ac:dyDescent="0.45">
      <c r="A660" s="3">
        <v>43322</v>
      </c>
      <c r="B660">
        <v>5414.68</v>
      </c>
      <c r="C660">
        <v>-1.5915307374255949E-2</v>
      </c>
      <c r="D660">
        <f t="shared" ca="1" si="10"/>
        <v>-1.7665092688844378E-2</v>
      </c>
    </row>
    <row r="661" spans="1:4" x14ac:dyDescent="0.45">
      <c r="A661" s="3">
        <v>43325</v>
      </c>
      <c r="B661">
        <v>5412.32</v>
      </c>
      <c r="C661">
        <v>-4.3585216485564349E-4</v>
      </c>
      <c r="D661">
        <f t="shared" ca="1" si="10"/>
        <v>0.11906437046976101</v>
      </c>
    </row>
    <row r="662" spans="1:4" x14ac:dyDescent="0.45">
      <c r="A662" s="3">
        <v>43326</v>
      </c>
      <c r="B662">
        <v>5403.41</v>
      </c>
      <c r="C662">
        <v>-1.646244124515861E-3</v>
      </c>
      <c r="D662">
        <f t="shared" ca="1" si="10"/>
        <v>-0.23589077133722189</v>
      </c>
    </row>
    <row r="663" spans="1:4" x14ac:dyDescent="0.45">
      <c r="A663" s="3">
        <v>43327</v>
      </c>
      <c r="B663">
        <v>5305.22</v>
      </c>
      <c r="C663">
        <v>-1.8171858141432851E-2</v>
      </c>
      <c r="D663">
        <f t="shared" ca="1" si="10"/>
        <v>-0.20989235020767991</v>
      </c>
    </row>
    <row r="664" spans="1:4" x14ac:dyDescent="0.45">
      <c r="A664" s="3">
        <v>43328</v>
      </c>
      <c r="B664">
        <v>5349.02</v>
      </c>
      <c r="C664">
        <v>8.2560195430161354E-3</v>
      </c>
      <c r="D664">
        <f t="shared" ca="1" si="10"/>
        <v>0.16799914857621875</v>
      </c>
    </row>
    <row r="665" spans="1:4" x14ac:dyDescent="0.45">
      <c r="A665" s="3">
        <v>43329</v>
      </c>
      <c r="B665">
        <v>5344.93</v>
      </c>
      <c r="C665">
        <v>-7.6462604364913034E-4</v>
      </c>
      <c r="D665">
        <f t="shared" ca="1" si="10"/>
        <v>0.10128111821563243</v>
      </c>
    </row>
    <row r="666" spans="1:4" x14ac:dyDescent="0.45">
      <c r="A666" s="3">
        <v>43332</v>
      </c>
      <c r="B666">
        <v>5379.65</v>
      </c>
      <c r="C666">
        <v>6.4958755306430138E-3</v>
      </c>
      <c r="D666">
        <f t="shared" ca="1" si="10"/>
        <v>0.20370268658561921</v>
      </c>
    </row>
    <row r="667" spans="1:4" x14ac:dyDescent="0.45">
      <c r="A667" s="3">
        <v>43333</v>
      </c>
      <c r="B667">
        <v>5408.6</v>
      </c>
      <c r="C667">
        <v>5.3813909826849748E-3</v>
      </c>
      <c r="D667">
        <f t="shared" ca="1" si="10"/>
        <v>-0.20370406774207134</v>
      </c>
    </row>
    <row r="668" spans="1:4" x14ac:dyDescent="0.45">
      <c r="A668" s="3">
        <v>43334</v>
      </c>
      <c r="B668">
        <v>5420.61</v>
      </c>
      <c r="C668">
        <v>2.2205376622415063E-3</v>
      </c>
      <c r="D668">
        <f t="shared" ca="1" si="10"/>
        <v>6.445761186873869E-2</v>
      </c>
    </row>
    <row r="669" spans="1:4" x14ac:dyDescent="0.45">
      <c r="A669" s="3">
        <v>43335</v>
      </c>
      <c r="B669">
        <v>5419.33</v>
      </c>
      <c r="C669">
        <v>-2.3613578545578218E-4</v>
      </c>
      <c r="D669">
        <f t="shared" ca="1" si="10"/>
        <v>-0.10031092647454479</v>
      </c>
    </row>
    <row r="670" spans="1:4" x14ac:dyDescent="0.45">
      <c r="A670" s="3">
        <v>43336</v>
      </c>
      <c r="B670">
        <v>5432.5</v>
      </c>
      <c r="C670">
        <v>2.4301897097980252E-3</v>
      </c>
      <c r="D670">
        <f t="shared" ca="1" si="10"/>
        <v>-0.14137233004464464</v>
      </c>
    </row>
    <row r="671" spans="1:4" x14ac:dyDescent="0.45">
      <c r="A671" s="3">
        <v>43339</v>
      </c>
      <c r="B671">
        <v>5479.1</v>
      </c>
      <c r="C671">
        <v>8.5780027611597198E-3</v>
      </c>
      <c r="D671">
        <f t="shared" ca="1" si="10"/>
        <v>6.613033530028975E-2</v>
      </c>
    </row>
    <row r="672" spans="1:4" x14ac:dyDescent="0.45">
      <c r="A672" s="3">
        <v>43340</v>
      </c>
      <c r="B672">
        <v>5484.99</v>
      </c>
      <c r="C672">
        <v>1.0749940683687509E-3</v>
      </c>
      <c r="D672">
        <f t="shared" ca="1" si="10"/>
        <v>0.16791108057961235</v>
      </c>
    </row>
    <row r="673" spans="1:4" x14ac:dyDescent="0.45">
      <c r="A673" s="3">
        <v>43341</v>
      </c>
      <c r="B673">
        <v>5501.33</v>
      </c>
      <c r="C673">
        <v>2.9790391595974075E-3</v>
      </c>
      <c r="D673">
        <f t="shared" ca="1" si="10"/>
        <v>0.20473419007789539</v>
      </c>
    </row>
    <row r="674" spans="1:4" x14ac:dyDescent="0.45">
      <c r="A674" s="3">
        <v>43342</v>
      </c>
      <c r="B674">
        <v>5478.06</v>
      </c>
      <c r="C674">
        <v>-4.2298862275121918E-3</v>
      </c>
      <c r="D674">
        <f t="shared" ca="1" si="10"/>
        <v>0.2565903068991805</v>
      </c>
    </row>
    <row r="675" spans="1:4" x14ac:dyDescent="0.45">
      <c r="A675" s="3">
        <v>43343</v>
      </c>
      <c r="B675">
        <v>5406.85</v>
      </c>
      <c r="C675">
        <v>-1.2999127428323209E-2</v>
      </c>
      <c r="D675">
        <f t="shared" ca="1" si="10"/>
        <v>-9.9032845772155181E-2</v>
      </c>
    </row>
    <row r="676" spans="1:4" x14ac:dyDescent="0.45">
      <c r="A676" s="3">
        <v>43346</v>
      </c>
      <c r="B676">
        <v>5413.8</v>
      </c>
      <c r="C676">
        <v>1.2854064751195438E-3</v>
      </c>
      <c r="D676">
        <f t="shared" ca="1" si="10"/>
        <v>9.0166481507771318E-2</v>
      </c>
    </row>
    <row r="677" spans="1:4" x14ac:dyDescent="0.45">
      <c r="A677" s="3">
        <v>43347</v>
      </c>
      <c r="B677">
        <v>5342.7</v>
      </c>
      <c r="C677">
        <v>-1.3133104289039244E-2</v>
      </c>
      <c r="D677">
        <f t="shared" ca="1" si="10"/>
        <v>0.15619085958026413</v>
      </c>
    </row>
    <row r="678" spans="1:4" x14ac:dyDescent="0.45">
      <c r="A678" s="3">
        <v>43348</v>
      </c>
      <c r="B678">
        <v>5260.22</v>
      </c>
      <c r="C678">
        <v>-1.5437887210586365E-2</v>
      </c>
      <c r="D678">
        <f t="shared" ca="1" si="10"/>
        <v>-0.11764994252332314</v>
      </c>
    </row>
    <row r="679" spans="1:4" x14ac:dyDescent="0.45">
      <c r="A679" s="3">
        <v>43349</v>
      </c>
      <c r="B679">
        <v>5243.84</v>
      </c>
      <c r="C679">
        <v>-3.1139382003034788E-3</v>
      </c>
      <c r="D679">
        <f t="shared" ca="1" si="10"/>
        <v>9.8957908164229336E-2</v>
      </c>
    </row>
    <row r="680" spans="1:4" x14ac:dyDescent="0.45">
      <c r="A680" s="3">
        <v>43350</v>
      </c>
      <c r="B680">
        <v>5252.22</v>
      </c>
      <c r="C680">
        <v>1.5980655397571653E-3</v>
      </c>
      <c r="D680">
        <f t="shared" ca="1" si="10"/>
        <v>5.0932942635234867E-2</v>
      </c>
    </row>
    <row r="681" spans="1:4" x14ac:dyDescent="0.45">
      <c r="A681" s="3">
        <v>43353</v>
      </c>
      <c r="B681">
        <v>5269.63</v>
      </c>
      <c r="C681">
        <v>3.3147887940718768E-3</v>
      </c>
      <c r="D681">
        <f t="shared" ca="1" si="10"/>
        <v>-0.22545904470129027</v>
      </c>
    </row>
    <row r="682" spans="1:4" x14ac:dyDescent="0.45">
      <c r="A682" s="3">
        <v>43354</v>
      </c>
      <c r="B682">
        <v>5283.79</v>
      </c>
      <c r="C682">
        <v>2.6870956784441624E-3</v>
      </c>
      <c r="D682">
        <f t="shared" ca="1" si="10"/>
        <v>7.8929295004485756E-2</v>
      </c>
    </row>
    <row r="683" spans="1:4" x14ac:dyDescent="0.45">
      <c r="A683" s="3">
        <v>43355</v>
      </c>
      <c r="B683">
        <v>5332.13</v>
      </c>
      <c r="C683">
        <v>9.1487360398501139E-3</v>
      </c>
      <c r="D683">
        <f t="shared" ca="1" si="10"/>
        <v>-0.18229846815661904</v>
      </c>
    </row>
    <row r="684" spans="1:4" x14ac:dyDescent="0.45">
      <c r="A684" s="3">
        <v>43356</v>
      </c>
      <c r="B684">
        <v>5328.12</v>
      </c>
      <c r="C684">
        <v>-7.5204468008094327E-4</v>
      </c>
      <c r="D684">
        <f t="shared" ca="1" si="10"/>
        <v>0.1931614525035375</v>
      </c>
    </row>
    <row r="685" spans="1:4" x14ac:dyDescent="0.45">
      <c r="A685" s="3">
        <v>43357</v>
      </c>
      <c r="B685">
        <v>5352.57</v>
      </c>
      <c r="C685">
        <v>4.588860611247414E-3</v>
      </c>
      <c r="D685">
        <f t="shared" ca="1" si="10"/>
        <v>9.8550898378899215E-2</v>
      </c>
    </row>
    <row r="686" spans="1:4" x14ac:dyDescent="0.45">
      <c r="A686" s="3">
        <v>43360</v>
      </c>
      <c r="B686">
        <v>5348.87</v>
      </c>
      <c r="C686">
        <v>-6.9125672340575317E-4</v>
      </c>
      <c r="D686">
        <f t="shared" ca="1" si="10"/>
        <v>8.7717933369954509E-2</v>
      </c>
    </row>
    <row r="687" spans="1:4" x14ac:dyDescent="0.45">
      <c r="A687" s="3">
        <v>43361</v>
      </c>
      <c r="B687">
        <v>5363.79</v>
      </c>
      <c r="C687">
        <v>2.7893742042712777E-3</v>
      </c>
      <c r="D687">
        <f t="shared" ca="1" si="10"/>
        <v>4.9161044201578519E-2</v>
      </c>
    </row>
    <row r="688" spans="1:4" x14ac:dyDescent="0.45">
      <c r="A688" s="3">
        <v>43362</v>
      </c>
      <c r="B688">
        <v>5393.74</v>
      </c>
      <c r="C688">
        <v>5.583738364104418E-3</v>
      </c>
      <c r="D688">
        <f t="shared" ca="1" si="10"/>
        <v>-4.4239967129512739E-2</v>
      </c>
    </row>
    <row r="689" spans="1:4" x14ac:dyDescent="0.45">
      <c r="A689" s="3">
        <v>43363</v>
      </c>
      <c r="B689">
        <v>5451.59</v>
      </c>
      <c r="C689">
        <v>1.0725396478139526E-2</v>
      </c>
      <c r="D689">
        <f t="shared" ca="1" si="10"/>
        <v>-0.11515475218333471</v>
      </c>
    </row>
    <row r="690" spans="1:4" x14ac:dyDescent="0.45">
      <c r="A690" s="3">
        <v>43364</v>
      </c>
      <c r="B690">
        <v>5494.17</v>
      </c>
      <c r="C690">
        <v>7.8105653579965129E-3</v>
      </c>
      <c r="D690">
        <f t="shared" ca="1" si="10"/>
        <v>0.17188860474406817</v>
      </c>
    </row>
    <row r="691" spans="1:4" x14ac:dyDescent="0.45">
      <c r="A691" s="3">
        <v>43367</v>
      </c>
      <c r="B691">
        <v>5476.17</v>
      </c>
      <c r="C691">
        <v>-3.2762000447746908E-3</v>
      </c>
      <c r="D691">
        <f t="shared" ca="1" si="10"/>
        <v>9.4021675420348394E-2</v>
      </c>
    </row>
    <row r="692" spans="1:4" x14ac:dyDescent="0.45">
      <c r="A692" s="3">
        <v>43368</v>
      </c>
      <c r="B692">
        <v>5479.1</v>
      </c>
      <c r="C692">
        <v>5.3504547886573661E-4</v>
      </c>
      <c r="D692">
        <f t="shared" ca="1" si="10"/>
        <v>-0.18847044330502202</v>
      </c>
    </row>
    <row r="693" spans="1:4" x14ac:dyDescent="0.45">
      <c r="A693" s="3">
        <v>43369</v>
      </c>
      <c r="B693">
        <v>5512.73</v>
      </c>
      <c r="C693">
        <v>6.1378693581060073E-3</v>
      </c>
      <c r="D693">
        <f t="shared" ca="1" si="10"/>
        <v>0.16250787648072115</v>
      </c>
    </row>
    <row r="694" spans="1:4" x14ac:dyDescent="0.45">
      <c r="A694" s="3">
        <v>43370</v>
      </c>
      <c r="B694">
        <v>5540.41</v>
      </c>
      <c r="C694">
        <v>5.0211056953632927E-3</v>
      </c>
      <c r="D694">
        <f t="shared" ca="1" si="10"/>
        <v>-9.9157818897928185E-2</v>
      </c>
    </row>
    <row r="695" spans="1:4" x14ac:dyDescent="0.45">
      <c r="A695" s="3">
        <v>43371</v>
      </c>
      <c r="B695">
        <v>5493.49</v>
      </c>
      <c r="C695">
        <v>-8.4686873354138381E-3</v>
      </c>
      <c r="D695">
        <f t="shared" ca="1" si="10"/>
        <v>-4.5158570486065308E-2</v>
      </c>
    </row>
    <row r="696" spans="1:4" x14ac:dyDescent="0.45">
      <c r="A696" s="3">
        <v>43374</v>
      </c>
      <c r="B696">
        <v>5506.82</v>
      </c>
      <c r="C696">
        <v>2.4265084672949744E-3</v>
      </c>
      <c r="D696">
        <f t="shared" ca="1" si="10"/>
        <v>-0.15988018365822751</v>
      </c>
    </row>
    <row r="697" spans="1:4" x14ac:dyDescent="0.45">
      <c r="A697" s="3">
        <v>43375</v>
      </c>
      <c r="B697">
        <v>5467.89</v>
      </c>
      <c r="C697">
        <v>-7.069415742660845E-3</v>
      </c>
      <c r="D697">
        <f t="shared" ca="1" si="10"/>
        <v>0.22939118522424173</v>
      </c>
    </row>
    <row r="698" spans="1:4" x14ac:dyDescent="0.45">
      <c r="A698" s="3">
        <v>43376</v>
      </c>
      <c r="B698">
        <v>5491.4</v>
      </c>
      <c r="C698">
        <v>4.299647578864807E-3</v>
      </c>
      <c r="D698">
        <f t="shared" ca="1" si="10"/>
        <v>-0.18908326174059642</v>
      </c>
    </row>
    <row r="699" spans="1:4" x14ac:dyDescent="0.45">
      <c r="A699" s="3">
        <v>43377</v>
      </c>
      <c r="B699">
        <v>5410.85</v>
      </c>
      <c r="C699">
        <v>-1.4668390574352541E-2</v>
      </c>
      <c r="D699">
        <f t="shared" ca="1" si="10"/>
        <v>8.3604858193628936E-2</v>
      </c>
    </row>
    <row r="700" spans="1:4" x14ac:dyDescent="0.45">
      <c r="A700" s="3">
        <v>43378</v>
      </c>
      <c r="B700">
        <v>5359.36</v>
      </c>
      <c r="C700">
        <v>-9.5160649435857003E-3</v>
      </c>
      <c r="D700">
        <f t="shared" ca="1" si="10"/>
        <v>-8.8551865308332936E-2</v>
      </c>
    </row>
    <row r="701" spans="1:4" x14ac:dyDescent="0.45">
      <c r="A701" s="3">
        <v>43381</v>
      </c>
      <c r="B701">
        <v>5300.25</v>
      </c>
      <c r="C701">
        <v>-1.1029302006209663E-2</v>
      </c>
      <c r="D701">
        <f t="shared" ca="1" si="10"/>
        <v>-5.0292593841768402E-2</v>
      </c>
    </row>
    <row r="702" spans="1:4" x14ac:dyDescent="0.45">
      <c r="A702" s="3">
        <v>43382</v>
      </c>
      <c r="B702">
        <v>5318.55</v>
      </c>
      <c r="C702">
        <v>3.4526673270129926E-3</v>
      </c>
      <c r="D702">
        <f t="shared" ca="1" si="10"/>
        <v>0.15950337103477907</v>
      </c>
    </row>
    <row r="703" spans="1:4" x14ac:dyDescent="0.45">
      <c r="A703" s="3">
        <v>43383</v>
      </c>
      <c r="B703">
        <v>5206.22</v>
      </c>
      <c r="C703">
        <v>-2.112041815908472E-2</v>
      </c>
      <c r="D703">
        <f t="shared" ca="1" si="10"/>
        <v>-6.3492860685492578E-2</v>
      </c>
    </row>
    <row r="704" spans="1:4" x14ac:dyDescent="0.45">
      <c r="A704" s="3">
        <v>43384</v>
      </c>
      <c r="B704">
        <v>5106.37</v>
      </c>
      <c r="C704">
        <v>-1.9178982063762229E-2</v>
      </c>
      <c r="D704">
        <f t="shared" ca="1" si="10"/>
        <v>0.16569943047807711</v>
      </c>
    </row>
    <row r="705" spans="1:4" x14ac:dyDescent="0.45">
      <c r="A705" s="3">
        <v>43385</v>
      </c>
      <c r="B705">
        <v>5095.9799999999996</v>
      </c>
      <c r="C705">
        <v>-2.0347135048969234E-3</v>
      </c>
      <c r="D705">
        <f t="shared" ca="1" si="10"/>
        <v>-0.22720195976214991</v>
      </c>
    </row>
    <row r="706" spans="1:4" x14ac:dyDescent="0.45">
      <c r="A706" s="3">
        <v>43388</v>
      </c>
      <c r="B706">
        <v>5095.07</v>
      </c>
      <c r="C706">
        <v>-1.7857212940397549E-4</v>
      </c>
      <c r="D706">
        <f t="shared" ca="1" si="10"/>
        <v>0.1691664282809969</v>
      </c>
    </row>
    <row r="707" spans="1:4" x14ac:dyDescent="0.45">
      <c r="A707" s="3">
        <v>43389</v>
      </c>
      <c r="B707">
        <v>5173.05</v>
      </c>
      <c r="C707">
        <v>1.5304990902970994E-2</v>
      </c>
      <c r="D707">
        <f t="shared" ca="1" si="10"/>
        <v>-0.14255016912967025</v>
      </c>
    </row>
    <row r="708" spans="1:4" x14ac:dyDescent="0.45">
      <c r="A708" s="3">
        <v>43390</v>
      </c>
      <c r="B708">
        <v>5144.95</v>
      </c>
      <c r="C708">
        <v>-5.431998530847415E-3</v>
      </c>
      <c r="D708">
        <f t="shared" ca="1" si="10"/>
        <v>0.25263895246392509</v>
      </c>
    </row>
    <row r="709" spans="1:4" x14ac:dyDescent="0.45">
      <c r="A709" s="3">
        <v>43391</v>
      </c>
      <c r="B709">
        <v>5116.79</v>
      </c>
      <c r="C709">
        <v>-5.4733282150457585E-3</v>
      </c>
      <c r="D709">
        <f t="shared" ca="1" si="10"/>
        <v>0.23209579503903274</v>
      </c>
    </row>
    <row r="710" spans="1:4" x14ac:dyDescent="0.45">
      <c r="A710" s="3">
        <v>43392</v>
      </c>
      <c r="B710">
        <v>5084.66</v>
      </c>
      <c r="C710">
        <v>-6.2793274689796341E-3</v>
      </c>
      <c r="D710">
        <f t="shared" ca="1" si="10"/>
        <v>2.5758524467557213E-2</v>
      </c>
    </row>
    <row r="711" spans="1:4" x14ac:dyDescent="0.45">
      <c r="A711" s="3">
        <v>43395</v>
      </c>
      <c r="B711">
        <v>5053.3100000000004</v>
      </c>
      <c r="C711">
        <v>-6.1656039931872186E-3</v>
      </c>
      <c r="D711">
        <f t="shared" ca="1" si="10"/>
        <v>0.18870353434830145</v>
      </c>
    </row>
    <row r="712" spans="1:4" x14ac:dyDescent="0.45">
      <c r="A712" s="3">
        <v>43396</v>
      </c>
      <c r="B712">
        <v>4967.6899999999996</v>
      </c>
      <c r="C712">
        <v>-1.694335000227587E-2</v>
      </c>
      <c r="D712">
        <f t="shared" ca="1" si="10"/>
        <v>-0.1294674293086886</v>
      </c>
    </row>
    <row r="713" spans="1:4" x14ac:dyDescent="0.45">
      <c r="A713" s="3">
        <v>43397</v>
      </c>
      <c r="B713">
        <v>4953.09</v>
      </c>
      <c r="C713">
        <v>-2.9389917647839603E-3</v>
      </c>
      <c r="D713">
        <f t="shared" ca="1" si="10"/>
        <v>0.13117512889519653</v>
      </c>
    </row>
    <row r="714" spans="1:4" x14ac:dyDescent="0.45">
      <c r="A714" s="3">
        <v>43398</v>
      </c>
      <c r="B714">
        <v>5032.3</v>
      </c>
      <c r="C714">
        <v>1.5992037293891315E-2</v>
      </c>
      <c r="D714">
        <f t="shared" ref="D714:D735" ca="1" si="11">0.5*(RAND()-0.5+AVERAGE($D708:$D713))</f>
        <v>0.21918135813940146</v>
      </c>
    </row>
    <row r="715" spans="1:4" x14ac:dyDescent="0.45">
      <c r="A715" s="3">
        <v>43402</v>
      </c>
      <c r="B715">
        <v>4989.3500000000004</v>
      </c>
      <c r="C715">
        <v>-8.5348647735628003E-3</v>
      </c>
      <c r="D715">
        <f t="shared" ca="1" si="11"/>
        <v>-1.708304829880139E-2</v>
      </c>
    </row>
    <row r="716" spans="1:4" x14ac:dyDescent="0.45">
      <c r="A716" s="3">
        <v>43403</v>
      </c>
      <c r="B716">
        <v>4978.53</v>
      </c>
      <c r="C716">
        <v>-2.1686191588083936E-3</v>
      </c>
      <c r="D716">
        <f t="shared" ca="1" si="11"/>
        <v>0.14510863425563286</v>
      </c>
    </row>
    <row r="717" spans="1:4" x14ac:dyDescent="0.45">
      <c r="A717" s="3">
        <v>43404</v>
      </c>
      <c r="B717">
        <v>5093.4399999999996</v>
      </c>
      <c r="C717">
        <v>2.3081110287574758E-2</v>
      </c>
      <c r="D717">
        <f t="shared" ca="1" si="11"/>
        <v>0.18538547184439028</v>
      </c>
    </row>
    <row r="718" spans="1:4" x14ac:dyDescent="0.45">
      <c r="A718" s="3">
        <v>43405</v>
      </c>
      <c r="B718">
        <v>5085.78</v>
      </c>
      <c r="C718">
        <v>-1.5038952063830546E-3</v>
      </c>
      <c r="D718">
        <f t="shared" ca="1" si="11"/>
        <v>8.4909244839800169E-2</v>
      </c>
    </row>
    <row r="719" spans="1:4" x14ac:dyDescent="0.45">
      <c r="A719" s="3">
        <v>43409</v>
      </c>
      <c r="B719">
        <v>5101.3900000000003</v>
      </c>
      <c r="C719">
        <v>3.0693423624301719E-3</v>
      </c>
      <c r="D719">
        <f t="shared" ca="1" si="11"/>
        <v>9.5923247843077347E-2</v>
      </c>
    </row>
    <row r="720" spans="1:4" x14ac:dyDescent="0.45">
      <c r="A720" s="3">
        <v>43410</v>
      </c>
      <c r="B720">
        <v>5075.1899999999996</v>
      </c>
      <c r="C720">
        <v>-5.1358551296805111E-3</v>
      </c>
      <c r="D720">
        <f t="shared" ca="1" si="11"/>
        <v>-0.16623670907657276</v>
      </c>
    </row>
    <row r="721" spans="1:4" x14ac:dyDescent="0.45">
      <c r="A721" s="3">
        <v>43411</v>
      </c>
      <c r="B721">
        <v>5137.9399999999996</v>
      </c>
      <c r="C721">
        <v>1.2364069128446342E-2</v>
      </c>
      <c r="D721">
        <f t="shared" ca="1" si="11"/>
        <v>0.12805261348283978</v>
      </c>
    </row>
    <row r="722" spans="1:4" x14ac:dyDescent="0.45">
      <c r="A722" s="3">
        <v>43412</v>
      </c>
      <c r="B722">
        <v>5131.45</v>
      </c>
      <c r="C722">
        <v>-1.2631521582578964E-3</v>
      </c>
      <c r="D722">
        <f t="shared" ca="1" si="11"/>
        <v>-7.0452665207365733E-2</v>
      </c>
    </row>
    <row r="723" spans="1:4" x14ac:dyDescent="0.45">
      <c r="A723" s="3">
        <v>43413</v>
      </c>
      <c r="B723">
        <v>5106.75</v>
      </c>
      <c r="C723">
        <v>-4.813454286800023E-3</v>
      </c>
      <c r="D723">
        <f t="shared" ca="1" si="11"/>
        <v>-2.4431057053129028E-3</v>
      </c>
    </row>
    <row r="724" spans="1:4" x14ac:dyDescent="0.45">
      <c r="A724" s="3">
        <v>43416</v>
      </c>
      <c r="B724">
        <v>5059.09</v>
      </c>
      <c r="C724">
        <v>-9.3327458755568804E-3</v>
      </c>
      <c r="D724">
        <f t="shared" ca="1" si="11"/>
        <v>-3.7966846673405691E-2</v>
      </c>
    </row>
    <row r="725" spans="1:4" x14ac:dyDescent="0.45">
      <c r="A725" s="3">
        <v>43417</v>
      </c>
      <c r="B725">
        <v>5101.8500000000004</v>
      </c>
      <c r="C725">
        <v>8.4521129294004016E-3</v>
      </c>
      <c r="D725">
        <f t="shared" ca="1" si="11"/>
        <v>-0.12126530916020213</v>
      </c>
    </row>
    <row r="726" spans="1:4" x14ac:dyDescent="0.45">
      <c r="A726" s="3">
        <v>43418</v>
      </c>
      <c r="B726">
        <v>5068.8500000000004</v>
      </c>
      <c r="C726">
        <v>-6.4682419122474855E-3</v>
      </c>
      <c r="D726">
        <f t="shared" ca="1" si="11"/>
        <v>-0.24003796495109578</v>
      </c>
    </row>
    <row r="727" spans="1:4" x14ac:dyDescent="0.45">
      <c r="A727" s="3">
        <v>43420</v>
      </c>
      <c r="B727">
        <v>5025.2</v>
      </c>
      <c r="C727">
        <v>-8.6114207364590412E-3</v>
      </c>
      <c r="D727">
        <f t="shared" ca="1" si="11"/>
        <v>0.18196578546938935</v>
      </c>
    </row>
    <row r="728" spans="1:4" x14ac:dyDescent="0.45">
      <c r="A728" s="3">
        <v>43423</v>
      </c>
      <c r="B728">
        <v>4985.45</v>
      </c>
      <c r="C728">
        <v>-7.9101329300326206E-3</v>
      </c>
      <c r="D728">
        <f t="shared" ca="1" si="11"/>
        <v>1.3202583417664188E-2</v>
      </c>
    </row>
    <row r="729" spans="1:4" x14ac:dyDescent="0.45">
      <c r="A729" s="3">
        <v>43424</v>
      </c>
      <c r="B729">
        <v>4924.8900000000003</v>
      </c>
      <c r="C729">
        <v>-1.2147348784964151E-2</v>
      </c>
      <c r="D729">
        <f t="shared" ca="1" si="11"/>
        <v>0.12226541277568456</v>
      </c>
    </row>
    <row r="730" spans="1:4" x14ac:dyDescent="0.45">
      <c r="A730" s="3">
        <v>43425</v>
      </c>
      <c r="B730">
        <v>4975.5</v>
      </c>
      <c r="C730">
        <v>1.0276371655001393E-2</v>
      </c>
      <c r="D730">
        <f t="shared" ca="1" si="11"/>
        <v>-7.181492976864548E-2</v>
      </c>
    </row>
    <row r="731" spans="1:4" x14ac:dyDescent="0.45">
      <c r="A731" s="3">
        <v>43426</v>
      </c>
      <c r="B731">
        <v>4938.1400000000003</v>
      </c>
      <c r="C731">
        <v>-7.5087930861219565E-3</v>
      </c>
      <c r="D731">
        <f t="shared" ca="1" si="11"/>
        <v>-0.17288258906711404</v>
      </c>
    </row>
    <row r="732" spans="1:4" x14ac:dyDescent="0.45">
      <c r="A732" s="3">
        <v>43427</v>
      </c>
      <c r="B732">
        <v>4946.95</v>
      </c>
      <c r="C732">
        <v>1.7840725455331441E-3</v>
      </c>
      <c r="D732">
        <f t="shared" ca="1" si="11"/>
        <v>-0.14613107133830638</v>
      </c>
    </row>
    <row r="733" spans="1:4" x14ac:dyDescent="0.45">
      <c r="A733" s="3">
        <v>43430</v>
      </c>
      <c r="B733">
        <v>4994.9799999999996</v>
      </c>
      <c r="C733">
        <v>9.7090126239398611E-3</v>
      </c>
      <c r="D733">
        <f t="shared" ca="1" si="11"/>
        <v>-0.19636517101286044</v>
      </c>
    </row>
    <row r="734" spans="1:4" x14ac:dyDescent="0.45">
      <c r="A734" s="3">
        <v>43431</v>
      </c>
      <c r="B734">
        <v>4983.1499999999996</v>
      </c>
      <c r="C734">
        <v>-2.3683778513627907E-3</v>
      </c>
      <c r="D734">
        <f t="shared" ca="1" si="11"/>
        <v>-0.27526711864181486</v>
      </c>
    </row>
    <row r="735" spans="1:4" x14ac:dyDescent="0.45">
      <c r="A735" s="3">
        <v>43432</v>
      </c>
      <c r="B735">
        <v>4983.24</v>
      </c>
      <c r="C735">
        <v>1.8060865115465674E-5</v>
      </c>
      <c r="D735">
        <f t="shared" ca="1" si="11"/>
        <v>-0.11404786420201385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K735"/>
  <sheetViews>
    <sheetView workbookViewId="0">
      <selection activeCell="L12" sqref="L12"/>
    </sheetView>
  </sheetViews>
  <sheetFormatPr defaultColWidth="10.6640625" defaultRowHeight="14.25" x14ac:dyDescent="0.45"/>
  <cols>
    <col min="1" max="1" width="11.3984375" style="3"/>
    <col min="10" max="10" width="12" bestFit="1" customWidth="1"/>
  </cols>
  <sheetData>
    <row r="1" spans="1:11" x14ac:dyDescent="0.45">
      <c r="A1" s="3" t="s">
        <v>12</v>
      </c>
      <c r="B1" t="s">
        <v>7</v>
      </c>
      <c r="C1" t="s">
        <v>50</v>
      </c>
      <c r="D1" t="s">
        <v>47</v>
      </c>
      <c r="E1" t="s">
        <v>48</v>
      </c>
      <c r="F1" t="s">
        <v>14</v>
      </c>
      <c r="G1" t="s">
        <v>15</v>
      </c>
    </row>
    <row r="2" spans="1:11" x14ac:dyDescent="0.45">
      <c r="A2" s="3">
        <v>42373</v>
      </c>
      <c r="B2">
        <v>4522.45</v>
      </c>
      <c r="I2" t="s">
        <v>16</v>
      </c>
      <c r="J2">
        <v>0.5</v>
      </c>
      <c r="K2" s="1"/>
    </row>
    <row r="3" spans="1:11" x14ac:dyDescent="0.45">
      <c r="A3" s="3">
        <v>42374</v>
      </c>
      <c r="B3">
        <v>4537.63</v>
      </c>
      <c r="C3">
        <v>3.356587690300783E-3</v>
      </c>
      <c r="I3" t="s">
        <v>17</v>
      </c>
      <c r="J3">
        <v>0.87247677983530714</v>
      </c>
    </row>
    <row r="4" spans="1:11" x14ac:dyDescent="0.45">
      <c r="A4" s="3">
        <v>42375</v>
      </c>
      <c r="B4">
        <v>4480.47</v>
      </c>
      <c r="C4">
        <v>-1.2596884276593667E-2</v>
      </c>
      <c r="J4">
        <v>1.1577817754219346</v>
      </c>
    </row>
    <row r="5" spans="1:11" x14ac:dyDescent="0.45">
      <c r="A5" s="3">
        <v>42376</v>
      </c>
      <c r="B5">
        <v>4403.58</v>
      </c>
      <c r="C5">
        <v>-1.7161146040482467E-2</v>
      </c>
      <c r="D5">
        <v>0.49802998803339965</v>
      </c>
      <c r="E5">
        <v>-1</v>
      </c>
      <c r="F5">
        <v>0.81527421136700151</v>
      </c>
      <c r="G5">
        <v>0.70882894304895749</v>
      </c>
    </row>
    <row r="6" spans="1:11" x14ac:dyDescent="0.45">
      <c r="A6" s="3">
        <v>42377</v>
      </c>
      <c r="B6">
        <v>4333.76</v>
      </c>
      <c r="C6">
        <v>-1.58552813846915E-2</v>
      </c>
      <c r="D6">
        <v>0.49427023183972435</v>
      </c>
      <c r="E6">
        <v>-1</v>
      </c>
      <c r="F6">
        <v>0.81633435258394904</v>
      </c>
      <c r="G6">
        <v>0.70960712395804326</v>
      </c>
      <c r="I6" t="s">
        <v>22</v>
      </c>
      <c r="J6" s="3">
        <v>42736</v>
      </c>
    </row>
    <row r="7" spans="1:11" x14ac:dyDescent="0.45">
      <c r="A7" s="3">
        <v>42380</v>
      </c>
      <c r="B7">
        <v>4312.74</v>
      </c>
      <c r="C7">
        <v>-4.8502916635901894E-3</v>
      </c>
      <c r="D7">
        <v>0.49372010965737384</v>
      </c>
      <c r="E7">
        <v>-1</v>
      </c>
      <c r="F7">
        <v>0.81731270713402426</v>
      </c>
      <c r="G7">
        <v>0.71066605725010212</v>
      </c>
    </row>
    <row r="8" spans="1:11" x14ac:dyDescent="0.45">
      <c r="A8" s="3">
        <v>42381</v>
      </c>
      <c r="B8">
        <v>4378.75</v>
      </c>
      <c r="C8">
        <v>1.5305814864795986E-2</v>
      </c>
      <c r="D8">
        <v>0.49619206979468211</v>
      </c>
      <c r="E8">
        <v>-1</v>
      </c>
      <c r="F8">
        <v>0.81700727292515141</v>
      </c>
      <c r="G8">
        <v>0.70966761310239401</v>
      </c>
      <c r="I8" t="s">
        <v>18</v>
      </c>
      <c r="J8">
        <f>SUMPRODUCT(($A$5:$A$735&gt;=$J$6)*(E5:E735*C5:C735&gt;=0)*1)</f>
        <v>251</v>
      </c>
      <c r="K8" s="4">
        <f>J8/J9</f>
        <v>0.52400835073068897</v>
      </c>
    </row>
    <row r="9" spans="1:11" x14ac:dyDescent="0.45">
      <c r="A9" s="3">
        <v>42382</v>
      </c>
      <c r="B9">
        <v>4391.9399999999996</v>
      </c>
      <c r="C9">
        <v>3.0122751926919822E-3</v>
      </c>
      <c r="D9">
        <v>0.50226570128084247</v>
      </c>
      <c r="E9">
        <v>1</v>
      </c>
      <c r="F9">
        <v>0.81795953199994098</v>
      </c>
      <c r="G9">
        <v>0.70936584973384231</v>
      </c>
      <c r="I9" t="s">
        <v>19</v>
      </c>
      <c r="J9">
        <f>SUMPRODUCT(($A$3:$A$735&gt;=$J$6)*1)</f>
        <v>479</v>
      </c>
    </row>
    <row r="10" spans="1:11" x14ac:dyDescent="0.45">
      <c r="A10" s="3">
        <v>42383</v>
      </c>
      <c r="B10">
        <v>4312.8900000000003</v>
      </c>
      <c r="C10">
        <v>-1.7998879766116804E-2</v>
      </c>
      <c r="D10">
        <v>0.50333028614485598</v>
      </c>
      <c r="E10">
        <v>1</v>
      </c>
      <c r="F10">
        <v>0.81777001924087522</v>
      </c>
      <c r="G10">
        <v>0.70840290743301459</v>
      </c>
    </row>
    <row r="11" spans="1:11" x14ac:dyDescent="0.45">
      <c r="A11" s="3">
        <v>42384</v>
      </c>
      <c r="B11">
        <v>4210.16</v>
      </c>
      <c r="C11">
        <v>-2.3819295182580746E-2</v>
      </c>
      <c r="D11">
        <v>0.49685378158853527</v>
      </c>
      <c r="E11">
        <v>-1</v>
      </c>
      <c r="F11">
        <v>0.81888782641433366</v>
      </c>
      <c r="G11">
        <v>0.70821583230041885</v>
      </c>
    </row>
    <row r="12" spans="1:11" x14ac:dyDescent="0.45">
      <c r="A12" s="3">
        <v>42387</v>
      </c>
      <c r="B12">
        <v>4189.57</v>
      </c>
      <c r="C12">
        <v>-4.8905504778916642E-3</v>
      </c>
      <c r="D12">
        <v>0.49193759325857073</v>
      </c>
      <c r="E12">
        <v>-1</v>
      </c>
      <c r="F12">
        <v>0.82035214642119314</v>
      </c>
      <c r="G12">
        <v>0.70932233522338772</v>
      </c>
    </row>
    <row r="13" spans="1:11" x14ac:dyDescent="0.45">
      <c r="A13" s="3">
        <v>42388</v>
      </c>
      <c r="B13">
        <v>4272.26</v>
      </c>
      <c r="C13">
        <v>1.9737109058925117E-2</v>
      </c>
      <c r="D13">
        <v>0.49477330747572423</v>
      </c>
      <c r="E13">
        <v>-1</v>
      </c>
      <c r="F13">
        <v>0.8200433255904187</v>
      </c>
      <c r="G13">
        <v>0.7078182316342313</v>
      </c>
    </row>
    <row r="14" spans="1:11" x14ac:dyDescent="0.45">
      <c r="A14" s="3">
        <v>42389</v>
      </c>
      <c r="B14">
        <v>4124.95</v>
      </c>
      <c r="C14">
        <v>-3.4480579365488095E-2</v>
      </c>
      <c r="D14">
        <v>0.50318087302686931</v>
      </c>
      <c r="E14">
        <v>1</v>
      </c>
      <c r="F14">
        <v>0.81880195886190199</v>
      </c>
      <c r="G14">
        <v>0.70812582311732342</v>
      </c>
    </row>
    <row r="15" spans="1:11" x14ac:dyDescent="0.45">
      <c r="A15" s="3">
        <v>42390</v>
      </c>
      <c r="B15">
        <v>4206.3999999999996</v>
      </c>
      <c r="C15">
        <v>1.974569388719849E-2</v>
      </c>
      <c r="D15">
        <v>0.49643595803212098</v>
      </c>
      <c r="E15">
        <v>-1</v>
      </c>
      <c r="F15">
        <v>0.81663167164955319</v>
      </c>
      <c r="G15">
        <v>0.70936812229522506</v>
      </c>
    </row>
    <row r="16" spans="1:11" x14ac:dyDescent="0.45">
      <c r="A16" s="3">
        <v>42391</v>
      </c>
      <c r="B16">
        <v>4336.6899999999996</v>
      </c>
      <c r="C16">
        <v>3.0974229745150295E-2</v>
      </c>
      <c r="D16">
        <v>0.4979163958528639</v>
      </c>
      <c r="E16">
        <v>-1</v>
      </c>
      <c r="F16">
        <v>0.81787089877338481</v>
      </c>
      <c r="G16">
        <v>0.70720414317961422</v>
      </c>
    </row>
    <row r="17" spans="1:7" x14ac:dyDescent="0.45">
      <c r="A17" s="3">
        <v>42394</v>
      </c>
      <c r="B17">
        <v>4311.33</v>
      </c>
      <c r="C17">
        <v>-5.8477779135699404E-3</v>
      </c>
      <c r="D17">
        <v>0.50982302533023993</v>
      </c>
      <c r="E17">
        <v>1</v>
      </c>
      <c r="F17">
        <v>0.81589773870322579</v>
      </c>
      <c r="G17">
        <v>0.70594627768767559</v>
      </c>
    </row>
    <row r="18" spans="1:7" x14ac:dyDescent="0.45">
      <c r="A18" s="3">
        <v>42395</v>
      </c>
      <c r="B18">
        <v>4356.8100000000004</v>
      </c>
      <c r="C18">
        <v>1.0548948932232127E-2</v>
      </c>
      <c r="D18">
        <v>0.50427363427835903</v>
      </c>
      <c r="E18">
        <v>1</v>
      </c>
      <c r="F18">
        <v>0.81553540296430682</v>
      </c>
      <c r="G18">
        <v>0.70786548026137663</v>
      </c>
    </row>
    <row r="19" spans="1:7" x14ac:dyDescent="0.45">
      <c r="A19" s="3">
        <v>42396</v>
      </c>
      <c r="B19">
        <v>4380.3599999999997</v>
      </c>
      <c r="C19">
        <v>5.405330964627586E-3</v>
      </c>
      <c r="D19">
        <v>0.50111589844652349</v>
      </c>
      <c r="E19">
        <v>1</v>
      </c>
      <c r="F19">
        <v>0.81619323755146955</v>
      </c>
      <c r="G19">
        <v>0.70750081164895795</v>
      </c>
    </row>
    <row r="20" spans="1:7" x14ac:dyDescent="0.45">
      <c r="A20" s="3">
        <v>42397</v>
      </c>
      <c r="B20">
        <v>4322.16</v>
      </c>
      <c r="C20">
        <v>-1.3286579185272429E-2</v>
      </c>
      <c r="D20">
        <v>0.50296876124010126</v>
      </c>
      <c r="E20">
        <v>1</v>
      </c>
      <c r="F20">
        <v>0.81585341045479376</v>
      </c>
      <c r="G20">
        <v>0.70683761105826703</v>
      </c>
    </row>
    <row r="21" spans="1:7" x14ac:dyDescent="0.45">
      <c r="A21" s="3">
        <v>42398</v>
      </c>
      <c r="B21">
        <v>4417.0200000000004</v>
      </c>
      <c r="C21">
        <v>2.1947359653506693E-2</v>
      </c>
      <c r="D21">
        <v>0.49824520477589779</v>
      </c>
      <c r="E21">
        <v>-1</v>
      </c>
      <c r="F21">
        <v>0.81502009511676088</v>
      </c>
      <c r="G21">
        <v>0.70717662572390505</v>
      </c>
    </row>
    <row r="22" spans="1:7" x14ac:dyDescent="0.45">
      <c r="A22" s="3">
        <v>42401</v>
      </c>
      <c r="B22">
        <v>4392.33</v>
      </c>
      <c r="C22">
        <v>-5.5897414999254158E-3</v>
      </c>
      <c r="D22">
        <v>0.50212288247297798</v>
      </c>
      <c r="E22">
        <v>1</v>
      </c>
      <c r="F22">
        <v>0.81364258601241768</v>
      </c>
      <c r="G22">
        <v>0.70801054762076365</v>
      </c>
    </row>
    <row r="23" spans="1:7" x14ac:dyDescent="0.45">
      <c r="A23" s="3">
        <v>42402</v>
      </c>
      <c r="B23">
        <v>4283.99</v>
      </c>
      <c r="C23">
        <v>-2.4665724114536047E-2</v>
      </c>
      <c r="D23">
        <v>0.5027476999393431</v>
      </c>
      <c r="E23">
        <v>1</v>
      </c>
      <c r="F23">
        <v>0.81399385411429726</v>
      </c>
      <c r="G23">
        <v>0.70663134120006255</v>
      </c>
    </row>
    <row r="24" spans="1:7" x14ac:dyDescent="0.45">
      <c r="A24" s="3">
        <v>42404</v>
      </c>
      <c r="B24">
        <v>4228.53</v>
      </c>
      <c r="C24">
        <v>-1.294587522379842E-2</v>
      </c>
      <c r="D24">
        <v>0.49399338038690838</v>
      </c>
      <c r="E24">
        <v>-1</v>
      </c>
      <c r="F24">
        <v>0.81551672235978112</v>
      </c>
      <c r="G24">
        <v>0.70697645329939407</v>
      </c>
    </row>
    <row r="25" spans="1:7" x14ac:dyDescent="0.45">
      <c r="A25" s="3">
        <v>42405</v>
      </c>
      <c r="B25">
        <v>4200.67</v>
      </c>
      <c r="C25">
        <v>-6.5885780637714442E-3</v>
      </c>
      <c r="D25">
        <v>0.4930015411142854</v>
      </c>
      <c r="E25">
        <v>-1</v>
      </c>
      <c r="F25">
        <v>0.816314358115933</v>
      </c>
      <c r="G25">
        <v>0.70849618550482762</v>
      </c>
    </row>
    <row r="26" spans="1:7" x14ac:dyDescent="0.45">
      <c r="A26" s="3">
        <v>42408</v>
      </c>
      <c r="B26">
        <v>4066.31</v>
      </c>
      <c r="C26">
        <v>-3.1985373761804659E-2</v>
      </c>
      <c r="D26">
        <v>0.49636245065519319</v>
      </c>
      <c r="E26">
        <v>-1</v>
      </c>
      <c r="F26">
        <v>0.81672312682411985</v>
      </c>
      <c r="G26">
        <v>0.70929937378617758</v>
      </c>
    </row>
    <row r="27" spans="1:7" x14ac:dyDescent="0.45">
      <c r="A27" s="3">
        <v>42409</v>
      </c>
      <c r="B27">
        <v>3997.54</v>
      </c>
      <c r="C27">
        <v>-1.6912139015471062E-2</v>
      </c>
      <c r="D27">
        <v>0.49230149125207928</v>
      </c>
      <c r="E27">
        <v>-1</v>
      </c>
      <c r="F27">
        <v>0.81869096610163483</v>
      </c>
      <c r="G27">
        <v>0.7097047235186339</v>
      </c>
    </row>
    <row r="28" spans="1:7" x14ac:dyDescent="0.45">
      <c r="A28" s="3">
        <v>42410</v>
      </c>
      <c r="B28">
        <v>4061.2</v>
      </c>
      <c r="C28">
        <v>1.5924793748155031E-2</v>
      </c>
      <c r="D28">
        <v>0.4908645201952857</v>
      </c>
      <c r="E28">
        <v>-1</v>
      </c>
      <c r="F28">
        <v>0.81761500415624722</v>
      </c>
      <c r="G28">
        <v>0.70766979198541868</v>
      </c>
    </row>
    <row r="29" spans="1:7" x14ac:dyDescent="0.45">
      <c r="A29" s="3">
        <v>42411</v>
      </c>
      <c r="B29">
        <v>3896.71</v>
      </c>
      <c r="C29">
        <v>-4.0502807052102741E-2</v>
      </c>
      <c r="D29">
        <v>0.50026303507760461</v>
      </c>
      <c r="E29">
        <v>1</v>
      </c>
      <c r="F29">
        <v>0.81661918122516153</v>
      </c>
      <c r="G29">
        <v>0.70872735644192963</v>
      </c>
    </row>
    <row r="30" spans="1:7" x14ac:dyDescent="0.45">
      <c r="A30" s="3">
        <v>42412</v>
      </c>
      <c r="B30">
        <v>3995.06</v>
      </c>
      <c r="C30">
        <v>2.5239240282186826E-2</v>
      </c>
      <c r="D30">
        <v>0.49455295746302791</v>
      </c>
      <c r="E30">
        <v>-1</v>
      </c>
      <c r="F30">
        <v>0.81406048192556002</v>
      </c>
      <c r="G30">
        <v>0.70973337951971993</v>
      </c>
    </row>
    <row r="31" spans="1:7" x14ac:dyDescent="0.45">
      <c r="A31" s="3">
        <v>42415</v>
      </c>
      <c r="B31">
        <v>4115.25</v>
      </c>
      <c r="C31">
        <v>3.0084654548367284E-2</v>
      </c>
      <c r="D31">
        <v>0.49795002998105226</v>
      </c>
      <c r="E31">
        <v>-1</v>
      </c>
      <c r="F31">
        <v>0.81564437527901557</v>
      </c>
      <c r="G31">
        <v>0.70719161811292375</v>
      </c>
    </row>
    <row r="32" spans="1:7" x14ac:dyDescent="0.45">
      <c r="A32" s="3">
        <v>42416</v>
      </c>
      <c r="B32">
        <v>4110.66</v>
      </c>
      <c r="C32">
        <v>-1.1153635866594236E-3</v>
      </c>
      <c r="D32">
        <v>0.51059525329358202</v>
      </c>
      <c r="E32">
        <v>1</v>
      </c>
      <c r="F32">
        <v>0.81372510226569883</v>
      </c>
      <c r="G32">
        <v>0.7055814619227524</v>
      </c>
    </row>
    <row r="33" spans="1:7" x14ac:dyDescent="0.45">
      <c r="A33" s="3">
        <v>42417</v>
      </c>
      <c r="B33">
        <v>4233.47</v>
      </c>
      <c r="C33">
        <v>2.9875980986021844E-2</v>
      </c>
      <c r="D33">
        <v>0.50507971902009463</v>
      </c>
      <c r="E33">
        <v>1</v>
      </c>
      <c r="F33">
        <v>0.81365610738022154</v>
      </c>
      <c r="G33">
        <v>0.70744245803201766</v>
      </c>
    </row>
    <row r="34" spans="1:7" x14ac:dyDescent="0.45">
      <c r="A34" s="3">
        <v>42418</v>
      </c>
      <c r="B34">
        <v>4239.76</v>
      </c>
      <c r="C34">
        <v>1.485778805566218E-3</v>
      </c>
      <c r="D34">
        <v>0.50587965867039475</v>
      </c>
      <c r="E34">
        <v>1</v>
      </c>
      <c r="F34">
        <v>0.81550114345079538</v>
      </c>
      <c r="G34">
        <v>0.70737357707878123</v>
      </c>
    </row>
    <row r="35" spans="1:7" x14ac:dyDescent="0.45">
      <c r="A35" s="3">
        <v>42419</v>
      </c>
      <c r="B35">
        <v>4223.04</v>
      </c>
      <c r="C35">
        <v>-3.9436194501576427E-3</v>
      </c>
      <c r="D35">
        <v>0.50558605103674847</v>
      </c>
      <c r="E35">
        <v>1</v>
      </c>
      <c r="F35">
        <v>0.81540725654095658</v>
      </c>
      <c r="G35">
        <v>0.70548570283890544</v>
      </c>
    </row>
    <row r="36" spans="1:7" x14ac:dyDescent="0.45">
      <c r="A36" s="3">
        <v>42422</v>
      </c>
      <c r="B36">
        <v>4298.7</v>
      </c>
      <c r="C36">
        <v>1.7916003637190148E-2</v>
      </c>
      <c r="D36">
        <v>0.49945813515918824</v>
      </c>
      <c r="E36">
        <v>-1</v>
      </c>
      <c r="F36">
        <v>0.81516051350152363</v>
      </c>
      <c r="G36">
        <v>0.70557866454148443</v>
      </c>
    </row>
    <row r="37" spans="1:7" x14ac:dyDescent="0.45">
      <c r="A37" s="3">
        <v>42423</v>
      </c>
      <c r="B37">
        <v>4238.42</v>
      </c>
      <c r="C37">
        <v>-1.4022844115662791E-2</v>
      </c>
      <c r="D37">
        <v>0.50295543682476151</v>
      </c>
      <c r="E37">
        <v>1</v>
      </c>
      <c r="F37">
        <v>0.81403418392564542</v>
      </c>
      <c r="G37">
        <v>0.70582658898449468</v>
      </c>
    </row>
    <row r="38" spans="1:7" x14ac:dyDescent="0.45">
      <c r="A38" s="3">
        <v>42424</v>
      </c>
      <c r="B38">
        <v>4155.34</v>
      </c>
      <c r="C38">
        <v>-1.9601644008852337E-2</v>
      </c>
      <c r="D38">
        <v>0.50030762927854844</v>
      </c>
      <c r="E38">
        <v>1</v>
      </c>
      <c r="F38">
        <v>0.81491115058058183</v>
      </c>
      <c r="G38">
        <v>0.70470615024539562</v>
      </c>
    </row>
    <row r="39" spans="1:7" x14ac:dyDescent="0.45">
      <c r="A39" s="3">
        <v>42425</v>
      </c>
      <c r="B39">
        <v>4248.45</v>
      </c>
      <c r="C39">
        <v>2.2407312037041383E-2</v>
      </c>
      <c r="D39">
        <v>0.49353646438360471</v>
      </c>
      <c r="E39">
        <v>-1</v>
      </c>
      <c r="F39">
        <v>0.81367041821191566</v>
      </c>
      <c r="G39">
        <v>0.70381854119652165</v>
      </c>
    </row>
    <row r="40" spans="1:7" x14ac:dyDescent="0.45">
      <c r="A40" s="3">
        <v>42426</v>
      </c>
      <c r="B40">
        <v>4314.57</v>
      </c>
      <c r="C40">
        <v>1.5563323094304859E-2</v>
      </c>
      <c r="D40">
        <v>0.50110903979741994</v>
      </c>
      <c r="E40">
        <v>1</v>
      </c>
      <c r="F40">
        <v>0.81506776201433684</v>
      </c>
      <c r="G40">
        <v>0.70259616183536677</v>
      </c>
    </row>
    <row r="41" spans="1:7" x14ac:dyDescent="0.45">
      <c r="A41" s="3">
        <v>42429</v>
      </c>
      <c r="B41">
        <v>4353.55</v>
      </c>
      <c r="C41">
        <v>9.0345040177817193E-3</v>
      </c>
      <c r="D41">
        <v>0.50710663497775521</v>
      </c>
      <c r="E41">
        <v>1</v>
      </c>
      <c r="F41">
        <v>0.81602645064012291</v>
      </c>
      <c r="G41">
        <v>0.70397643486922867</v>
      </c>
    </row>
    <row r="42" spans="1:7" x14ac:dyDescent="0.45">
      <c r="A42" s="3">
        <v>42430</v>
      </c>
      <c r="B42">
        <v>4406.84</v>
      </c>
      <c r="C42">
        <v>1.2240585269492676E-2</v>
      </c>
      <c r="D42">
        <v>0.50458202346619152</v>
      </c>
      <c r="E42">
        <v>1</v>
      </c>
      <c r="F42">
        <v>0.81658588561739864</v>
      </c>
      <c r="G42">
        <v>0.70494014768450441</v>
      </c>
    </row>
    <row r="43" spans="1:7" x14ac:dyDescent="0.45">
      <c r="A43" s="3">
        <v>42431</v>
      </c>
      <c r="B43">
        <v>4424.8900000000003</v>
      </c>
      <c r="C43">
        <v>4.0959054560638641E-3</v>
      </c>
      <c r="D43">
        <v>0.50409097714685769</v>
      </c>
      <c r="E43">
        <v>1</v>
      </c>
      <c r="F43">
        <v>0.81734461190655816</v>
      </c>
      <c r="G43">
        <v>0.70550014670063743</v>
      </c>
    </row>
    <row r="44" spans="1:7" x14ac:dyDescent="0.45">
      <c r="A44" s="3">
        <v>42432</v>
      </c>
      <c r="B44">
        <v>4416.08</v>
      </c>
      <c r="C44">
        <v>-1.9910099460100916E-3</v>
      </c>
      <c r="D44">
        <v>0.50299583938848247</v>
      </c>
      <c r="E44">
        <v>1</v>
      </c>
      <c r="F44">
        <v>0.81708709322649986</v>
      </c>
      <c r="G44">
        <v>0.70473055389739681</v>
      </c>
    </row>
    <row r="45" spans="1:7" x14ac:dyDescent="0.45">
      <c r="A45" s="3">
        <v>42433</v>
      </c>
      <c r="B45">
        <v>4456.62</v>
      </c>
      <c r="C45">
        <v>9.1800873172587227E-3</v>
      </c>
      <c r="D45">
        <v>0.50031492025620528</v>
      </c>
      <c r="E45">
        <v>1</v>
      </c>
      <c r="F45">
        <v>0.81696273353037796</v>
      </c>
      <c r="G45">
        <v>0.70498638665146274</v>
      </c>
    </row>
    <row r="46" spans="1:7" x14ac:dyDescent="0.45">
      <c r="A46" s="3">
        <v>42436</v>
      </c>
      <c r="B46">
        <v>4442.29</v>
      </c>
      <c r="C46">
        <v>-3.2154412985625491E-3</v>
      </c>
      <c r="D46">
        <v>0.50152403386046729</v>
      </c>
      <c r="E46">
        <v>1</v>
      </c>
      <c r="F46">
        <v>0.81638723457440765</v>
      </c>
      <c r="G46">
        <v>0.70511120290926688</v>
      </c>
    </row>
    <row r="47" spans="1:7" x14ac:dyDescent="0.45">
      <c r="A47" s="3">
        <v>42437</v>
      </c>
      <c r="B47">
        <v>4404.0200000000004</v>
      </c>
      <c r="C47">
        <v>-8.6149260854198051E-3</v>
      </c>
      <c r="D47">
        <v>0.50096198310837736</v>
      </c>
      <c r="E47">
        <v>1</v>
      </c>
      <c r="F47">
        <v>0.81658858556026193</v>
      </c>
      <c r="G47">
        <v>0.70453634569374746</v>
      </c>
    </row>
    <row r="48" spans="1:7" x14ac:dyDescent="0.45">
      <c r="A48" s="3">
        <v>42438</v>
      </c>
      <c r="B48">
        <v>4425.6499999999996</v>
      </c>
      <c r="C48">
        <v>4.9114218373211838E-3</v>
      </c>
      <c r="D48">
        <v>0.4976749553663497</v>
      </c>
      <c r="E48">
        <v>-1</v>
      </c>
      <c r="F48">
        <v>0.81604766061581679</v>
      </c>
      <c r="G48">
        <v>0.70433445047276177</v>
      </c>
    </row>
    <row r="49" spans="1:7" x14ac:dyDescent="0.45">
      <c r="A49" s="3">
        <v>42439</v>
      </c>
      <c r="B49">
        <v>4350.3500000000004</v>
      </c>
      <c r="C49">
        <v>-1.7014449854823477E-2</v>
      </c>
      <c r="D49">
        <v>0.49948504144967876</v>
      </c>
      <c r="E49">
        <v>-1</v>
      </c>
      <c r="F49">
        <v>0.81574101322358805</v>
      </c>
      <c r="G49">
        <v>0.70487232824132617</v>
      </c>
    </row>
    <row r="50" spans="1:7" x14ac:dyDescent="0.45">
      <c r="A50" s="3">
        <v>42440</v>
      </c>
      <c r="B50">
        <v>4492.79</v>
      </c>
      <c r="C50">
        <v>3.2742193156872323E-2</v>
      </c>
      <c r="D50">
        <v>0.49739565874799163</v>
      </c>
      <c r="E50">
        <v>-1</v>
      </c>
      <c r="F50">
        <v>0.81467210017925384</v>
      </c>
      <c r="G50">
        <v>0.70518088261204848</v>
      </c>
    </row>
    <row r="51" spans="1:7" x14ac:dyDescent="0.45">
      <c r="A51" s="3">
        <v>42443</v>
      </c>
      <c r="B51">
        <v>4506.59</v>
      </c>
      <c r="C51">
        <v>3.0715880332712331E-3</v>
      </c>
      <c r="D51">
        <v>0.50366890577344003</v>
      </c>
      <c r="E51">
        <v>1</v>
      </c>
      <c r="F51">
        <v>0.81670336187278569</v>
      </c>
      <c r="G51">
        <v>0.70412533938496424</v>
      </c>
    </row>
    <row r="52" spans="1:7" x14ac:dyDescent="0.45">
      <c r="A52" s="3">
        <v>42444</v>
      </c>
      <c r="B52">
        <v>4472.63</v>
      </c>
      <c r="C52">
        <v>-7.5356311534885423E-3</v>
      </c>
      <c r="D52">
        <v>0.50639044803868027</v>
      </c>
      <c r="E52">
        <v>1</v>
      </c>
      <c r="F52">
        <v>0.81650896577778465</v>
      </c>
      <c r="G52">
        <v>0.70205313620455034</v>
      </c>
    </row>
    <row r="53" spans="1:7" x14ac:dyDescent="0.45">
      <c r="A53" s="3">
        <v>42445</v>
      </c>
      <c r="B53">
        <v>4463</v>
      </c>
      <c r="C53">
        <v>-2.1530956059410133E-3</v>
      </c>
      <c r="D53">
        <v>0.49900087823289374</v>
      </c>
      <c r="E53">
        <v>-1</v>
      </c>
      <c r="F53">
        <v>0.81697899972139609</v>
      </c>
      <c r="G53">
        <v>0.70186154632879594</v>
      </c>
    </row>
    <row r="54" spans="1:7" x14ac:dyDescent="0.45">
      <c r="A54" s="3">
        <v>42446</v>
      </c>
      <c r="B54">
        <v>4442.8900000000003</v>
      </c>
      <c r="C54">
        <v>-4.5059377100604703E-3</v>
      </c>
      <c r="D54">
        <v>0.49823800638671933</v>
      </c>
      <c r="E54">
        <v>-1</v>
      </c>
      <c r="F54">
        <v>0.81711309231393148</v>
      </c>
      <c r="G54">
        <v>0.70233085773093396</v>
      </c>
    </row>
    <row r="55" spans="1:7" x14ac:dyDescent="0.45">
      <c r="A55" s="3">
        <v>42447</v>
      </c>
      <c r="B55">
        <v>4462.51</v>
      </c>
      <c r="C55">
        <v>4.4160445115679625E-3</v>
      </c>
      <c r="D55">
        <v>0.49870149137434033</v>
      </c>
      <c r="E55">
        <v>-1</v>
      </c>
      <c r="F55">
        <v>0.81683074173650572</v>
      </c>
      <c r="G55">
        <v>0.70219594068886459</v>
      </c>
    </row>
    <row r="56" spans="1:7" x14ac:dyDescent="0.45">
      <c r="A56" s="3">
        <v>42450</v>
      </c>
      <c r="B56">
        <v>4427.8</v>
      </c>
      <c r="C56">
        <v>-7.7781338305124015E-3</v>
      </c>
      <c r="D56">
        <v>0.50011077743441845</v>
      </c>
      <c r="E56">
        <v>1</v>
      </c>
      <c r="F56">
        <v>0.81655467781832358</v>
      </c>
      <c r="G56">
        <v>0.70247762417644388</v>
      </c>
    </row>
    <row r="57" spans="1:7" x14ac:dyDescent="0.45">
      <c r="A57" s="3">
        <v>42451</v>
      </c>
      <c r="B57">
        <v>4431.97</v>
      </c>
      <c r="C57">
        <v>9.4177695469532807E-4</v>
      </c>
      <c r="D57">
        <v>0.49918772593775945</v>
      </c>
      <c r="E57">
        <v>-1</v>
      </c>
      <c r="F57">
        <v>0.81606775599193748</v>
      </c>
      <c r="G57">
        <v>0.70275407460862083</v>
      </c>
    </row>
    <row r="58" spans="1:7" x14ac:dyDescent="0.45">
      <c r="A58" s="3">
        <v>42452</v>
      </c>
      <c r="B58">
        <v>4423.9799999999996</v>
      </c>
      <c r="C58">
        <v>-1.8028100370717226E-3</v>
      </c>
      <c r="D58">
        <v>0.49882561180056417</v>
      </c>
      <c r="E58">
        <v>-1</v>
      </c>
      <c r="F58">
        <v>0.81600903350769582</v>
      </c>
      <c r="G58">
        <v>0.70323906347887744</v>
      </c>
    </row>
    <row r="59" spans="1:7" x14ac:dyDescent="0.45">
      <c r="A59" s="3">
        <v>42453</v>
      </c>
      <c r="B59">
        <v>4329.68</v>
      </c>
      <c r="C59">
        <v>-2.1315647900758905E-2</v>
      </c>
      <c r="D59">
        <v>0.49979779627794241</v>
      </c>
      <c r="E59">
        <v>-1</v>
      </c>
      <c r="F59">
        <v>0.81612166354973026</v>
      </c>
      <c r="G59">
        <v>0.70318022623268228</v>
      </c>
    </row>
    <row r="60" spans="1:7" x14ac:dyDescent="0.45">
      <c r="A60" s="3">
        <v>42458</v>
      </c>
      <c r="B60">
        <v>4366.67</v>
      </c>
      <c r="C60">
        <v>8.5433565529091648E-3</v>
      </c>
      <c r="D60">
        <v>0.49533416984186063</v>
      </c>
      <c r="E60">
        <v>-1</v>
      </c>
      <c r="F60">
        <v>0.81477712074965869</v>
      </c>
      <c r="G60">
        <v>0.70306650905802603</v>
      </c>
    </row>
    <row r="61" spans="1:7" x14ac:dyDescent="0.45">
      <c r="A61" s="3">
        <v>42459</v>
      </c>
      <c r="B61">
        <v>4444.42</v>
      </c>
      <c r="C61">
        <v>1.7805329919595492E-2</v>
      </c>
      <c r="D61">
        <v>0.49799366409242179</v>
      </c>
      <c r="E61">
        <v>-1</v>
      </c>
      <c r="F61">
        <v>0.81531321450752203</v>
      </c>
      <c r="G61">
        <v>0.70172895680749781</v>
      </c>
    </row>
    <row r="62" spans="1:7" x14ac:dyDescent="0.45">
      <c r="A62" s="3">
        <v>42460</v>
      </c>
      <c r="B62">
        <v>4385.0600000000004</v>
      </c>
      <c r="C62">
        <v>-1.335607345840395E-2</v>
      </c>
      <c r="D62">
        <v>0.50512783057273658</v>
      </c>
      <c r="E62">
        <v>1</v>
      </c>
      <c r="F62">
        <v>0.81418908679475721</v>
      </c>
      <c r="G62">
        <v>0.70118957764942969</v>
      </c>
    </row>
    <row r="63" spans="1:7" x14ac:dyDescent="0.45">
      <c r="A63" s="3">
        <v>42461</v>
      </c>
      <c r="B63">
        <v>4322.24</v>
      </c>
      <c r="C63">
        <v>-1.432591572293207E-2</v>
      </c>
      <c r="D63">
        <v>0.50040263554146081</v>
      </c>
      <c r="E63">
        <v>1</v>
      </c>
      <c r="F63">
        <v>0.81502451304789891</v>
      </c>
      <c r="G63">
        <v>0.70007584911933385</v>
      </c>
    </row>
    <row r="64" spans="1:7" x14ac:dyDescent="0.45">
      <c r="A64" s="3">
        <v>42464</v>
      </c>
      <c r="B64">
        <v>4345.22</v>
      </c>
      <c r="C64">
        <v>5.3166876434442845E-3</v>
      </c>
      <c r="D64">
        <v>0.4947436344146634</v>
      </c>
      <c r="E64">
        <v>-1</v>
      </c>
      <c r="F64">
        <v>0.81411983052823422</v>
      </c>
      <c r="G64">
        <v>0.69923241220242982</v>
      </c>
    </row>
    <row r="65" spans="1:7" x14ac:dyDescent="0.45">
      <c r="A65" s="3">
        <v>42466</v>
      </c>
      <c r="B65">
        <v>4284.6400000000003</v>
      </c>
      <c r="C65">
        <v>-1.3941756688959361E-2</v>
      </c>
      <c r="D65">
        <v>0.49857782289414704</v>
      </c>
      <c r="E65">
        <v>-1</v>
      </c>
      <c r="F65">
        <v>0.81378848539016979</v>
      </c>
      <c r="G65">
        <v>0.70012522796319165</v>
      </c>
    </row>
    <row r="66" spans="1:7" x14ac:dyDescent="0.45">
      <c r="A66" s="3">
        <v>42467</v>
      </c>
      <c r="B66">
        <v>4245.91</v>
      </c>
      <c r="C66">
        <v>-9.0392658426380335E-3</v>
      </c>
      <c r="D66">
        <v>0.4980941857518259</v>
      </c>
      <c r="E66">
        <v>-1</v>
      </c>
      <c r="F66">
        <v>0.81465651127210448</v>
      </c>
      <c r="G66">
        <v>0.69979420637218037</v>
      </c>
    </row>
    <row r="67" spans="1:7" x14ac:dyDescent="0.45">
      <c r="A67" s="3">
        <v>42468</v>
      </c>
      <c r="B67">
        <v>4303.12</v>
      </c>
      <c r="C67">
        <v>1.3474143352072865E-2</v>
      </c>
      <c r="D67">
        <v>0.49572004020530031</v>
      </c>
      <c r="E67">
        <v>-1</v>
      </c>
      <c r="F67">
        <v>0.81408676294492788</v>
      </c>
      <c r="G67">
        <v>0.69891545220234841</v>
      </c>
    </row>
    <row r="68" spans="1:7" x14ac:dyDescent="0.45">
      <c r="A68" s="3">
        <v>42471</v>
      </c>
      <c r="B68">
        <v>4312.63</v>
      </c>
      <c r="C68">
        <v>2.2100243544218579E-3</v>
      </c>
      <c r="D68">
        <v>0.50116285769611935</v>
      </c>
      <c r="E68">
        <v>1</v>
      </c>
      <c r="F68">
        <v>0.81492693379605208</v>
      </c>
      <c r="G68">
        <v>0.69835181505836785</v>
      </c>
    </row>
    <row r="69" spans="1:7" x14ac:dyDescent="0.45">
      <c r="A69" s="3">
        <v>42472</v>
      </c>
      <c r="B69">
        <v>4345.91</v>
      </c>
      <c r="C69">
        <v>7.7168688248236972E-3</v>
      </c>
      <c r="D69">
        <v>0.50280264585632095</v>
      </c>
      <c r="E69">
        <v>1</v>
      </c>
      <c r="F69">
        <v>0.81506428176324164</v>
      </c>
      <c r="G69">
        <v>0.69918920230042469</v>
      </c>
    </row>
    <row r="70" spans="1:7" x14ac:dyDescent="0.45">
      <c r="A70" s="3">
        <v>42473</v>
      </c>
      <c r="B70">
        <v>4490.3100000000004</v>
      </c>
      <c r="C70">
        <v>3.3226642981562193E-2</v>
      </c>
      <c r="D70">
        <v>0.50195873230789334</v>
      </c>
      <c r="E70">
        <v>1</v>
      </c>
      <c r="F70">
        <v>0.8155446892820567</v>
      </c>
      <c r="G70">
        <v>0.69932678560535444</v>
      </c>
    </row>
    <row r="71" spans="1:7" x14ac:dyDescent="0.45">
      <c r="A71" s="3">
        <v>42474</v>
      </c>
      <c r="B71">
        <v>4511.51</v>
      </c>
      <c r="C71">
        <v>4.7212775955334241E-3</v>
      </c>
      <c r="D71">
        <v>0.50812289159827206</v>
      </c>
      <c r="E71">
        <v>1</v>
      </c>
      <c r="F71">
        <v>0.81758707823524379</v>
      </c>
      <c r="G71">
        <v>0.69980112927136251</v>
      </c>
    </row>
    <row r="72" spans="1:7" x14ac:dyDescent="0.45">
      <c r="A72" s="3">
        <v>42475</v>
      </c>
      <c r="B72">
        <v>4495.17</v>
      </c>
      <c r="C72">
        <v>-3.621847230749875E-3</v>
      </c>
      <c r="D72">
        <v>0.50677760929814086</v>
      </c>
      <c r="E72">
        <v>1</v>
      </c>
      <c r="F72">
        <v>0.81728805346774636</v>
      </c>
      <c r="G72">
        <v>0.69769670118145732</v>
      </c>
    </row>
    <row r="73" spans="1:7" x14ac:dyDescent="0.45">
      <c r="A73" s="3">
        <v>42478</v>
      </c>
      <c r="B73">
        <v>4506.84</v>
      </c>
      <c r="C73">
        <v>2.5961198352899562E-3</v>
      </c>
      <c r="D73">
        <v>0.50008348183187135</v>
      </c>
      <c r="E73">
        <v>1</v>
      </c>
      <c r="F73">
        <v>0.81706172581693903</v>
      </c>
      <c r="G73">
        <v>0.69799173175534079</v>
      </c>
    </row>
    <row r="74" spans="1:7" x14ac:dyDescent="0.45">
      <c r="A74" s="3">
        <v>42479</v>
      </c>
      <c r="B74">
        <v>4566.4799999999996</v>
      </c>
      <c r="C74">
        <v>1.3233218840695393E-2</v>
      </c>
      <c r="D74">
        <v>0.499898292684479</v>
      </c>
      <c r="E74">
        <v>-1</v>
      </c>
      <c r="F74">
        <v>0.81722401630547692</v>
      </c>
      <c r="G74">
        <v>0.69776532026674243</v>
      </c>
    </row>
    <row r="75" spans="1:7" x14ac:dyDescent="0.45">
      <c r="A75" s="3">
        <v>42480</v>
      </c>
      <c r="B75">
        <v>4591.92</v>
      </c>
      <c r="C75">
        <v>5.5710306406686616E-3</v>
      </c>
      <c r="D75">
        <v>0.50315645472727499</v>
      </c>
      <c r="E75">
        <v>1</v>
      </c>
      <c r="F75">
        <v>0.81804583847275858</v>
      </c>
      <c r="G75">
        <v>0.69792654701400969</v>
      </c>
    </row>
    <row r="76" spans="1:7" x14ac:dyDescent="0.45">
      <c r="A76" s="3">
        <v>42481</v>
      </c>
      <c r="B76">
        <v>4582.83</v>
      </c>
      <c r="C76">
        <v>-1.9795641039043188E-3</v>
      </c>
      <c r="D76">
        <v>0.5034482386214989</v>
      </c>
      <c r="E76">
        <v>1</v>
      </c>
      <c r="F76">
        <v>0.81769526445192342</v>
      </c>
      <c r="G76">
        <v>0.69709380653261521</v>
      </c>
    </row>
    <row r="77" spans="1:7" x14ac:dyDescent="0.45">
      <c r="A77" s="3">
        <v>42482</v>
      </c>
      <c r="B77">
        <v>4569.66</v>
      </c>
      <c r="C77">
        <v>-2.8737701376660985E-3</v>
      </c>
      <c r="D77">
        <v>0.50056621244850852</v>
      </c>
      <c r="E77">
        <v>1</v>
      </c>
      <c r="F77">
        <v>0.81781912715630722</v>
      </c>
      <c r="G77">
        <v>0.6967452232662299</v>
      </c>
    </row>
    <row r="78" spans="1:7" x14ac:dyDescent="0.45">
      <c r="A78" s="3">
        <v>42485</v>
      </c>
      <c r="B78">
        <v>4546.12</v>
      </c>
      <c r="C78">
        <v>-5.1513679354699971E-3</v>
      </c>
      <c r="D78">
        <v>0.49906763207589661</v>
      </c>
      <c r="E78">
        <v>-1</v>
      </c>
      <c r="F78">
        <v>0.81799840224013953</v>
      </c>
      <c r="G78">
        <v>0.69686871488305324</v>
      </c>
    </row>
    <row r="79" spans="1:7" x14ac:dyDescent="0.45">
      <c r="A79" s="3">
        <v>42486</v>
      </c>
      <c r="B79">
        <v>4533.18</v>
      </c>
      <c r="C79">
        <v>-2.8463832894862762E-3</v>
      </c>
      <c r="D79">
        <v>0.49844589219395885</v>
      </c>
      <c r="E79">
        <v>-1</v>
      </c>
      <c r="F79">
        <v>0.8183193589126726</v>
      </c>
      <c r="G79">
        <v>0.6970477655182562</v>
      </c>
    </row>
    <row r="80" spans="1:7" x14ac:dyDescent="0.45">
      <c r="A80" s="3">
        <v>42487</v>
      </c>
      <c r="B80">
        <v>4559.3999999999996</v>
      </c>
      <c r="C80">
        <v>5.7840191653539819E-3</v>
      </c>
      <c r="D80">
        <v>0.4985200043080108</v>
      </c>
      <c r="E80">
        <v>-1</v>
      </c>
      <c r="F80">
        <v>0.81814093494098805</v>
      </c>
      <c r="G80">
        <v>0.69672485485121771</v>
      </c>
    </row>
    <row r="81" spans="1:7" x14ac:dyDescent="0.45">
      <c r="A81" s="3">
        <v>42488</v>
      </c>
      <c r="B81">
        <v>4557.3599999999997</v>
      </c>
      <c r="C81">
        <v>-4.4742729306490592E-4</v>
      </c>
      <c r="D81">
        <v>0.50068724878306636</v>
      </c>
      <c r="E81">
        <v>1</v>
      </c>
      <c r="F81">
        <v>0.81777893754453934</v>
      </c>
      <c r="G81">
        <v>0.69690299799193567</v>
      </c>
    </row>
    <row r="82" spans="1:7" x14ac:dyDescent="0.45">
      <c r="A82" s="3">
        <v>42489</v>
      </c>
      <c r="B82">
        <v>4428.96</v>
      </c>
      <c r="C82">
        <v>-2.817420611933219E-2</v>
      </c>
      <c r="D82">
        <v>0.50091624989449868</v>
      </c>
      <c r="E82">
        <v>1</v>
      </c>
      <c r="F82">
        <v>0.81780695290067973</v>
      </c>
      <c r="G82">
        <v>0.69654083555939794</v>
      </c>
    </row>
    <row r="83" spans="1:7" x14ac:dyDescent="0.45">
      <c r="A83" s="3">
        <v>42492</v>
      </c>
      <c r="B83">
        <v>4442.75</v>
      </c>
      <c r="C83">
        <v>3.1135977746468146E-3</v>
      </c>
      <c r="D83">
        <v>0.49416208704666897</v>
      </c>
      <c r="E83">
        <v>-1</v>
      </c>
      <c r="F83">
        <v>0.81602574805356354</v>
      </c>
      <c r="G83">
        <v>0.69651254870511126</v>
      </c>
    </row>
    <row r="84" spans="1:7" x14ac:dyDescent="0.45">
      <c r="A84" s="3">
        <v>42493</v>
      </c>
      <c r="B84">
        <v>4371.9799999999996</v>
      </c>
      <c r="C84">
        <v>-1.5929323054414635E-2</v>
      </c>
      <c r="D84">
        <v>0.49572937581637139</v>
      </c>
      <c r="E84">
        <v>-1</v>
      </c>
      <c r="F84">
        <v>0.81583282439376426</v>
      </c>
      <c r="G84">
        <v>0.6982582690421244</v>
      </c>
    </row>
    <row r="85" spans="1:7" x14ac:dyDescent="0.45">
      <c r="A85" s="3">
        <v>42494</v>
      </c>
      <c r="B85">
        <v>4324.2299999999996</v>
      </c>
      <c r="C85">
        <v>-1.0921824893983967E-2</v>
      </c>
      <c r="D85">
        <v>0.49729463409485836</v>
      </c>
      <c r="E85">
        <v>-1</v>
      </c>
      <c r="F85">
        <v>0.81682299126473723</v>
      </c>
      <c r="G85">
        <v>0.69806472777515038</v>
      </c>
    </row>
    <row r="86" spans="1:7" x14ac:dyDescent="0.45">
      <c r="A86" s="3">
        <v>42495</v>
      </c>
      <c r="B86">
        <v>4319.46</v>
      </c>
      <c r="C86">
        <v>-1.1030865610754947E-3</v>
      </c>
      <c r="D86">
        <v>0.49498994362403093</v>
      </c>
      <c r="E86">
        <v>-1</v>
      </c>
      <c r="F86">
        <v>0.8174986976012798</v>
      </c>
      <c r="G86">
        <v>0.69905023565768654</v>
      </c>
    </row>
    <row r="87" spans="1:7" x14ac:dyDescent="0.45">
      <c r="A87" s="3">
        <v>42496</v>
      </c>
      <c r="B87">
        <v>4301.24</v>
      </c>
      <c r="C87">
        <v>-4.2181198575748091E-3</v>
      </c>
      <c r="D87">
        <v>0.49786584393726452</v>
      </c>
      <c r="E87">
        <v>-1</v>
      </c>
      <c r="F87">
        <v>0.81756734499081352</v>
      </c>
      <c r="G87">
        <v>0.69972992372059417</v>
      </c>
    </row>
    <row r="88" spans="1:7" x14ac:dyDescent="0.45">
      <c r="A88" s="3">
        <v>42499</v>
      </c>
      <c r="B88">
        <v>4322.8100000000004</v>
      </c>
      <c r="C88">
        <v>5.0148329318988605E-3</v>
      </c>
      <c r="D88">
        <v>0.49894488663415187</v>
      </c>
      <c r="E88">
        <v>-1</v>
      </c>
      <c r="F88">
        <v>0.8173031573518329</v>
      </c>
      <c r="G88">
        <v>0.69966083563300974</v>
      </c>
    </row>
    <row r="89" spans="1:7" x14ac:dyDescent="0.45">
      <c r="A89" s="3">
        <v>42500</v>
      </c>
      <c r="B89">
        <v>4338.21</v>
      </c>
      <c r="C89">
        <v>3.5624975421080229E-3</v>
      </c>
      <c r="D89">
        <v>0.50028684634965115</v>
      </c>
      <c r="E89">
        <v>1</v>
      </c>
      <c r="F89">
        <v>0.81761640449616457</v>
      </c>
      <c r="G89">
        <v>0.6993973544726646</v>
      </c>
    </row>
    <row r="90" spans="1:7" x14ac:dyDescent="0.45">
      <c r="A90" s="3">
        <v>42501</v>
      </c>
      <c r="B90">
        <v>4316.67</v>
      </c>
      <c r="C90">
        <v>-4.9651814919056125E-3</v>
      </c>
      <c r="D90">
        <v>0.50160502381630134</v>
      </c>
      <c r="E90">
        <v>1</v>
      </c>
      <c r="F90">
        <v>0.8173930359648115</v>
      </c>
      <c r="G90">
        <v>0.69908292453868159</v>
      </c>
    </row>
    <row r="91" spans="1:7" x14ac:dyDescent="0.45">
      <c r="A91" s="3">
        <v>42502</v>
      </c>
      <c r="B91">
        <v>4293.2700000000004</v>
      </c>
      <c r="C91">
        <v>-5.42084523486841E-3</v>
      </c>
      <c r="D91">
        <v>0.49960799418697205</v>
      </c>
      <c r="E91">
        <v>-1</v>
      </c>
      <c r="F91">
        <v>0.81770311631995618</v>
      </c>
      <c r="G91">
        <v>0.69886044314402174</v>
      </c>
    </row>
    <row r="92" spans="1:7" x14ac:dyDescent="0.45">
      <c r="A92" s="3">
        <v>42503</v>
      </c>
      <c r="B92">
        <v>4319.99</v>
      </c>
      <c r="C92">
        <v>6.2236942936269024E-3</v>
      </c>
      <c r="D92">
        <v>0.49802435753692859</v>
      </c>
      <c r="E92">
        <v>-1</v>
      </c>
      <c r="F92">
        <v>0.81736298009678454</v>
      </c>
      <c r="G92">
        <v>0.69854889798697584</v>
      </c>
    </row>
    <row r="93" spans="1:7" x14ac:dyDescent="0.45">
      <c r="A93" s="3">
        <v>42506</v>
      </c>
      <c r="B93">
        <v>4312.28</v>
      </c>
      <c r="C93">
        <v>-1.784726353533217E-3</v>
      </c>
      <c r="D93">
        <v>0.50032507291671713</v>
      </c>
      <c r="E93">
        <v>1</v>
      </c>
      <c r="F93">
        <v>0.81697374647365084</v>
      </c>
      <c r="G93">
        <v>0.69888792094210006</v>
      </c>
    </row>
    <row r="94" spans="1:7" x14ac:dyDescent="0.45">
      <c r="A94" s="3">
        <v>42507</v>
      </c>
      <c r="B94">
        <v>4297.57</v>
      </c>
      <c r="C94">
        <v>-3.4111885128053077E-3</v>
      </c>
      <c r="D94">
        <v>0.5007228970437978</v>
      </c>
      <c r="E94">
        <v>1</v>
      </c>
      <c r="F94">
        <v>0.81708545290891954</v>
      </c>
      <c r="G94">
        <v>0.6984983784767429</v>
      </c>
    </row>
    <row r="95" spans="1:7" x14ac:dyDescent="0.45">
      <c r="A95" s="3">
        <v>42508</v>
      </c>
      <c r="B95">
        <v>4319.3</v>
      </c>
      <c r="C95">
        <v>5.0563457954146962E-3</v>
      </c>
      <c r="D95">
        <v>0.49899153612375186</v>
      </c>
      <c r="E95">
        <v>-1</v>
      </c>
      <c r="F95">
        <v>0.81687182448836382</v>
      </c>
      <c r="G95">
        <v>0.69838660855532164</v>
      </c>
    </row>
    <row r="96" spans="1:7" x14ac:dyDescent="0.45">
      <c r="A96" s="3">
        <v>42509</v>
      </c>
      <c r="B96">
        <v>4282.54</v>
      </c>
      <c r="C96">
        <v>-8.5106382978723527E-3</v>
      </c>
      <c r="D96">
        <v>0.50043701439835353</v>
      </c>
      <c r="E96">
        <v>1</v>
      </c>
      <c r="F96">
        <v>0.81655552690578914</v>
      </c>
      <c r="G96">
        <v>0.69859999401667305</v>
      </c>
    </row>
    <row r="97" spans="1:7" x14ac:dyDescent="0.45">
      <c r="A97" s="3">
        <v>42510</v>
      </c>
      <c r="B97">
        <v>4353.8999999999996</v>
      </c>
      <c r="C97">
        <v>1.666300840155599E-2</v>
      </c>
      <c r="D97">
        <v>0.49914573943190937</v>
      </c>
      <c r="E97">
        <v>-1</v>
      </c>
      <c r="F97">
        <v>0.81602270477966976</v>
      </c>
      <c r="G97">
        <v>0.69891655463443325</v>
      </c>
    </row>
    <row r="98" spans="1:7" x14ac:dyDescent="0.45">
      <c r="A98" s="3">
        <v>42513</v>
      </c>
      <c r="B98">
        <v>4325.1000000000004</v>
      </c>
      <c r="C98">
        <v>-6.6147591814234019E-3</v>
      </c>
      <c r="D98">
        <v>0.5019122824732557</v>
      </c>
      <c r="E98">
        <v>1</v>
      </c>
      <c r="F98">
        <v>0.81497729899889226</v>
      </c>
      <c r="G98">
        <v>0.69945049606087284</v>
      </c>
    </row>
    <row r="99" spans="1:7" x14ac:dyDescent="0.45">
      <c r="A99" s="3">
        <v>42514</v>
      </c>
      <c r="B99">
        <v>4431.5200000000004</v>
      </c>
      <c r="C99">
        <v>2.4605211440198005E-2</v>
      </c>
      <c r="D99">
        <v>0.50156601260960942</v>
      </c>
      <c r="E99">
        <v>1</v>
      </c>
      <c r="F99">
        <v>0.81456517544238871</v>
      </c>
      <c r="G99">
        <v>0.70048866209173655</v>
      </c>
    </row>
    <row r="100" spans="1:7" x14ac:dyDescent="0.45">
      <c r="A100" s="3">
        <v>42515</v>
      </c>
      <c r="B100">
        <v>4481.6400000000003</v>
      </c>
      <c r="C100">
        <v>1.1309889157670394E-2</v>
      </c>
      <c r="D100">
        <v>0.50385216992085691</v>
      </c>
      <c r="E100">
        <v>1</v>
      </c>
      <c r="F100">
        <v>0.81609106264823728</v>
      </c>
      <c r="G100">
        <v>0.70007844914033657</v>
      </c>
    </row>
    <row r="101" spans="1:7" x14ac:dyDescent="0.45">
      <c r="A101" s="3">
        <v>42516</v>
      </c>
      <c r="B101">
        <v>4512.6400000000003</v>
      </c>
      <c r="C101">
        <v>6.9171107005470134E-3</v>
      </c>
      <c r="D101">
        <v>0.50661348370904002</v>
      </c>
      <c r="E101">
        <v>1</v>
      </c>
      <c r="F101">
        <v>0.81678845896693386</v>
      </c>
      <c r="G101">
        <v>0.70159566859668354</v>
      </c>
    </row>
    <row r="102" spans="1:7" x14ac:dyDescent="0.45">
      <c r="A102" s="3">
        <v>42517</v>
      </c>
      <c r="B102">
        <v>4514.74</v>
      </c>
      <c r="C102">
        <v>4.6535952347181997E-4</v>
      </c>
      <c r="D102">
        <v>0.50339614413004763</v>
      </c>
      <c r="E102">
        <v>1</v>
      </c>
      <c r="F102">
        <v>0.81721782213794425</v>
      </c>
      <c r="G102">
        <v>0.70229770302734962</v>
      </c>
    </row>
    <row r="103" spans="1:7" x14ac:dyDescent="0.45">
      <c r="A103" s="3">
        <v>42520</v>
      </c>
      <c r="B103">
        <v>4529.3999999999996</v>
      </c>
      <c r="C103">
        <v>3.2471415851189622E-3</v>
      </c>
      <c r="D103">
        <v>0.5013095397689068</v>
      </c>
      <c r="E103">
        <v>1</v>
      </c>
      <c r="F103">
        <v>0.81724683073332283</v>
      </c>
      <c r="G103">
        <v>0.70272888720942861</v>
      </c>
    </row>
    <row r="104" spans="1:7" x14ac:dyDescent="0.45">
      <c r="A104" s="3">
        <v>42521</v>
      </c>
      <c r="B104">
        <v>4505.62</v>
      </c>
      <c r="C104">
        <v>-5.2501435068661451E-3</v>
      </c>
      <c r="D104">
        <v>0.50074518388563172</v>
      </c>
      <c r="E104">
        <v>1</v>
      </c>
      <c r="F104">
        <v>0.81704358237101038</v>
      </c>
      <c r="G104">
        <v>0.70269975895660908</v>
      </c>
    </row>
    <row r="105" spans="1:7" x14ac:dyDescent="0.45">
      <c r="A105" s="3">
        <v>42522</v>
      </c>
      <c r="B105">
        <v>4475.3900000000003</v>
      </c>
      <c r="C105">
        <v>-6.7093984845592036E-3</v>
      </c>
      <c r="D105">
        <v>0.49949804255621921</v>
      </c>
      <c r="E105">
        <v>-1</v>
      </c>
      <c r="F105">
        <v>0.81737138659123654</v>
      </c>
      <c r="G105">
        <v>0.70249701655273344</v>
      </c>
    </row>
    <row r="106" spans="1:7" x14ac:dyDescent="0.45">
      <c r="A106" s="3">
        <v>42523</v>
      </c>
      <c r="B106">
        <v>4466</v>
      </c>
      <c r="C106">
        <v>-2.0981411675854433E-3</v>
      </c>
      <c r="D106">
        <v>0.49770694595319548</v>
      </c>
      <c r="E106">
        <v>-1</v>
      </c>
      <c r="F106">
        <v>0.81778879209063438</v>
      </c>
      <c r="G106">
        <v>0.70282363879427068</v>
      </c>
    </row>
    <row r="107" spans="1:7" x14ac:dyDescent="0.45">
      <c r="A107" s="3">
        <v>42524</v>
      </c>
      <c r="B107">
        <v>4421.78</v>
      </c>
      <c r="C107">
        <v>-9.9014778325123842E-3</v>
      </c>
      <c r="D107">
        <v>0.49839216549495796</v>
      </c>
      <c r="E107">
        <v>-1</v>
      </c>
      <c r="F107">
        <v>0.81791950287900528</v>
      </c>
      <c r="G107">
        <v>0.70324162342703056</v>
      </c>
    </row>
    <row r="108" spans="1:7" x14ac:dyDescent="0.45">
      <c r="A108" s="3">
        <v>42527</v>
      </c>
      <c r="B108">
        <v>4423.38</v>
      </c>
      <c r="C108">
        <v>3.6184522974913591E-4</v>
      </c>
      <c r="D108">
        <v>0.49760649027626747</v>
      </c>
      <c r="E108">
        <v>-1</v>
      </c>
      <c r="F108">
        <v>0.81729771235304094</v>
      </c>
      <c r="G108">
        <v>0.70310986488328509</v>
      </c>
    </row>
    <row r="109" spans="1:7" x14ac:dyDescent="0.45">
      <c r="A109" s="3">
        <v>42528</v>
      </c>
      <c r="B109">
        <v>4475.8599999999997</v>
      </c>
      <c r="C109">
        <v>1.1864230520552077E-2</v>
      </c>
      <c r="D109">
        <v>0.49833348330559879</v>
      </c>
      <c r="E109">
        <v>-1</v>
      </c>
      <c r="F109">
        <v>0.81732040280546625</v>
      </c>
      <c r="G109">
        <v>0.70248896679419248</v>
      </c>
    </row>
    <row r="110" spans="1:7" x14ac:dyDescent="0.45">
      <c r="A110" s="3">
        <v>42529</v>
      </c>
      <c r="B110">
        <v>4448.7299999999996</v>
      </c>
      <c r="C110">
        <v>-6.0614049590470565E-3</v>
      </c>
      <c r="D110">
        <v>0.50248774695859399</v>
      </c>
      <c r="E110">
        <v>1</v>
      </c>
      <c r="F110">
        <v>0.81657521744543005</v>
      </c>
      <c r="G110">
        <v>0.70246623950755216</v>
      </c>
    </row>
    <row r="111" spans="1:7" x14ac:dyDescent="0.45">
      <c r="A111" s="3">
        <v>42530</v>
      </c>
      <c r="B111">
        <v>4405.6099999999997</v>
      </c>
      <c r="C111">
        <v>-9.6926538585169197E-3</v>
      </c>
      <c r="D111">
        <v>0.50084615627371454</v>
      </c>
      <c r="E111">
        <v>1</v>
      </c>
      <c r="F111">
        <v>0.81695469528055176</v>
      </c>
      <c r="G111">
        <v>0.70172347235311483</v>
      </c>
    </row>
    <row r="112" spans="1:7" x14ac:dyDescent="0.45">
      <c r="A112" s="3">
        <v>42531</v>
      </c>
      <c r="B112">
        <v>4306.72</v>
      </c>
      <c r="C112">
        <v>-2.2446380864397764E-2</v>
      </c>
      <c r="D112">
        <v>0.49695706526505024</v>
      </c>
      <c r="E112">
        <v>-1</v>
      </c>
      <c r="F112">
        <v>0.81755677708195595</v>
      </c>
      <c r="G112">
        <v>0.70209999065966477</v>
      </c>
    </row>
    <row r="113" spans="1:7" x14ac:dyDescent="0.45">
      <c r="A113" s="3">
        <v>42534</v>
      </c>
      <c r="B113">
        <v>4227.0200000000004</v>
      </c>
      <c r="C113">
        <v>-1.8505962774454709E-2</v>
      </c>
      <c r="D113">
        <v>0.49371123090259222</v>
      </c>
      <c r="E113">
        <v>-1</v>
      </c>
      <c r="F113">
        <v>0.81894181173320457</v>
      </c>
      <c r="G113">
        <v>0.7026980675406419</v>
      </c>
    </row>
    <row r="114" spans="1:7" x14ac:dyDescent="0.45">
      <c r="A114" s="3">
        <v>42535</v>
      </c>
      <c r="B114">
        <v>4130.33</v>
      </c>
      <c r="C114">
        <v>-2.287427076285431E-2</v>
      </c>
      <c r="D114">
        <v>0.49226853250768532</v>
      </c>
      <c r="E114">
        <v>-1</v>
      </c>
      <c r="F114">
        <v>0.82008027735049183</v>
      </c>
      <c r="G114">
        <v>0.70407894316208897</v>
      </c>
    </row>
    <row r="115" spans="1:7" x14ac:dyDescent="0.45">
      <c r="A115" s="3">
        <v>42536</v>
      </c>
      <c r="B115">
        <v>4171.58</v>
      </c>
      <c r="C115">
        <v>9.987095462105966E-3</v>
      </c>
      <c r="D115">
        <v>0.49205356988985649</v>
      </c>
      <c r="E115">
        <v>-1</v>
      </c>
      <c r="F115">
        <v>0.81862828117078912</v>
      </c>
      <c r="G115">
        <v>0.70290423523243273</v>
      </c>
    </row>
    <row r="116" spans="1:7" x14ac:dyDescent="0.45">
      <c r="A116" s="3">
        <v>42537</v>
      </c>
      <c r="B116">
        <v>4153.01</v>
      </c>
      <c r="C116">
        <v>-4.4515507313774849E-3</v>
      </c>
      <c r="D116">
        <v>0.4980243345308708</v>
      </c>
      <c r="E116">
        <v>-1</v>
      </c>
      <c r="F116">
        <v>0.81800656380639747</v>
      </c>
      <c r="G116">
        <v>0.70432820593392664</v>
      </c>
    </row>
    <row r="117" spans="1:7" x14ac:dyDescent="0.45">
      <c r="A117" s="3">
        <v>42538</v>
      </c>
      <c r="B117">
        <v>4193.83</v>
      </c>
      <c r="C117">
        <v>9.8290155814697577E-3</v>
      </c>
      <c r="D117">
        <v>0.50084819801434499</v>
      </c>
      <c r="E117">
        <v>1</v>
      </c>
      <c r="F117">
        <v>0.81772881465954528</v>
      </c>
      <c r="G117">
        <v>0.70495133872775928</v>
      </c>
    </row>
    <row r="118" spans="1:7" x14ac:dyDescent="0.45">
      <c r="A118" s="3">
        <v>42541</v>
      </c>
      <c r="B118">
        <v>4340.76</v>
      </c>
      <c r="C118">
        <v>3.5034801124509185E-2</v>
      </c>
      <c r="D118">
        <v>0.50122483320327305</v>
      </c>
      <c r="E118">
        <v>1</v>
      </c>
      <c r="F118">
        <v>0.81834161959292517</v>
      </c>
      <c r="G118">
        <v>0.70467380002342339</v>
      </c>
    </row>
    <row r="119" spans="1:7" x14ac:dyDescent="0.45">
      <c r="A119" s="3">
        <v>42542</v>
      </c>
      <c r="B119">
        <v>4367.24</v>
      </c>
      <c r="C119">
        <v>6.1003142306876867E-3</v>
      </c>
      <c r="D119">
        <v>0.50889823183655181</v>
      </c>
      <c r="E119">
        <v>1</v>
      </c>
      <c r="F119">
        <v>0.82049164503121697</v>
      </c>
      <c r="G119">
        <v>0.70527698979060438</v>
      </c>
    </row>
    <row r="120" spans="1:7" x14ac:dyDescent="0.45">
      <c r="A120" s="3">
        <v>42543</v>
      </c>
      <c r="B120">
        <v>4380.03</v>
      </c>
      <c r="C120">
        <v>2.9286231120799755E-3</v>
      </c>
      <c r="D120">
        <v>0.50742807743884732</v>
      </c>
      <c r="E120">
        <v>1</v>
      </c>
      <c r="F120">
        <v>0.82086716757169642</v>
      </c>
      <c r="G120">
        <v>0.70743365861551255</v>
      </c>
    </row>
    <row r="121" spans="1:7" x14ac:dyDescent="0.45">
      <c r="A121" s="3">
        <v>42544</v>
      </c>
      <c r="B121">
        <v>4465.8999999999996</v>
      </c>
      <c r="C121">
        <v>1.9604888550991628E-2</v>
      </c>
      <c r="D121">
        <v>0.50167988822249754</v>
      </c>
      <c r="E121">
        <v>1</v>
      </c>
      <c r="F121">
        <v>0.82104958948704754</v>
      </c>
      <c r="G121">
        <v>0.70781364298482774</v>
      </c>
    </row>
    <row r="122" spans="1:7" x14ac:dyDescent="0.45">
      <c r="A122" s="3">
        <v>42545</v>
      </c>
      <c r="B122">
        <v>4106.7299999999996</v>
      </c>
      <c r="C122">
        <v>-8.0424998320607344E-2</v>
      </c>
      <c r="D122">
        <v>0.5045422513118778</v>
      </c>
      <c r="E122">
        <v>1</v>
      </c>
      <c r="F122">
        <v>0.81981325470215882</v>
      </c>
      <c r="G122">
        <v>0.70762895646565294</v>
      </c>
    </row>
    <row r="123" spans="1:7" x14ac:dyDescent="0.45">
      <c r="A123" s="3">
        <v>42548</v>
      </c>
      <c r="B123">
        <v>3984.72</v>
      </c>
      <c r="C123">
        <v>-2.9709769086353366E-2</v>
      </c>
      <c r="D123">
        <v>0.4869878155706065</v>
      </c>
      <c r="E123">
        <v>-1</v>
      </c>
      <c r="F123">
        <v>0.82470568825011648</v>
      </c>
      <c r="G123">
        <v>0.7064363469977798</v>
      </c>
    </row>
    <row r="124" spans="1:7" x14ac:dyDescent="0.45">
      <c r="A124" s="3">
        <v>42549</v>
      </c>
      <c r="B124">
        <v>4088.85</v>
      </c>
      <c r="C124">
        <v>2.6132325483346319E-2</v>
      </c>
      <c r="D124">
        <v>0.47968195537099273</v>
      </c>
      <c r="E124">
        <v>-1</v>
      </c>
      <c r="F124">
        <v>0.82277656294810986</v>
      </c>
      <c r="G124">
        <v>0.70121416237819645</v>
      </c>
    </row>
    <row r="125" spans="1:7" x14ac:dyDescent="0.45">
      <c r="A125" s="3">
        <v>42550</v>
      </c>
      <c r="B125">
        <v>4195.32</v>
      </c>
      <c r="C125">
        <v>2.6039106350196128E-2</v>
      </c>
      <c r="D125">
        <v>0.50016703851845878</v>
      </c>
      <c r="E125">
        <v>1</v>
      </c>
      <c r="F125">
        <v>0.82440928747047815</v>
      </c>
      <c r="G125">
        <v>0.69935792235194616</v>
      </c>
    </row>
    <row r="126" spans="1:7" x14ac:dyDescent="0.45">
      <c r="A126" s="3">
        <v>42551</v>
      </c>
      <c r="B126">
        <v>4237.4799999999996</v>
      </c>
      <c r="C126">
        <v>1.0049293021747951E-2</v>
      </c>
      <c r="D126">
        <v>0.50993437492728011</v>
      </c>
      <c r="E126">
        <v>1</v>
      </c>
      <c r="F126">
        <v>0.82600376664001463</v>
      </c>
      <c r="G126">
        <v>0.70095810970378403</v>
      </c>
    </row>
    <row r="127" spans="1:7" x14ac:dyDescent="0.45">
      <c r="A127" s="3">
        <v>42552</v>
      </c>
      <c r="B127">
        <v>4273.96</v>
      </c>
      <c r="C127">
        <v>8.6088901894523229E-3</v>
      </c>
      <c r="D127">
        <v>0.50663787915615133</v>
      </c>
      <c r="E127">
        <v>1</v>
      </c>
      <c r="F127">
        <v>0.82662339997778989</v>
      </c>
      <c r="G127">
        <v>0.70256366527326941</v>
      </c>
    </row>
    <row r="128" spans="1:7" x14ac:dyDescent="0.45">
      <c r="A128" s="3">
        <v>42555</v>
      </c>
      <c r="B128">
        <v>4234.8599999999997</v>
      </c>
      <c r="C128">
        <v>-9.1484244120207947E-3</v>
      </c>
      <c r="D128">
        <v>0.50354408519834726</v>
      </c>
      <c r="E128">
        <v>1</v>
      </c>
      <c r="F128">
        <v>0.82608155773560454</v>
      </c>
      <c r="G128">
        <v>0.70193116429539038</v>
      </c>
    </row>
    <row r="129" spans="1:7" x14ac:dyDescent="0.45">
      <c r="A129" s="3">
        <v>42556</v>
      </c>
      <c r="B129">
        <v>4163.42</v>
      </c>
      <c r="C129">
        <v>-1.686950690223521E-2</v>
      </c>
      <c r="D129">
        <v>0.49962137597858697</v>
      </c>
      <c r="E129">
        <v>-1</v>
      </c>
      <c r="F129">
        <v>0.82665290095707833</v>
      </c>
      <c r="G129">
        <v>0.70139351640842829</v>
      </c>
    </row>
    <row r="130" spans="1:7" x14ac:dyDescent="0.45">
      <c r="A130" s="3">
        <v>42557</v>
      </c>
      <c r="B130">
        <v>4085.3</v>
      </c>
      <c r="C130">
        <v>-1.8763420457220237E-2</v>
      </c>
      <c r="D130">
        <v>0.49490970777426341</v>
      </c>
      <c r="E130">
        <v>-1</v>
      </c>
      <c r="F130">
        <v>0.82769640313422543</v>
      </c>
      <c r="G130">
        <v>0.70195941325690958</v>
      </c>
    </row>
    <row r="131" spans="1:7" x14ac:dyDescent="0.45">
      <c r="A131" s="3">
        <v>42558</v>
      </c>
      <c r="B131">
        <v>4117.8500000000004</v>
      </c>
      <c r="C131">
        <v>7.9675911193792803E-3</v>
      </c>
      <c r="D131">
        <v>0.49315739602268954</v>
      </c>
      <c r="E131">
        <v>-1</v>
      </c>
      <c r="F131">
        <v>0.82650786316102465</v>
      </c>
      <c r="G131">
        <v>0.70089084032122306</v>
      </c>
    </row>
    <row r="132" spans="1:7" x14ac:dyDescent="0.45">
      <c r="A132" s="3">
        <v>42559</v>
      </c>
      <c r="B132">
        <v>4190.68</v>
      </c>
      <c r="C132">
        <v>1.7686414026737207E-2</v>
      </c>
      <c r="D132">
        <v>0.49835854769169957</v>
      </c>
      <c r="E132">
        <v>-1</v>
      </c>
      <c r="F132">
        <v>0.82700746702407013</v>
      </c>
      <c r="G132">
        <v>0.69971428931554047</v>
      </c>
    </row>
    <row r="133" spans="1:7" x14ac:dyDescent="0.45">
      <c r="A133" s="3">
        <v>42562</v>
      </c>
      <c r="B133">
        <v>4264.53</v>
      </c>
      <c r="C133">
        <v>1.7622438363224857E-2</v>
      </c>
      <c r="D133">
        <v>0.50505028669906604</v>
      </c>
      <c r="E133">
        <v>1</v>
      </c>
      <c r="F133">
        <v>0.82810159108239434</v>
      </c>
      <c r="G133">
        <v>0.70020718364207979</v>
      </c>
    </row>
    <row r="134" spans="1:7" x14ac:dyDescent="0.45">
      <c r="A134" s="3">
        <v>42563</v>
      </c>
      <c r="B134">
        <v>4331.38</v>
      </c>
      <c r="C134">
        <v>1.5675818906186745E-2</v>
      </c>
      <c r="D134">
        <v>0.50674392185003292</v>
      </c>
      <c r="E134">
        <v>1</v>
      </c>
      <c r="F134">
        <v>0.82918794027000653</v>
      </c>
      <c r="G134">
        <v>0.70129747666020237</v>
      </c>
    </row>
    <row r="135" spans="1:7" x14ac:dyDescent="0.45">
      <c r="A135" s="3">
        <v>42564</v>
      </c>
      <c r="B135">
        <v>4335.26</v>
      </c>
      <c r="C135">
        <v>8.9578840923687508E-4</v>
      </c>
      <c r="D135">
        <v>0.50633885325168415</v>
      </c>
      <c r="E135">
        <v>1</v>
      </c>
      <c r="F135">
        <v>0.83015510264076031</v>
      </c>
      <c r="G135">
        <v>0.70238474102373183</v>
      </c>
    </row>
    <row r="136" spans="1:7" x14ac:dyDescent="0.45">
      <c r="A136" s="3">
        <v>42565</v>
      </c>
      <c r="B136">
        <v>4385.5200000000004</v>
      </c>
      <c r="C136">
        <v>1.1593306975821616E-2</v>
      </c>
      <c r="D136">
        <v>0.50293849099892574</v>
      </c>
      <c r="E136">
        <v>1</v>
      </c>
      <c r="F136">
        <v>0.83021075846070724</v>
      </c>
      <c r="G136">
        <v>0.70335868815853242</v>
      </c>
    </row>
    <row r="137" spans="1:7" x14ac:dyDescent="0.45">
      <c r="A137" s="3">
        <v>42566</v>
      </c>
      <c r="B137">
        <v>4372.51</v>
      </c>
      <c r="C137">
        <v>-2.9665809299695978E-3</v>
      </c>
      <c r="D137">
        <v>0.50256371471696704</v>
      </c>
      <c r="E137">
        <v>1</v>
      </c>
      <c r="F137">
        <v>0.82948248068056851</v>
      </c>
      <c r="G137">
        <v>0.7033024157941834</v>
      </c>
    </row>
    <row r="138" spans="1:7" x14ac:dyDescent="0.45">
      <c r="A138" s="3">
        <v>42569</v>
      </c>
      <c r="B138">
        <v>4357.74</v>
      </c>
      <c r="C138">
        <v>-3.377922520474641E-3</v>
      </c>
      <c r="D138">
        <v>0.50142321462982931</v>
      </c>
      <c r="E138">
        <v>1</v>
      </c>
      <c r="F138">
        <v>0.82966841824235615</v>
      </c>
      <c r="G138">
        <v>0.70257577752506939</v>
      </c>
    </row>
    <row r="139" spans="1:7" x14ac:dyDescent="0.45">
      <c r="A139" s="3">
        <v>42570</v>
      </c>
      <c r="B139">
        <v>4330.13</v>
      </c>
      <c r="C139">
        <v>-6.3358529880166436E-3</v>
      </c>
      <c r="D139">
        <v>0.49877830154677238</v>
      </c>
      <c r="E139">
        <v>-1</v>
      </c>
      <c r="F139">
        <v>0.82987902129219859</v>
      </c>
      <c r="G139">
        <v>0.70276073469554001</v>
      </c>
    </row>
    <row r="140" spans="1:7" x14ac:dyDescent="0.45">
      <c r="A140" s="3">
        <v>42571</v>
      </c>
      <c r="B140">
        <v>4379.76</v>
      </c>
      <c r="C140">
        <v>1.1461549653243752E-2</v>
      </c>
      <c r="D140">
        <v>0.49809204356354209</v>
      </c>
      <c r="E140">
        <v>-1</v>
      </c>
      <c r="F140">
        <v>0.82948152520211227</v>
      </c>
      <c r="G140">
        <v>0.70254881200777519</v>
      </c>
    </row>
    <row r="141" spans="1:7" x14ac:dyDescent="0.45">
      <c r="A141" s="3">
        <v>42572</v>
      </c>
      <c r="B141">
        <v>4376.25</v>
      </c>
      <c r="C141">
        <v>-8.0141377609732611E-4</v>
      </c>
      <c r="D141">
        <v>0.50126397173196136</v>
      </c>
      <c r="E141">
        <v>1</v>
      </c>
      <c r="F141">
        <v>0.82876337205382444</v>
      </c>
      <c r="G141">
        <v>0.70294580132493489</v>
      </c>
    </row>
    <row r="142" spans="1:7" x14ac:dyDescent="0.45">
      <c r="A142" s="3">
        <v>42573</v>
      </c>
      <c r="B142">
        <v>4381.1000000000004</v>
      </c>
      <c r="C142">
        <v>1.1082547843475066E-3</v>
      </c>
      <c r="D142">
        <v>0.50184815803843974</v>
      </c>
      <c r="E142">
        <v>1</v>
      </c>
      <c r="F142">
        <v>0.82871346951704772</v>
      </c>
      <c r="G142">
        <v>0.7036594905827791</v>
      </c>
    </row>
    <row r="143" spans="1:7" x14ac:dyDescent="0.45">
      <c r="A143" s="3">
        <v>42576</v>
      </c>
      <c r="B143">
        <v>4388</v>
      </c>
      <c r="C143">
        <v>1.5749469311359121E-3</v>
      </c>
      <c r="D143">
        <v>0.50008862581357461</v>
      </c>
      <c r="E143">
        <v>1</v>
      </c>
      <c r="F143">
        <v>0.8287827231613959</v>
      </c>
      <c r="G143">
        <v>0.70360941110158992</v>
      </c>
    </row>
    <row r="144" spans="1:7" x14ac:dyDescent="0.45">
      <c r="A144" s="3">
        <v>42577</v>
      </c>
      <c r="B144">
        <v>4394.7700000000004</v>
      </c>
      <c r="C144">
        <v>1.542844120328235E-3</v>
      </c>
      <c r="D144">
        <v>0.50052126663679586</v>
      </c>
      <c r="E144">
        <v>1</v>
      </c>
      <c r="F144">
        <v>0.8288810546168065</v>
      </c>
      <c r="G144">
        <v>0.70367860473837618</v>
      </c>
    </row>
    <row r="145" spans="1:7" x14ac:dyDescent="0.45">
      <c r="A145" s="3">
        <v>42578</v>
      </c>
      <c r="B145">
        <v>4446.96</v>
      </c>
      <c r="C145">
        <v>1.1875479262851041E-2</v>
      </c>
      <c r="D145">
        <v>0.50059677239677403</v>
      </c>
      <c r="E145">
        <v>1</v>
      </c>
      <c r="F145">
        <v>0.8289773671462769</v>
      </c>
      <c r="G145">
        <v>0.7037769212959083</v>
      </c>
    </row>
    <row r="146" spans="1:7" x14ac:dyDescent="0.45">
      <c r="A146" s="3">
        <v>42579</v>
      </c>
      <c r="B146">
        <v>4420.58</v>
      </c>
      <c r="C146">
        <v>-5.9321424073974782E-3</v>
      </c>
      <c r="D146">
        <v>0.50273255319926091</v>
      </c>
      <c r="E146">
        <v>1</v>
      </c>
      <c r="F146">
        <v>0.82823111568423979</v>
      </c>
      <c r="G146">
        <v>0.70367996944621813</v>
      </c>
    </row>
    <row r="147" spans="1:7" x14ac:dyDescent="0.45">
      <c r="A147" s="3">
        <v>42580</v>
      </c>
      <c r="B147">
        <v>4439.8100000000004</v>
      </c>
      <c r="C147">
        <v>4.3501079043928303E-3</v>
      </c>
      <c r="D147">
        <v>0.50086083713953622</v>
      </c>
      <c r="E147">
        <v>1</v>
      </c>
      <c r="F147">
        <v>0.82786099620693754</v>
      </c>
      <c r="G147">
        <v>0.70442090684718117</v>
      </c>
    </row>
    <row r="148" spans="1:7" x14ac:dyDescent="0.45">
      <c r="A148" s="3">
        <v>42583</v>
      </c>
      <c r="B148">
        <v>4409.17</v>
      </c>
      <c r="C148">
        <v>-6.9011962223609613E-3</v>
      </c>
      <c r="D148">
        <v>0.49985563988630444</v>
      </c>
      <c r="E148">
        <v>-1</v>
      </c>
      <c r="F148">
        <v>0.82758919298332934</v>
      </c>
      <c r="G148">
        <v>0.70479155867115217</v>
      </c>
    </row>
    <row r="149" spans="1:7" x14ac:dyDescent="0.45">
      <c r="A149" s="3">
        <v>42584</v>
      </c>
      <c r="B149">
        <v>4327.99</v>
      </c>
      <c r="C149">
        <v>-1.8411628492437382E-2</v>
      </c>
      <c r="D149">
        <v>0.49933864136521083</v>
      </c>
      <c r="E149">
        <v>-1</v>
      </c>
      <c r="F149">
        <v>0.82801994647287347</v>
      </c>
      <c r="G149">
        <v>0.70452003702485566</v>
      </c>
    </row>
    <row r="150" spans="1:7" x14ac:dyDescent="0.45">
      <c r="A150" s="3">
        <v>42585</v>
      </c>
      <c r="B150">
        <v>4321.08</v>
      </c>
      <c r="C150">
        <v>-1.5965840956193578E-3</v>
      </c>
      <c r="D150">
        <v>0.49497336269066361</v>
      </c>
      <c r="E150">
        <v>-1</v>
      </c>
      <c r="F150">
        <v>0.82915898954849421</v>
      </c>
      <c r="G150">
        <v>0.70494698240743325</v>
      </c>
    </row>
    <row r="151" spans="1:7" x14ac:dyDescent="0.45">
      <c r="A151" s="3">
        <v>42586</v>
      </c>
      <c r="B151">
        <v>4345.63</v>
      </c>
      <c r="C151">
        <v>5.6814500078683494E-3</v>
      </c>
      <c r="D151">
        <v>0.49642429995804377</v>
      </c>
      <c r="E151">
        <v>-1</v>
      </c>
      <c r="F151">
        <v>0.82905849456912051</v>
      </c>
      <c r="G151">
        <v>0.70378808559099792</v>
      </c>
    </row>
    <row r="152" spans="1:7" x14ac:dyDescent="0.45">
      <c r="A152" s="3">
        <v>42587</v>
      </c>
      <c r="B152">
        <v>4410.55</v>
      </c>
      <c r="C152">
        <v>1.4939145762524753E-2</v>
      </c>
      <c r="D152">
        <v>0.50089664842040493</v>
      </c>
      <c r="E152">
        <v>1</v>
      </c>
      <c r="F152">
        <v>0.82941294727182246</v>
      </c>
      <c r="G152">
        <v>0.70368847835217696</v>
      </c>
    </row>
    <row r="153" spans="1:7" x14ac:dyDescent="0.45">
      <c r="A153" s="3">
        <v>42590</v>
      </c>
      <c r="B153">
        <v>4415.46</v>
      </c>
      <c r="C153">
        <v>1.113239845370817E-3</v>
      </c>
      <c r="D153">
        <v>0.50409708125462815</v>
      </c>
      <c r="E153">
        <v>1</v>
      </c>
      <c r="F153">
        <v>0.83033893084152943</v>
      </c>
      <c r="G153">
        <v>0.70404063566043451</v>
      </c>
    </row>
    <row r="154" spans="1:7" x14ac:dyDescent="0.45">
      <c r="A154" s="3">
        <v>42591</v>
      </c>
      <c r="B154">
        <v>4468.07</v>
      </c>
      <c r="C154">
        <v>1.1914953368391989E-2</v>
      </c>
      <c r="D154">
        <v>0.50286050180688635</v>
      </c>
      <c r="E154">
        <v>1</v>
      </c>
      <c r="F154">
        <v>0.83040810801455667</v>
      </c>
      <c r="G154">
        <v>0.70496896020396382</v>
      </c>
    </row>
    <row r="155" spans="1:7" x14ac:dyDescent="0.45">
      <c r="A155" s="3">
        <v>42592</v>
      </c>
      <c r="B155">
        <v>4452.01</v>
      </c>
      <c r="C155">
        <v>-3.5943931048527666E-3</v>
      </c>
      <c r="D155">
        <v>0.50266974298300438</v>
      </c>
      <c r="E155">
        <v>1</v>
      </c>
      <c r="F155">
        <v>0.82965946854054118</v>
      </c>
      <c r="G155">
        <v>0.7048990131998486</v>
      </c>
    </row>
    <row r="156" spans="1:7" x14ac:dyDescent="0.45">
      <c r="A156" s="3">
        <v>42593</v>
      </c>
      <c r="B156">
        <v>4503.95</v>
      </c>
      <c r="C156">
        <v>1.1666640461274635E-2</v>
      </c>
      <c r="D156">
        <v>0.50135417583860031</v>
      </c>
      <c r="E156">
        <v>1</v>
      </c>
      <c r="F156">
        <v>0.82943542904490464</v>
      </c>
      <c r="G156">
        <v>0.70564167547003387</v>
      </c>
    </row>
    <row r="157" spans="1:7" x14ac:dyDescent="0.45">
      <c r="A157" s="3">
        <v>42594</v>
      </c>
      <c r="B157">
        <v>4500.1899999999996</v>
      </c>
      <c r="C157">
        <v>-8.3482276668267463E-4</v>
      </c>
      <c r="D157">
        <v>0.50178508525656573</v>
      </c>
      <c r="E157">
        <v>1</v>
      </c>
      <c r="F157">
        <v>0.82870367009979418</v>
      </c>
      <c r="G157">
        <v>0.70586712420272169</v>
      </c>
    </row>
    <row r="158" spans="1:7" x14ac:dyDescent="0.45">
      <c r="A158" s="3">
        <v>42597</v>
      </c>
      <c r="B158">
        <v>4497.8599999999997</v>
      </c>
      <c r="C158">
        <v>-5.1775591697234002E-4</v>
      </c>
      <c r="D158">
        <v>0.5018858103731807</v>
      </c>
      <c r="E158">
        <v>1</v>
      </c>
      <c r="F158">
        <v>0.82875604256737556</v>
      </c>
      <c r="G158">
        <v>0.70513521945152502</v>
      </c>
    </row>
    <row r="159" spans="1:7" x14ac:dyDescent="0.45">
      <c r="A159" s="3">
        <v>42598</v>
      </c>
      <c r="B159">
        <v>4460.4399999999996</v>
      </c>
      <c r="C159">
        <v>-8.3195119456808131E-3</v>
      </c>
      <c r="D159">
        <v>0.4997455609520744</v>
      </c>
      <c r="E159">
        <v>-1</v>
      </c>
      <c r="F159">
        <v>0.82878838583664549</v>
      </c>
      <c r="G159">
        <v>0.70518736930949932</v>
      </c>
    </row>
    <row r="160" spans="1:7" x14ac:dyDescent="0.45">
      <c r="A160" s="3">
        <v>42599</v>
      </c>
      <c r="B160">
        <v>4417.68</v>
      </c>
      <c r="C160">
        <v>-9.5864981930032789E-3</v>
      </c>
      <c r="D160">
        <v>0.49818495052037859</v>
      </c>
      <c r="E160">
        <v>-1</v>
      </c>
      <c r="F160">
        <v>0.8293064609654357</v>
      </c>
      <c r="G160">
        <v>0.7052196111603577</v>
      </c>
    </row>
    <row r="161" spans="1:7" x14ac:dyDescent="0.45">
      <c r="A161" s="3">
        <v>42600</v>
      </c>
      <c r="B161">
        <v>4437.0600000000004</v>
      </c>
      <c r="C161">
        <v>4.386918020318431E-3</v>
      </c>
      <c r="D161">
        <v>0.49654574798854467</v>
      </c>
      <c r="E161">
        <v>-1</v>
      </c>
      <c r="F161">
        <v>0.82870319434952788</v>
      </c>
      <c r="G161">
        <v>0.70469607444064719</v>
      </c>
    </row>
    <row r="162" spans="1:7" x14ac:dyDescent="0.45">
      <c r="A162" s="3">
        <v>42601</v>
      </c>
      <c r="B162">
        <v>4400.5200000000004</v>
      </c>
      <c r="C162">
        <v>-8.2351827561493174E-3</v>
      </c>
      <c r="D162">
        <v>0.49921997196594164</v>
      </c>
      <c r="E162">
        <v>-1</v>
      </c>
      <c r="F162">
        <v>0.82842944037939503</v>
      </c>
      <c r="G162">
        <v>0.70529429440460623</v>
      </c>
    </row>
    <row r="163" spans="1:7" x14ac:dyDescent="0.45">
      <c r="A163" s="3">
        <v>42604</v>
      </c>
      <c r="B163">
        <v>4389.9399999999996</v>
      </c>
      <c r="C163">
        <v>-2.4042613145720537E-3</v>
      </c>
      <c r="D163">
        <v>0.49906795118149511</v>
      </c>
      <c r="E163">
        <v>-1</v>
      </c>
      <c r="F163">
        <v>0.82894317806743689</v>
      </c>
      <c r="G163">
        <v>0.70502062408202537</v>
      </c>
    </row>
    <row r="164" spans="1:7" x14ac:dyDescent="0.45">
      <c r="A164" s="3">
        <v>42605</v>
      </c>
      <c r="B164">
        <v>4421.45</v>
      </c>
      <c r="C164">
        <v>7.1777746392889252E-3</v>
      </c>
      <c r="D164">
        <v>0.49805026745722863</v>
      </c>
      <c r="E164">
        <v>-1</v>
      </c>
      <c r="F164">
        <v>0.82879232807079428</v>
      </c>
      <c r="G164">
        <v>0.70450392596623124</v>
      </c>
    </row>
    <row r="165" spans="1:7" x14ac:dyDescent="0.45">
      <c r="A165" s="3">
        <v>42606</v>
      </c>
      <c r="B165">
        <v>4435.47</v>
      </c>
      <c r="C165">
        <v>3.1709054721869023E-3</v>
      </c>
      <c r="D165">
        <v>0.50106376664961005</v>
      </c>
      <c r="E165">
        <v>1</v>
      </c>
      <c r="F165">
        <v>0.82923998252481845</v>
      </c>
      <c r="G165">
        <v>0.70435398000941407</v>
      </c>
    </row>
    <row r="166" spans="1:7" x14ac:dyDescent="0.45">
      <c r="A166" s="3">
        <v>42607</v>
      </c>
      <c r="B166">
        <v>4406.6099999999997</v>
      </c>
      <c r="C166">
        <v>-6.5066385298515605E-3</v>
      </c>
      <c r="D166">
        <v>0.50192127447721135</v>
      </c>
      <c r="E166">
        <v>1</v>
      </c>
      <c r="F166">
        <v>0.82904104234776899</v>
      </c>
      <c r="G166">
        <v>0.70390365193433069</v>
      </c>
    </row>
    <row r="167" spans="1:7" x14ac:dyDescent="0.45">
      <c r="A167" s="3">
        <v>42608</v>
      </c>
      <c r="B167">
        <v>4441.87</v>
      </c>
      <c r="C167">
        <v>8.0016157545141908E-3</v>
      </c>
      <c r="D167">
        <v>0.49920943604700585</v>
      </c>
      <c r="E167">
        <v>-1</v>
      </c>
      <c r="F167">
        <v>0.82863373546867436</v>
      </c>
      <c r="G167">
        <v>0.70410214638055746</v>
      </c>
    </row>
    <row r="168" spans="1:7" x14ac:dyDescent="0.45">
      <c r="A168" s="3">
        <v>42611</v>
      </c>
      <c r="B168">
        <v>4424.25</v>
      </c>
      <c r="C168">
        <v>-3.9667977676068888E-3</v>
      </c>
      <c r="D168">
        <v>0.50051226747022659</v>
      </c>
      <c r="E168">
        <v>1</v>
      </c>
      <c r="F168">
        <v>0.82813312263856442</v>
      </c>
      <c r="G168">
        <v>0.70450922750377853</v>
      </c>
    </row>
    <row r="169" spans="1:7" x14ac:dyDescent="0.45">
      <c r="A169" s="3">
        <v>42612</v>
      </c>
      <c r="B169">
        <v>4457.49</v>
      </c>
      <c r="C169">
        <v>7.5131378199695398E-3</v>
      </c>
      <c r="D169">
        <v>0.50058804360683384</v>
      </c>
      <c r="E169">
        <v>1</v>
      </c>
      <c r="F169">
        <v>0.82788548970186904</v>
      </c>
      <c r="G169">
        <v>0.70500873963514532</v>
      </c>
    </row>
    <row r="170" spans="1:7" x14ac:dyDescent="0.45">
      <c r="A170" s="3">
        <v>42613</v>
      </c>
      <c r="B170">
        <v>4438.22</v>
      </c>
      <c r="C170">
        <v>-4.3230607359746598E-3</v>
      </c>
      <c r="D170">
        <v>0.5008558468363401</v>
      </c>
      <c r="E170">
        <v>1</v>
      </c>
      <c r="F170">
        <v>0.82741511620436581</v>
      </c>
      <c r="G170">
        <v>0.70525708813939847</v>
      </c>
    </row>
    <row r="171" spans="1:7" x14ac:dyDescent="0.45">
      <c r="A171" s="3">
        <v>42614</v>
      </c>
      <c r="B171">
        <v>4439.67</v>
      </c>
      <c r="C171">
        <v>3.2670755392927298E-4</v>
      </c>
      <c r="D171">
        <v>0.50043043186879255</v>
      </c>
      <c r="E171">
        <v>1</v>
      </c>
      <c r="F171">
        <v>0.82714515770631902</v>
      </c>
      <c r="G171">
        <v>0.70572625466870931</v>
      </c>
    </row>
    <row r="172" spans="1:7" x14ac:dyDescent="0.45">
      <c r="A172" s="3">
        <v>42615</v>
      </c>
      <c r="B172">
        <v>4542.17</v>
      </c>
      <c r="C172">
        <v>2.3087301533672555E-2</v>
      </c>
      <c r="D172">
        <v>0.49930483472525156</v>
      </c>
      <c r="E172">
        <v>-1</v>
      </c>
      <c r="F172">
        <v>0.82716560527838234</v>
      </c>
      <c r="G172">
        <v>0.70545568824050897</v>
      </c>
    </row>
    <row r="173" spans="1:7" x14ac:dyDescent="0.45">
      <c r="A173" s="3">
        <v>42618</v>
      </c>
      <c r="B173">
        <v>4541.08</v>
      </c>
      <c r="C173">
        <v>-2.3997340478232321E-4</v>
      </c>
      <c r="D173">
        <v>0.50483172445489444</v>
      </c>
      <c r="E173">
        <v>1</v>
      </c>
      <c r="F173">
        <v>0.82570884104621933</v>
      </c>
      <c r="G173">
        <v>0.70543507362349767</v>
      </c>
    </row>
    <row r="174" spans="1:7" x14ac:dyDescent="0.45">
      <c r="A174" s="3">
        <v>42619</v>
      </c>
      <c r="B174">
        <v>4529.96</v>
      </c>
      <c r="C174">
        <v>-2.4487566834321406E-3</v>
      </c>
      <c r="D174">
        <v>0.50402202426977727</v>
      </c>
      <c r="E174">
        <v>1</v>
      </c>
      <c r="F174">
        <v>0.82572395905307561</v>
      </c>
      <c r="G174">
        <v>0.70398060418678887</v>
      </c>
    </row>
    <row r="175" spans="1:7" x14ac:dyDescent="0.45">
      <c r="A175" s="3">
        <v>42620</v>
      </c>
      <c r="B175">
        <v>4557.66</v>
      </c>
      <c r="C175">
        <v>6.114844281185583E-3</v>
      </c>
      <c r="D175">
        <v>0.49945226679762977</v>
      </c>
      <c r="E175">
        <v>-1</v>
      </c>
      <c r="F175">
        <v>0.8255707442860587</v>
      </c>
      <c r="G175">
        <v>0.70396558943683318</v>
      </c>
    </row>
    <row r="176" spans="1:7" x14ac:dyDescent="0.45">
      <c r="A176" s="3">
        <v>42621</v>
      </c>
      <c r="B176">
        <v>4542.2</v>
      </c>
      <c r="C176">
        <v>-3.392091555754484E-3</v>
      </c>
      <c r="D176">
        <v>0.50083109826017869</v>
      </c>
      <c r="E176">
        <v>1</v>
      </c>
      <c r="F176">
        <v>0.82518793232160226</v>
      </c>
      <c r="G176">
        <v>0.70411889070066824</v>
      </c>
    </row>
    <row r="177" spans="1:7" x14ac:dyDescent="0.45">
      <c r="A177" s="3">
        <v>42622</v>
      </c>
      <c r="B177">
        <v>4491.3999999999996</v>
      </c>
      <c r="C177">
        <v>-1.1184007749548752E-2</v>
      </c>
      <c r="D177">
        <v>0.50037661601750882</v>
      </c>
      <c r="E177">
        <v>1</v>
      </c>
      <c r="F177">
        <v>0.82540009761296462</v>
      </c>
      <c r="G177">
        <v>0.70373642528155167</v>
      </c>
    </row>
    <row r="178" spans="1:7" x14ac:dyDescent="0.45">
      <c r="A178" s="3">
        <v>42625</v>
      </c>
      <c r="B178">
        <v>4439.8</v>
      </c>
      <c r="C178">
        <v>-1.1488622701162132E-2</v>
      </c>
      <c r="D178">
        <v>0.4970954278049155</v>
      </c>
      <c r="E178">
        <v>-1</v>
      </c>
      <c r="F178">
        <v>0.82609501405101737</v>
      </c>
      <c r="G178">
        <v>0.7039471923191164</v>
      </c>
    </row>
    <row r="179" spans="1:7" x14ac:dyDescent="0.45">
      <c r="A179" s="3">
        <v>42626</v>
      </c>
      <c r="B179">
        <v>4387.18</v>
      </c>
      <c r="C179">
        <v>-1.1851885220054981E-2</v>
      </c>
      <c r="D179">
        <v>0.49565919786423834</v>
      </c>
      <c r="E179">
        <v>-1</v>
      </c>
      <c r="F179">
        <v>0.82680676559115829</v>
      </c>
      <c r="G179">
        <v>0.70464007213140956</v>
      </c>
    </row>
    <row r="180" spans="1:7" x14ac:dyDescent="0.45">
      <c r="A180" s="3">
        <v>42627</v>
      </c>
      <c r="B180">
        <v>4370.26</v>
      </c>
      <c r="C180">
        <v>-3.8566915421751613E-3</v>
      </c>
      <c r="D180">
        <v>0.49552647867010946</v>
      </c>
      <c r="E180">
        <v>-1</v>
      </c>
      <c r="F180">
        <v>0.82754082219412395</v>
      </c>
      <c r="G180">
        <v>0.70535162976095012</v>
      </c>
    </row>
    <row r="181" spans="1:7" x14ac:dyDescent="0.45">
      <c r="A181" s="3">
        <v>42628</v>
      </c>
      <c r="B181">
        <v>4373.22</v>
      </c>
      <c r="C181">
        <v>6.7730524042053375E-4</v>
      </c>
      <c r="D181">
        <v>0.49711220304915721</v>
      </c>
      <c r="E181">
        <v>-1</v>
      </c>
      <c r="F181">
        <v>0.8272983948920134</v>
      </c>
      <c r="G181">
        <v>0.70460663355697528</v>
      </c>
    </row>
    <row r="182" spans="1:7" x14ac:dyDescent="0.45">
      <c r="A182" s="3">
        <v>42629</v>
      </c>
      <c r="B182">
        <v>4332.45</v>
      </c>
      <c r="C182">
        <v>-9.3226501296528319E-3</v>
      </c>
      <c r="D182">
        <v>0.49946072098262534</v>
      </c>
      <c r="E182">
        <v>-1</v>
      </c>
      <c r="F182">
        <v>0.82725610902074087</v>
      </c>
      <c r="G182">
        <v>0.70484741651915794</v>
      </c>
    </row>
    <row r="183" spans="1:7" x14ac:dyDescent="0.45">
      <c r="A183" s="3">
        <v>42632</v>
      </c>
      <c r="B183">
        <v>4394.1899999999996</v>
      </c>
      <c r="C183">
        <v>1.4250597237128959E-2</v>
      </c>
      <c r="D183">
        <v>0.49819130228355163</v>
      </c>
      <c r="E183">
        <v>-1</v>
      </c>
      <c r="F183">
        <v>0.82667134330771841</v>
      </c>
      <c r="G183">
        <v>0.7048899006708037</v>
      </c>
    </row>
    <row r="184" spans="1:7" x14ac:dyDescent="0.45">
      <c r="A184" s="3">
        <v>42633</v>
      </c>
      <c r="B184">
        <v>4388.6000000000004</v>
      </c>
      <c r="C184">
        <v>-1.2721343410274644E-3</v>
      </c>
      <c r="D184">
        <v>0.50130227666450622</v>
      </c>
      <c r="E184">
        <v>1</v>
      </c>
      <c r="F184">
        <v>0.82577836726058917</v>
      </c>
      <c r="G184">
        <v>0.7054740799246989</v>
      </c>
    </row>
    <row r="185" spans="1:7" x14ac:dyDescent="0.45">
      <c r="A185" s="3">
        <v>42634</v>
      </c>
      <c r="B185">
        <v>4409.55</v>
      </c>
      <c r="C185">
        <v>4.7737319418492685E-3</v>
      </c>
      <c r="D185">
        <v>0.50225071628659856</v>
      </c>
      <c r="E185">
        <v>1</v>
      </c>
      <c r="F185">
        <v>0.82569921836977811</v>
      </c>
      <c r="G185">
        <v>0.7063607150294493</v>
      </c>
    </row>
    <row r="186" spans="1:7" x14ac:dyDescent="0.45">
      <c r="A186" s="3">
        <v>42635</v>
      </c>
      <c r="B186">
        <v>4509.82</v>
      </c>
      <c r="C186">
        <v>2.2739281786123167E-2</v>
      </c>
      <c r="D186">
        <v>0.50076076966550531</v>
      </c>
      <c r="E186">
        <v>1</v>
      </c>
      <c r="F186">
        <v>0.82599712196266428</v>
      </c>
      <c r="G186">
        <v>0.70628132779207564</v>
      </c>
    </row>
    <row r="187" spans="1:7" x14ac:dyDescent="0.45">
      <c r="A187" s="3">
        <v>42636</v>
      </c>
      <c r="B187">
        <v>4488.6899999999996</v>
      </c>
      <c r="C187">
        <v>-4.685331121862979E-3</v>
      </c>
      <c r="D187">
        <v>0.50553831824241868</v>
      </c>
      <c r="E187">
        <v>1</v>
      </c>
      <c r="F187">
        <v>0.82456035098039737</v>
      </c>
      <c r="G187">
        <v>0.70597970175147851</v>
      </c>
    </row>
    <row r="188" spans="1:7" x14ac:dyDescent="0.45">
      <c r="A188" s="3">
        <v>42639</v>
      </c>
      <c r="B188">
        <v>4407.8500000000004</v>
      </c>
      <c r="C188">
        <v>-1.8009708846010608E-2</v>
      </c>
      <c r="D188">
        <v>0.50304749553688366</v>
      </c>
      <c r="E188">
        <v>1</v>
      </c>
      <c r="F188">
        <v>0.82485495804648434</v>
      </c>
      <c r="G188">
        <v>0.70454988752539849</v>
      </c>
    </row>
    <row r="189" spans="1:7" x14ac:dyDescent="0.45">
      <c r="A189" s="3">
        <v>42640</v>
      </c>
      <c r="B189">
        <v>4398.68</v>
      </c>
      <c r="C189">
        <v>-2.08037932325289E-3</v>
      </c>
      <c r="D189">
        <v>0.49546101290417593</v>
      </c>
      <c r="E189">
        <v>-1</v>
      </c>
      <c r="F189">
        <v>0.82597025470111018</v>
      </c>
      <c r="G189">
        <v>0.70484003847512833</v>
      </c>
    </row>
    <row r="190" spans="1:7" x14ac:dyDescent="0.45">
      <c r="A190" s="3">
        <v>42641</v>
      </c>
      <c r="B190">
        <v>4432.45</v>
      </c>
      <c r="C190">
        <v>7.6773031909571632E-3</v>
      </c>
      <c r="D190">
        <v>0.49639698853732539</v>
      </c>
      <c r="E190">
        <v>-1</v>
      </c>
      <c r="F190">
        <v>0.82583930083995205</v>
      </c>
      <c r="G190">
        <v>0.70370637939413339</v>
      </c>
    </row>
    <row r="191" spans="1:7" x14ac:dyDescent="0.45">
      <c r="A191" s="3">
        <v>42642</v>
      </c>
      <c r="B191">
        <v>4443.84</v>
      </c>
      <c r="C191">
        <v>2.5696849372243147E-3</v>
      </c>
      <c r="D191">
        <v>0.50121905820901935</v>
      </c>
      <c r="E191">
        <v>1</v>
      </c>
      <c r="F191">
        <v>0.82631795955909071</v>
      </c>
      <c r="G191">
        <v>0.70357667347039654</v>
      </c>
    </row>
    <row r="192" spans="1:7" x14ac:dyDescent="0.45">
      <c r="A192" s="3">
        <v>42643</v>
      </c>
      <c r="B192">
        <v>4448.26</v>
      </c>
      <c r="C192">
        <v>9.9463527039689303E-4</v>
      </c>
      <c r="D192">
        <v>0.50188122818657555</v>
      </c>
      <c r="E192">
        <v>1</v>
      </c>
      <c r="F192">
        <v>0.82647795833221327</v>
      </c>
      <c r="G192">
        <v>0.70405469280796162</v>
      </c>
    </row>
    <row r="193" spans="1:7" x14ac:dyDescent="0.45">
      <c r="A193" s="3">
        <v>42646</v>
      </c>
      <c r="B193">
        <v>4453.5600000000004</v>
      </c>
      <c r="C193">
        <v>1.1914771168952676E-3</v>
      </c>
      <c r="D193">
        <v>0.50065781033713763</v>
      </c>
      <c r="E193">
        <v>1</v>
      </c>
      <c r="F193">
        <v>0.82654004114398605</v>
      </c>
      <c r="G193">
        <v>0.7042150865432546</v>
      </c>
    </row>
    <row r="194" spans="1:7" x14ac:dyDescent="0.45">
      <c r="A194" s="3">
        <v>42647</v>
      </c>
      <c r="B194">
        <v>4503.09</v>
      </c>
      <c r="C194">
        <v>1.112143992671033E-2</v>
      </c>
      <c r="D194">
        <v>0.50042131007734925</v>
      </c>
      <c r="E194">
        <v>1</v>
      </c>
      <c r="F194">
        <v>0.82661444566329956</v>
      </c>
      <c r="G194">
        <v>0.70427719882232132</v>
      </c>
    </row>
    <row r="195" spans="1:7" x14ac:dyDescent="0.45">
      <c r="A195" s="3">
        <v>42648</v>
      </c>
      <c r="B195">
        <v>4489.95</v>
      </c>
      <c r="C195">
        <v>-2.9179963092010874E-3</v>
      </c>
      <c r="D195">
        <v>0.50250804723110587</v>
      </c>
      <c r="E195">
        <v>1</v>
      </c>
      <c r="F195">
        <v>0.82591588660783233</v>
      </c>
      <c r="G195">
        <v>0.70420235985049084</v>
      </c>
    </row>
    <row r="196" spans="1:7" x14ac:dyDescent="0.45">
      <c r="A196" s="3">
        <v>42649</v>
      </c>
      <c r="B196">
        <v>4480.1000000000004</v>
      </c>
      <c r="C196">
        <v>-2.1937883495360966E-3</v>
      </c>
      <c r="D196">
        <v>0.50135542786288012</v>
      </c>
      <c r="E196">
        <v>1</v>
      </c>
      <c r="F196">
        <v>0.82609875442498737</v>
      </c>
      <c r="G196">
        <v>0.70350539068825935</v>
      </c>
    </row>
    <row r="197" spans="1:7" x14ac:dyDescent="0.45">
      <c r="A197" s="3">
        <v>42650</v>
      </c>
      <c r="B197">
        <v>4449.91</v>
      </c>
      <c r="C197">
        <v>-6.7386888685521118E-3</v>
      </c>
      <c r="D197">
        <v>0.49903372321380229</v>
      </c>
      <c r="E197">
        <v>-1</v>
      </c>
      <c r="F197">
        <v>0.82623560070989843</v>
      </c>
      <c r="G197">
        <v>0.7036874123287622</v>
      </c>
    </row>
    <row r="198" spans="1:7" x14ac:dyDescent="0.45">
      <c r="A198" s="3">
        <v>42653</v>
      </c>
      <c r="B198">
        <v>4497.26</v>
      </c>
      <c r="C198">
        <v>1.0640664642655784E-2</v>
      </c>
      <c r="D198">
        <v>0.49822213601964077</v>
      </c>
      <c r="E198">
        <v>-1</v>
      </c>
      <c r="F198">
        <v>0.82581294044043363</v>
      </c>
      <c r="G198">
        <v>0.703549814764451</v>
      </c>
    </row>
    <row r="199" spans="1:7" x14ac:dyDescent="0.45">
      <c r="A199" s="3">
        <v>42654</v>
      </c>
      <c r="B199">
        <v>4471.74</v>
      </c>
      <c r="C199">
        <v>-5.6745662914753359E-3</v>
      </c>
      <c r="D199">
        <v>0.50101154743282983</v>
      </c>
      <c r="E199">
        <v>1</v>
      </c>
      <c r="F199">
        <v>0.82514655618560606</v>
      </c>
      <c r="G199">
        <v>0.70397183315437217</v>
      </c>
    </row>
    <row r="200" spans="1:7" x14ac:dyDescent="0.45">
      <c r="A200" s="3">
        <v>42655</v>
      </c>
      <c r="B200">
        <v>4452.24</v>
      </c>
      <c r="C200">
        <v>-4.3607186464329484E-3</v>
      </c>
      <c r="D200">
        <v>0.50070209437885216</v>
      </c>
      <c r="E200">
        <v>1</v>
      </c>
      <c r="F200">
        <v>0.82550171388867799</v>
      </c>
      <c r="G200">
        <v>0.70330585908348642</v>
      </c>
    </row>
    <row r="201" spans="1:7" x14ac:dyDescent="0.45">
      <c r="A201" s="3">
        <v>42656</v>
      </c>
      <c r="B201">
        <v>4405.17</v>
      </c>
      <c r="C201">
        <v>-1.0572206350061952E-2</v>
      </c>
      <c r="D201">
        <v>0.4981023250026379</v>
      </c>
      <c r="E201">
        <v>-1</v>
      </c>
      <c r="F201">
        <v>0.82577322048971435</v>
      </c>
      <c r="G201">
        <v>0.70365916832700159</v>
      </c>
    </row>
    <row r="202" spans="1:7" x14ac:dyDescent="0.45">
      <c r="A202" s="3">
        <v>42657</v>
      </c>
      <c r="B202">
        <v>4470.92</v>
      </c>
      <c r="C202">
        <v>1.4925644186262854E-2</v>
      </c>
      <c r="D202">
        <v>0.49705035808272718</v>
      </c>
      <c r="E202">
        <v>-1</v>
      </c>
      <c r="F202">
        <v>0.8251085826961897</v>
      </c>
      <c r="G202">
        <v>0.70338502513272594</v>
      </c>
    </row>
    <row r="203" spans="1:7" x14ac:dyDescent="0.45">
      <c r="A203" s="3">
        <v>42660</v>
      </c>
      <c r="B203">
        <v>4450.2299999999996</v>
      </c>
      <c r="C203">
        <v>-4.6276828930065239E-3</v>
      </c>
      <c r="D203">
        <v>0.50121973395322139</v>
      </c>
      <c r="E203">
        <v>1</v>
      </c>
      <c r="F203">
        <v>0.82417345983512746</v>
      </c>
      <c r="G203">
        <v>0.70404739599769062</v>
      </c>
    </row>
    <row r="204" spans="1:7" x14ac:dyDescent="0.45">
      <c r="A204" s="3">
        <v>42661</v>
      </c>
      <c r="B204">
        <v>4508.91</v>
      </c>
      <c r="C204">
        <v>1.3185835338847651E-2</v>
      </c>
      <c r="D204">
        <v>0.50167358062547196</v>
      </c>
      <c r="E204">
        <v>1</v>
      </c>
      <c r="F204">
        <v>0.82388520098390927</v>
      </c>
      <c r="G204">
        <v>0.70497711593449219</v>
      </c>
    </row>
    <row r="205" spans="1:7" x14ac:dyDescent="0.45">
      <c r="A205" s="3">
        <v>42662</v>
      </c>
      <c r="B205">
        <v>4520.3</v>
      </c>
      <c r="C205">
        <v>2.5261094144706231E-3</v>
      </c>
      <c r="D205">
        <v>0.50190029186510121</v>
      </c>
      <c r="E205">
        <v>1</v>
      </c>
      <c r="F205">
        <v>0.82470617171700256</v>
      </c>
      <c r="G205">
        <v>0.70468898915908784</v>
      </c>
    </row>
    <row r="206" spans="1:7" x14ac:dyDescent="0.45">
      <c r="A206" s="3">
        <v>42663</v>
      </c>
      <c r="B206">
        <v>4540.12</v>
      </c>
      <c r="C206">
        <v>4.3846647346414969E-3</v>
      </c>
      <c r="D206">
        <v>0.50284377208598219</v>
      </c>
      <c r="E206">
        <v>1</v>
      </c>
      <c r="F206">
        <v>0.82486315051733772</v>
      </c>
      <c r="G206">
        <v>0.70550839017198597</v>
      </c>
    </row>
    <row r="207" spans="1:7" x14ac:dyDescent="0.45">
      <c r="A207" s="3">
        <v>42664</v>
      </c>
      <c r="B207">
        <v>4536.07</v>
      </c>
      <c r="C207">
        <v>-8.92046906249222E-4</v>
      </c>
      <c r="D207">
        <v>0.50134973165978658</v>
      </c>
      <c r="E207">
        <v>1</v>
      </c>
      <c r="F207">
        <v>0.82458837120868089</v>
      </c>
      <c r="G207">
        <v>0.70535008329095683</v>
      </c>
    </row>
    <row r="208" spans="1:7" x14ac:dyDescent="0.45">
      <c r="A208" s="3">
        <v>42667</v>
      </c>
      <c r="B208">
        <v>4552.58</v>
      </c>
      <c r="C208">
        <v>3.6397145546696041E-3</v>
      </c>
      <c r="D208">
        <v>0.50058928775973077</v>
      </c>
      <c r="E208">
        <v>1</v>
      </c>
      <c r="F208">
        <v>0.8245326840634325</v>
      </c>
      <c r="G208">
        <v>0.70562380147800852</v>
      </c>
    </row>
    <row r="209" spans="1:7" x14ac:dyDescent="0.45">
      <c r="A209" s="3">
        <v>42668</v>
      </c>
      <c r="B209">
        <v>4540.84</v>
      </c>
      <c r="C209">
        <v>-2.5787575396807316E-3</v>
      </c>
      <c r="D209">
        <v>0.50059290324257433</v>
      </c>
      <c r="E209">
        <v>1</v>
      </c>
      <c r="F209">
        <v>0.82430493247419589</v>
      </c>
      <c r="G209">
        <v>0.70567962044334775</v>
      </c>
    </row>
    <row r="210" spans="1:7" x14ac:dyDescent="0.45">
      <c r="A210" s="3">
        <v>42669</v>
      </c>
      <c r="B210">
        <v>4534.59</v>
      </c>
      <c r="C210">
        <v>-1.3763973185577649E-3</v>
      </c>
      <c r="D210">
        <v>0.5001106974546532</v>
      </c>
      <c r="E210">
        <v>1</v>
      </c>
      <c r="F210">
        <v>0.82446614049526123</v>
      </c>
      <c r="G210">
        <v>0.70545208793144143</v>
      </c>
    </row>
    <row r="211" spans="1:7" x14ac:dyDescent="0.45">
      <c r="A211" s="3">
        <v>42670</v>
      </c>
      <c r="B211">
        <v>4533.57</v>
      </c>
      <c r="C211">
        <v>-2.2493764596143162E-4</v>
      </c>
      <c r="D211">
        <v>0.49926150481809589</v>
      </c>
      <c r="E211">
        <v>-1</v>
      </c>
      <c r="F211">
        <v>0.82455203808243649</v>
      </c>
      <c r="G211">
        <v>0.70561302187659092</v>
      </c>
    </row>
    <row r="212" spans="1:7" x14ac:dyDescent="0.45">
      <c r="A212" s="3">
        <v>42671</v>
      </c>
      <c r="B212">
        <v>4548.58</v>
      </c>
      <c r="C212">
        <v>3.3108565655763922E-3</v>
      </c>
      <c r="D212">
        <v>0.49971083086582274</v>
      </c>
      <c r="E212">
        <v>-1</v>
      </c>
      <c r="F212">
        <v>0.82453797135364082</v>
      </c>
      <c r="G212">
        <v>0.70552694732151822</v>
      </c>
    </row>
    <row r="213" spans="1:7" x14ac:dyDescent="0.45">
      <c r="A213" s="3">
        <v>42674</v>
      </c>
      <c r="B213">
        <v>4509.26</v>
      </c>
      <c r="C213">
        <v>-8.6444560720048136E-3</v>
      </c>
      <c r="D213">
        <v>0.50064280649218862</v>
      </c>
      <c r="E213">
        <v>1</v>
      </c>
      <c r="F213">
        <v>0.82433077713073177</v>
      </c>
      <c r="G213">
        <v>0.70554102397504725</v>
      </c>
    </row>
    <row r="214" spans="1:7" x14ac:dyDescent="0.45">
      <c r="A214" s="3">
        <v>42675</v>
      </c>
      <c r="B214">
        <v>4470.28</v>
      </c>
      <c r="C214">
        <v>-8.6444338982450963E-3</v>
      </c>
      <c r="D214">
        <v>0.49880251577449808</v>
      </c>
      <c r="E214">
        <v>-1</v>
      </c>
      <c r="F214">
        <v>0.82486975859371159</v>
      </c>
      <c r="G214">
        <v>0.70533459221108585</v>
      </c>
    </row>
    <row r="215" spans="1:7" x14ac:dyDescent="0.45">
      <c r="A215" s="3">
        <v>42676</v>
      </c>
      <c r="B215">
        <v>4414.67</v>
      </c>
      <c r="C215">
        <v>-1.2439936648263594E-2</v>
      </c>
      <c r="D215">
        <v>0.49669310671784983</v>
      </c>
      <c r="E215">
        <v>-1</v>
      </c>
      <c r="F215">
        <v>0.82540643895821153</v>
      </c>
      <c r="G215">
        <v>0.70587127395221982</v>
      </c>
    </row>
    <row r="216" spans="1:7" x14ac:dyDescent="0.45">
      <c r="A216" s="3">
        <v>42677</v>
      </c>
      <c r="B216">
        <v>4411.68</v>
      </c>
      <c r="C216">
        <v>-6.7728731705873901E-4</v>
      </c>
      <c r="D216">
        <v>0.49590762604200322</v>
      </c>
      <c r="E216">
        <v>-1</v>
      </c>
      <c r="F216">
        <v>0.8261775197313932</v>
      </c>
      <c r="G216">
        <v>0.70640709314185424</v>
      </c>
    </row>
    <row r="217" spans="1:7" x14ac:dyDescent="0.45">
      <c r="A217" s="3">
        <v>42678</v>
      </c>
      <c r="B217">
        <v>4377.46</v>
      </c>
      <c r="C217">
        <v>-7.7566822616328412E-3</v>
      </c>
      <c r="D217">
        <v>0.49766321225325499</v>
      </c>
      <c r="E217">
        <v>-1</v>
      </c>
      <c r="F217">
        <v>0.82621965143384768</v>
      </c>
      <c r="G217">
        <v>0.70718093859298969</v>
      </c>
    </row>
    <row r="218" spans="1:7" x14ac:dyDescent="0.45">
      <c r="A218" s="3">
        <v>42681</v>
      </c>
      <c r="B218">
        <v>4461.21</v>
      </c>
      <c r="C218">
        <v>1.9132099436659722E-2</v>
      </c>
      <c r="D218">
        <v>0.49827808480856867</v>
      </c>
      <c r="E218">
        <v>-1</v>
      </c>
      <c r="F218">
        <v>0.82573319501829379</v>
      </c>
      <c r="G218">
        <v>0.70713846286052529</v>
      </c>
    </row>
    <row r="219" spans="1:7" x14ac:dyDescent="0.45">
      <c r="A219" s="3">
        <v>42682</v>
      </c>
      <c r="B219">
        <v>4476.8900000000003</v>
      </c>
      <c r="C219">
        <v>3.5147415163152562E-3</v>
      </c>
      <c r="D219">
        <v>0.50257821745501108</v>
      </c>
      <c r="E219">
        <v>1</v>
      </c>
      <c r="F219">
        <v>0.82692275376418967</v>
      </c>
      <c r="G219">
        <v>0.70665618284447118</v>
      </c>
    </row>
    <row r="220" spans="1:7" x14ac:dyDescent="0.45">
      <c r="A220" s="3">
        <v>42683</v>
      </c>
      <c r="B220">
        <v>4543.4799999999996</v>
      </c>
      <c r="C220">
        <v>1.4874164877850315E-2</v>
      </c>
      <c r="D220">
        <v>0.50410646668887804</v>
      </c>
      <c r="E220">
        <v>1</v>
      </c>
      <c r="F220">
        <v>0.82714060626720165</v>
      </c>
      <c r="G220">
        <v>0.70784203839908388</v>
      </c>
    </row>
    <row r="221" spans="1:7" x14ac:dyDescent="0.45">
      <c r="A221" s="3">
        <v>42684</v>
      </c>
      <c r="B221">
        <v>4530.95</v>
      </c>
      <c r="C221">
        <v>-2.757797987445687E-3</v>
      </c>
      <c r="D221">
        <v>0.50369765947707501</v>
      </c>
      <c r="E221">
        <v>1</v>
      </c>
      <c r="F221">
        <v>0.82620414723118663</v>
      </c>
      <c r="G221">
        <v>0.70762075461749074</v>
      </c>
    </row>
    <row r="222" spans="1:7" x14ac:dyDescent="0.45">
      <c r="A222" s="3">
        <v>42685</v>
      </c>
      <c r="B222">
        <v>4489.2700000000004</v>
      </c>
      <c r="C222">
        <v>-9.1989538617728295E-3</v>
      </c>
      <c r="D222">
        <v>0.50206167922577805</v>
      </c>
      <c r="E222">
        <v>1</v>
      </c>
      <c r="F222">
        <v>0.82637721737465109</v>
      </c>
      <c r="G222">
        <v>0.70668730196394502</v>
      </c>
    </row>
    <row r="223" spans="1:7" x14ac:dyDescent="0.45">
      <c r="A223" s="3">
        <v>42688</v>
      </c>
      <c r="B223">
        <v>4508.55</v>
      </c>
      <c r="C223">
        <v>4.294684881951838E-3</v>
      </c>
      <c r="D223">
        <v>0.49761234147082078</v>
      </c>
      <c r="E223">
        <v>-1</v>
      </c>
      <c r="F223">
        <v>0.82579955043642617</v>
      </c>
      <c r="G223">
        <v>0.70651412045400497</v>
      </c>
    </row>
    <row r="224" spans="1:7" x14ac:dyDescent="0.45">
      <c r="A224" s="3">
        <v>42689</v>
      </c>
      <c r="B224">
        <v>4536.53</v>
      </c>
      <c r="C224">
        <v>6.2059864036108081E-3</v>
      </c>
      <c r="D224">
        <v>0.49926184004828755</v>
      </c>
      <c r="E224">
        <v>-1</v>
      </c>
      <c r="F224">
        <v>0.82606836392621052</v>
      </c>
      <c r="G224">
        <v>0.70593833830515862</v>
      </c>
    </row>
    <row r="225" spans="1:7" x14ac:dyDescent="0.45">
      <c r="A225" s="3">
        <v>42690</v>
      </c>
      <c r="B225">
        <v>4501.1400000000003</v>
      </c>
      <c r="C225">
        <v>-7.8011167125533465E-3</v>
      </c>
      <c r="D225">
        <v>0.50203957662340348</v>
      </c>
      <c r="E225">
        <v>1</v>
      </c>
      <c r="F225">
        <v>0.82567891405824112</v>
      </c>
      <c r="G225">
        <v>0.70566883006722991</v>
      </c>
    </row>
    <row r="226" spans="1:7" x14ac:dyDescent="0.45">
      <c r="A226" s="3">
        <v>42691</v>
      </c>
      <c r="B226">
        <v>4527.7700000000004</v>
      </c>
      <c r="C226">
        <v>5.9162789871010091E-3</v>
      </c>
      <c r="D226">
        <v>0.49948453857990788</v>
      </c>
      <c r="E226">
        <v>-1</v>
      </c>
      <c r="F226">
        <v>0.82519084213559346</v>
      </c>
      <c r="G226">
        <v>0.7060571036731178</v>
      </c>
    </row>
    <row r="227" spans="1:7" x14ac:dyDescent="0.45">
      <c r="A227" s="3">
        <v>42692</v>
      </c>
      <c r="B227">
        <v>4504.3500000000004</v>
      </c>
      <c r="C227">
        <v>-5.1725242227410595E-3</v>
      </c>
      <c r="D227">
        <v>0.49984350634715852</v>
      </c>
      <c r="E227">
        <v>-1</v>
      </c>
      <c r="F227">
        <v>0.82482119046762481</v>
      </c>
      <c r="G227">
        <v>0.70654452081674812</v>
      </c>
    </row>
    <row r="228" spans="1:7" x14ac:dyDescent="0.45">
      <c r="A228" s="3">
        <v>42695</v>
      </c>
      <c r="B228">
        <v>4529.58</v>
      </c>
      <c r="C228">
        <v>5.6012521229478196E-3</v>
      </c>
      <c r="D228">
        <v>0.49997842672872234</v>
      </c>
      <c r="E228">
        <v>-1</v>
      </c>
      <c r="F228">
        <v>0.82449789375577187</v>
      </c>
      <c r="G228">
        <v>0.70691430420694001</v>
      </c>
    </row>
    <row r="229" spans="1:7" x14ac:dyDescent="0.45">
      <c r="A229" s="3">
        <v>42696</v>
      </c>
      <c r="B229">
        <v>4548.3500000000004</v>
      </c>
      <c r="C229">
        <v>4.1438720587780864E-3</v>
      </c>
      <c r="D229">
        <v>0.50024042228543375</v>
      </c>
      <c r="E229">
        <v>1</v>
      </c>
      <c r="F229">
        <v>0.8248478035993233</v>
      </c>
      <c r="G229">
        <v>0.70659117696649132</v>
      </c>
    </row>
    <row r="230" spans="1:7" x14ac:dyDescent="0.45">
      <c r="A230" s="3">
        <v>42697</v>
      </c>
      <c r="B230">
        <v>4529.21</v>
      </c>
      <c r="C230">
        <v>-4.2081194279244283E-3</v>
      </c>
      <c r="D230">
        <v>0.50184395641426172</v>
      </c>
      <c r="E230">
        <v>1</v>
      </c>
      <c r="F230">
        <v>0.82458785999118023</v>
      </c>
      <c r="G230">
        <v>0.70623981242957856</v>
      </c>
    </row>
    <row r="231" spans="1:7" x14ac:dyDescent="0.45">
      <c r="A231" s="3">
        <v>42698</v>
      </c>
      <c r="B231">
        <v>4542.5600000000004</v>
      </c>
      <c r="C231">
        <v>2.9475338966398201E-3</v>
      </c>
      <c r="D231">
        <v>0.49986415081130886</v>
      </c>
      <c r="E231">
        <v>-1</v>
      </c>
      <c r="F231">
        <v>0.82432478108765417</v>
      </c>
      <c r="G231">
        <v>0.70649887478183537</v>
      </c>
    </row>
    <row r="232" spans="1:7" x14ac:dyDescent="0.45">
      <c r="A232" s="3">
        <v>42699</v>
      </c>
      <c r="B232">
        <v>4550.2700000000004</v>
      </c>
      <c r="C232">
        <v>1.6972808284314578E-3</v>
      </c>
      <c r="D232">
        <v>0.49986417340167111</v>
      </c>
      <c r="E232">
        <v>-1</v>
      </c>
      <c r="F232">
        <v>0.82450905198678359</v>
      </c>
      <c r="G232">
        <v>0.7062357958901857</v>
      </c>
    </row>
    <row r="233" spans="1:7" x14ac:dyDescent="0.45">
      <c r="A233" s="3">
        <v>42702</v>
      </c>
      <c r="B233">
        <v>4510.3900000000003</v>
      </c>
      <c r="C233">
        <v>-8.7643150845994056E-3</v>
      </c>
      <c r="D233">
        <v>0.50087026845973437</v>
      </c>
      <c r="E233">
        <v>1</v>
      </c>
      <c r="F233">
        <v>0.82440278762068564</v>
      </c>
      <c r="G233">
        <v>0.70605125493748544</v>
      </c>
    </row>
    <row r="234" spans="1:7" x14ac:dyDescent="0.45">
      <c r="A234" s="3">
        <v>42703</v>
      </c>
      <c r="B234">
        <v>4551.46</v>
      </c>
      <c r="C234">
        <v>9.1056427492965941E-3</v>
      </c>
      <c r="D234">
        <v>0.49849326492880441</v>
      </c>
      <c r="E234">
        <v>-1</v>
      </c>
      <c r="F234">
        <v>0.82385337222957178</v>
      </c>
      <c r="G234">
        <v>0.70615765369211503</v>
      </c>
    </row>
    <row r="235" spans="1:7" x14ac:dyDescent="0.45">
      <c r="A235" s="3">
        <v>42704</v>
      </c>
      <c r="B235">
        <v>4578.34</v>
      </c>
      <c r="C235">
        <v>5.9057972606593179E-3</v>
      </c>
      <c r="D235">
        <v>0.50032818153011338</v>
      </c>
      <c r="E235">
        <v>1</v>
      </c>
      <c r="F235">
        <v>0.82442210111841596</v>
      </c>
      <c r="G235">
        <v>0.7056102437709505</v>
      </c>
    </row>
    <row r="236" spans="1:7" x14ac:dyDescent="0.45">
      <c r="A236" s="3">
        <v>42705</v>
      </c>
      <c r="B236">
        <v>4560.6099999999997</v>
      </c>
      <c r="C236">
        <v>-3.8725826391226015E-3</v>
      </c>
      <c r="D236">
        <v>0.5028234461352562</v>
      </c>
      <c r="E236">
        <v>1</v>
      </c>
      <c r="F236">
        <v>0.82405091628856209</v>
      </c>
      <c r="G236">
        <v>0.70503794568731626</v>
      </c>
    </row>
    <row r="237" spans="1:7" x14ac:dyDescent="0.45">
      <c r="A237" s="3">
        <v>42706</v>
      </c>
      <c r="B237">
        <v>4528.82</v>
      </c>
      <c r="C237">
        <v>-6.9705587629724786E-3</v>
      </c>
      <c r="D237">
        <v>0.50024315145486453</v>
      </c>
      <c r="E237">
        <v>1</v>
      </c>
      <c r="F237">
        <v>0.82429307034925292</v>
      </c>
      <c r="G237">
        <v>0.70466865394545952</v>
      </c>
    </row>
    <row r="238" spans="1:7" x14ac:dyDescent="0.45">
      <c r="A238" s="3">
        <v>42709</v>
      </c>
      <c r="B238">
        <v>4574.32</v>
      </c>
      <c r="C238">
        <v>1.0046767149058722E-2</v>
      </c>
      <c r="D238">
        <v>0.49788134496004754</v>
      </c>
      <c r="E238">
        <v>-1</v>
      </c>
      <c r="F238">
        <v>0.82385557225571571</v>
      </c>
      <c r="G238">
        <v>0.70442559631130242</v>
      </c>
    </row>
    <row r="239" spans="1:7" x14ac:dyDescent="0.45">
      <c r="A239" s="3">
        <v>42710</v>
      </c>
      <c r="B239">
        <v>4631.9399999999996</v>
      </c>
      <c r="C239">
        <v>1.2596407772084151E-2</v>
      </c>
      <c r="D239">
        <v>0.50084171047630865</v>
      </c>
      <c r="E239">
        <v>1</v>
      </c>
      <c r="F239">
        <v>0.82448243636740748</v>
      </c>
      <c r="G239">
        <v>0.70399067102019963</v>
      </c>
    </row>
    <row r="240" spans="1:7" x14ac:dyDescent="0.45">
      <c r="A240" s="3">
        <v>42711</v>
      </c>
      <c r="B240">
        <v>4694.72</v>
      </c>
      <c r="C240">
        <v>1.355371615349088E-2</v>
      </c>
      <c r="D240">
        <v>0.50436447597415901</v>
      </c>
      <c r="E240">
        <v>1</v>
      </c>
      <c r="F240">
        <v>0.82526278030075129</v>
      </c>
      <c r="G240">
        <v>0.7046130654310776</v>
      </c>
    </row>
    <row r="241" spans="1:7" x14ac:dyDescent="0.45">
      <c r="A241" s="3">
        <v>42712</v>
      </c>
      <c r="B241">
        <v>4735.4799999999996</v>
      </c>
      <c r="C241">
        <v>8.6820939267941988E-3</v>
      </c>
      <c r="D241">
        <v>0.50501507455366246</v>
      </c>
      <c r="E241">
        <v>1</v>
      </c>
      <c r="F241">
        <v>0.82610130658072656</v>
      </c>
      <c r="G241">
        <v>0.70539236601776267</v>
      </c>
    </row>
    <row r="242" spans="1:7" x14ac:dyDescent="0.45">
      <c r="A242" s="3">
        <v>42713</v>
      </c>
      <c r="B242">
        <v>4764.07</v>
      </c>
      <c r="C242">
        <v>6.0374027553702359E-3</v>
      </c>
      <c r="D242">
        <v>0.50418314665696373</v>
      </c>
      <c r="E242">
        <v>1</v>
      </c>
      <c r="F242">
        <v>0.82663935997851745</v>
      </c>
      <c r="G242">
        <v>0.70623232733246044</v>
      </c>
    </row>
    <row r="243" spans="1:7" x14ac:dyDescent="0.45">
      <c r="A243" s="3">
        <v>42716</v>
      </c>
      <c r="B243">
        <v>4760.7700000000004</v>
      </c>
      <c r="C243">
        <v>-6.9268503611397136E-4</v>
      </c>
      <c r="D243">
        <v>0.50278055387315745</v>
      </c>
      <c r="E243">
        <v>1</v>
      </c>
      <c r="F243">
        <v>0.82625993562526479</v>
      </c>
      <c r="G243">
        <v>0.70568669570798037</v>
      </c>
    </row>
    <row r="244" spans="1:7" x14ac:dyDescent="0.45">
      <c r="A244" s="3">
        <v>42717</v>
      </c>
      <c r="B244">
        <v>4803.87</v>
      </c>
      <c r="C244">
        <v>9.0531573674006438E-3</v>
      </c>
      <c r="D244">
        <v>0.50092204318175126</v>
      </c>
      <c r="E244">
        <v>1</v>
      </c>
      <c r="F244">
        <v>0.82621672279314939</v>
      </c>
      <c r="G244">
        <v>0.70606333625610651</v>
      </c>
    </row>
    <row r="245" spans="1:7" x14ac:dyDescent="0.45">
      <c r="A245" s="3">
        <v>42718</v>
      </c>
      <c r="B245">
        <v>4769.24</v>
      </c>
      <c r="C245">
        <v>-7.2087712615037658E-3</v>
      </c>
      <c r="D245">
        <v>0.5017476905082312</v>
      </c>
      <c r="E245">
        <v>1</v>
      </c>
      <c r="F245">
        <v>0.8256489296302415</v>
      </c>
      <c r="G245">
        <v>0.70610677986495951</v>
      </c>
    </row>
    <row r="246" spans="1:7" x14ac:dyDescent="0.45">
      <c r="A246" s="3">
        <v>42719</v>
      </c>
      <c r="B246">
        <v>4819.2299999999996</v>
      </c>
      <c r="C246">
        <v>1.0481753906282698E-2</v>
      </c>
      <c r="D246">
        <v>0.50011014537829235</v>
      </c>
      <c r="E246">
        <v>1</v>
      </c>
      <c r="F246">
        <v>0.82519848069986157</v>
      </c>
      <c r="G246">
        <v>0.70667247752753948</v>
      </c>
    </row>
    <row r="247" spans="1:7" x14ac:dyDescent="0.45">
      <c r="A247" s="3">
        <v>42720</v>
      </c>
      <c r="B247">
        <v>4833.2700000000004</v>
      </c>
      <c r="C247">
        <v>2.9133284777860258E-3</v>
      </c>
      <c r="D247">
        <v>0.50088882085158015</v>
      </c>
      <c r="E247">
        <v>1</v>
      </c>
      <c r="F247">
        <v>0.82585242370235212</v>
      </c>
      <c r="G247">
        <v>0.70622273165817784</v>
      </c>
    </row>
    <row r="248" spans="1:7" x14ac:dyDescent="0.45">
      <c r="A248" s="3">
        <v>42723</v>
      </c>
      <c r="B248">
        <v>4822.7700000000004</v>
      </c>
      <c r="C248">
        <v>-2.1724422595882364E-3</v>
      </c>
      <c r="D248">
        <v>0.50245208840653544</v>
      </c>
      <c r="E248">
        <v>1</v>
      </c>
      <c r="F248">
        <v>0.82566945210586395</v>
      </c>
      <c r="G248">
        <v>0.70556442509891004</v>
      </c>
    </row>
    <row r="249" spans="1:7" x14ac:dyDescent="0.45">
      <c r="A249" s="3">
        <v>42724</v>
      </c>
      <c r="B249">
        <v>4849.8900000000003</v>
      </c>
      <c r="C249">
        <v>5.6233243550904977E-3</v>
      </c>
      <c r="D249">
        <v>0.50006545543021297</v>
      </c>
      <c r="E249">
        <v>1</v>
      </c>
      <c r="F249">
        <v>0.82553369224173412</v>
      </c>
      <c r="G249">
        <v>0.70574648428900544</v>
      </c>
    </row>
    <row r="250" spans="1:7" x14ac:dyDescent="0.45">
      <c r="A250" s="3">
        <v>42725</v>
      </c>
      <c r="B250">
        <v>4833.82</v>
      </c>
      <c r="C250">
        <v>-3.3134772128853296E-3</v>
      </c>
      <c r="D250">
        <v>0.50077726193152949</v>
      </c>
      <c r="E250">
        <v>1</v>
      </c>
      <c r="F250">
        <v>0.82518168897068078</v>
      </c>
      <c r="G250">
        <v>0.70588247267119031</v>
      </c>
    </row>
    <row r="251" spans="1:7" x14ac:dyDescent="0.45">
      <c r="A251" s="3">
        <v>42726</v>
      </c>
      <c r="B251">
        <v>4834.63</v>
      </c>
      <c r="C251">
        <v>1.6756933439809885E-4</v>
      </c>
      <c r="D251">
        <v>0.50030879630511671</v>
      </c>
      <c r="E251">
        <v>1</v>
      </c>
      <c r="F251">
        <v>0.82497472462250598</v>
      </c>
      <c r="G251">
        <v>0.70623371325169004</v>
      </c>
    </row>
    <row r="252" spans="1:7" x14ac:dyDescent="0.45">
      <c r="A252" s="3">
        <v>42727</v>
      </c>
      <c r="B252">
        <v>4839.68</v>
      </c>
      <c r="C252">
        <v>1.0445473593636567E-3</v>
      </c>
      <c r="D252">
        <v>0.49944953800981029</v>
      </c>
      <c r="E252">
        <v>-1</v>
      </c>
      <c r="F252">
        <v>0.82498520922326679</v>
      </c>
      <c r="G252">
        <v>0.70602639318425631</v>
      </c>
    </row>
    <row r="253" spans="1:7" x14ac:dyDescent="0.45">
      <c r="A253" s="3">
        <v>42731</v>
      </c>
      <c r="B253">
        <v>4848.28</v>
      </c>
      <c r="C253">
        <v>1.7769769902140631E-3</v>
      </c>
      <c r="D253">
        <v>0.50024501110403452</v>
      </c>
      <c r="E253">
        <v>1</v>
      </c>
      <c r="F253">
        <v>0.82505046142684579</v>
      </c>
      <c r="G253">
        <v>0.70603686113309916</v>
      </c>
    </row>
    <row r="254" spans="1:7" x14ac:dyDescent="0.45">
      <c r="A254" s="3">
        <v>42732</v>
      </c>
      <c r="B254">
        <v>4848.01</v>
      </c>
      <c r="C254">
        <v>-5.5689852896168013E-5</v>
      </c>
      <c r="D254">
        <v>0.50055089593323843</v>
      </c>
      <c r="E254">
        <v>1</v>
      </c>
      <c r="F254">
        <v>0.82493927813375334</v>
      </c>
      <c r="G254">
        <v>0.70597150507286621</v>
      </c>
    </row>
    <row r="255" spans="1:7" x14ac:dyDescent="0.45">
      <c r="A255" s="3">
        <v>42733</v>
      </c>
      <c r="B255">
        <v>4838.47</v>
      </c>
      <c r="C255">
        <v>-1.9678177231482463E-3</v>
      </c>
      <c r="D255">
        <v>0.50030213855652805</v>
      </c>
      <c r="E255">
        <v>1</v>
      </c>
      <c r="F255">
        <v>0.82494276085154405</v>
      </c>
      <c r="G255">
        <v>0.70586037693989856</v>
      </c>
    </row>
    <row r="256" spans="1:7" x14ac:dyDescent="0.45">
      <c r="A256" s="3">
        <v>42734</v>
      </c>
      <c r="B256">
        <v>4862.3100000000004</v>
      </c>
      <c r="C256">
        <v>4.9271773928536433E-3</v>
      </c>
      <c r="D256">
        <v>0.49958433853426842</v>
      </c>
      <c r="E256">
        <v>-1</v>
      </c>
      <c r="F256">
        <v>0.82481967008566526</v>
      </c>
      <c r="G256">
        <v>0.7058568934329843</v>
      </c>
    </row>
    <row r="257" spans="1:7" x14ac:dyDescent="0.45">
      <c r="A257" s="3">
        <v>42737</v>
      </c>
      <c r="B257">
        <v>4882.38</v>
      </c>
      <c r="C257">
        <v>4.1276677134940432E-3</v>
      </c>
      <c r="D257">
        <v>0.50066875838288838</v>
      </c>
      <c r="E257">
        <v>1</v>
      </c>
      <c r="F257">
        <v>0.82512720623615232</v>
      </c>
      <c r="G257">
        <v>0.7057340695443387</v>
      </c>
    </row>
    <row r="258" spans="1:7" x14ac:dyDescent="0.45">
      <c r="A258" s="3">
        <v>42738</v>
      </c>
      <c r="B258">
        <v>4899.33</v>
      </c>
      <c r="C258">
        <v>3.4716675064210278E-3</v>
      </c>
      <c r="D258">
        <v>0.50172077517656011</v>
      </c>
      <c r="E258">
        <v>1</v>
      </c>
      <c r="F258">
        <v>0.82538429457466889</v>
      </c>
      <c r="G258">
        <v>0.70604095467595052</v>
      </c>
    </row>
    <row r="259" spans="1:7" x14ac:dyDescent="0.45">
      <c r="A259" s="3">
        <v>42739</v>
      </c>
      <c r="B259">
        <v>4899.3999999999996</v>
      </c>
      <c r="C259">
        <v>1.4287667905454882E-5</v>
      </c>
      <c r="D259">
        <v>0.50144493654978295</v>
      </c>
      <c r="E259">
        <v>1</v>
      </c>
      <c r="F259">
        <v>0.8256006449445753</v>
      </c>
      <c r="G259">
        <v>0.70629818623254792</v>
      </c>
    </row>
    <row r="260" spans="1:7" x14ac:dyDescent="0.45">
      <c r="A260" s="3">
        <v>42740</v>
      </c>
      <c r="B260">
        <v>4900.6400000000003</v>
      </c>
      <c r="C260">
        <v>2.530922153733961E-4</v>
      </c>
      <c r="D260">
        <v>0.5006159567811117</v>
      </c>
      <c r="E260">
        <v>1</v>
      </c>
      <c r="F260">
        <v>0.82560153682239268</v>
      </c>
      <c r="G260">
        <v>0.70651489782317201</v>
      </c>
    </row>
    <row r="261" spans="1:7" x14ac:dyDescent="0.45">
      <c r="A261" s="3">
        <v>42741</v>
      </c>
      <c r="B261">
        <v>4909.84</v>
      </c>
      <c r="C261">
        <v>1.8773058212804283E-3</v>
      </c>
      <c r="D261">
        <v>0.50005476194283116</v>
      </c>
      <c r="E261">
        <v>1</v>
      </c>
      <c r="F261">
        <v>0.82561735335318609</v>
      </c>
      <c r="G261">
        <v>0.7065157907046028</v>
      </c>
    </row>
    <row r="262" spans="1:7" x14ac:dyDescent="0.45">
      <c r="A262" s="3">
        <v>42744</v>
      </c>
      <c r="B262">
        <v>4887.57</v>
      </c>
      <c r="C262">
        <v>-4.5357893536246419E-3</v>
      </c>
      <c r="D262">
        <v>0.50043218736993111</v>
      </c>
      <c r="E262">
        <v>1</v>
      </c>
      <c r="F262">
        <v>0.8254999204086122</v>
      </c>
      <c r="G262">
        <v>0.70649995878006333</v>
      </c>
    </row>
    <row r="263" spans="1:7" x14ac:dyDescent="0.45">
      <c r="A263" s="3">
        <v>42745</v>
      </c>
      <c r="B263">
        <v>4888.2299999999996</v>
      </c>
      <c r="C263">
        <v>1.3503642914569625E-4</v>
      </c>
      <c r="D263">
        <v>0.49939550597825649</v>
      </c>
      <c r="E263">
        <v>-1</v>
      </c>
      <c r="F263">
        <v>0.82521609125667716</v>
      </c>
      <c r="G263">
        <v>0.70661743207470629</v>
      </c>
    </row>
    <row r="264" spans="1:7" x14ac:dyDescent="0.45">
      <c r="A264" s="3">
        <v>42746</v>
      </c>
      <c r="B264">
        <v>4888.71</v>
      </c>
      <c r="C264">
        <v>9.8195052196992094E-5</v>
      </c>
      <c r="D264">
        <v>0.49922659221901589</v>
      </c>
      <c r="E264">
        <v>-1</v>
      </c>
      <c r="F264">
        <v>0.82522454406805235</v>
      </c>
      <c r="G264">
        <v>0.70633350741758805</v>
      </c>
    </row>
    <row r="265" spans="1:7" x14ac:dyDescent="0.45">
      <c r="A265" s="3">
        <v>42747</v>
      </c>
      <c r="B265">
        <v>4863.97</v>
      </c>
      <c r="C265">
        <v>-5.0606397188623919E-3</v>
      </c>
      <c r="D265">
        <v>0.50004410343033723</v>
      </c>
      <c r="E265">
        <v>1</v>
      </c>
      <c r="F265">
        <v>0.82521840633599541</v>
      </c>
      <c r="G265">
        <v>0.70632506689638586</v>
      </c>
    </row>
    <row r="266" spans="1:7" x14ac:dyDescent="0.45">
      <c r="A266" s="3">
        <v>42748</v>
      </c>
      <c r="B266">
        <v>4922.49</v>
      </c>
      <c r="C266">
        <v>1.2031324206358107E-2</v>
      </c>
      <c r="D266">
        <v>0.49897330758872488</v>
      </c>
      <c r="E266">
        <v>-1</v>
      </c>
      <c r="F266">
        <v>0.8249014682248571</v>
      </c>
      <c r="G266">
        <v>0.70633121666323262</v>
      </c>
    </row>
    <row r="267" spans="1:7" x14ac:dyDescent="0.45">
      <c r="A267" s="3">
        <v>42751</v>
      </c>
      <c r="B267">
        <v>4882.18</v>
      </c>
      <c r="C267">
        <v>-8.1889450257897067E-3</v>
      </c>
      <c r="D267">
        <v>0.50158753696346325</v>
      </c>
      <c r="E267">
        <v>1</v>
      </c>
      <c r="F267">
        <v>0.82414713054509869</v>
      </c>
      <c r="G267">
        <v>0.70664850769106502</v>
      </c>
    </row>
    <row r="268" spans="1:7" x14ac:dyDescent="0.45">
      <c r="A268" s="3">
        <v>42752</v>
      </c>
      <c r="B268">
        <v>4859.6899999999996</v>
      </c>
      <c r="C268">
        <v>-4.6065487138943206E-3</v>
      </c>
      <c r="D268">
        <v>0.5004382553254606</v>
      </c>
      <c r="E268">
        <v>1</v>
      </c>
      <c r="F268">
        <v>0.82465938782175385</v>
      </c>
      <c r="G268">
        <v>0.70589589140739306</v>
      </c>
    </row>
    <row r="269" spans="1:7" x14ac:dyDescent="0.45">
      <c r="A269" s="3">
        <v>42753</v>
      </c>
      <c r="B269">
        <v>4853.3999999999996</v>
      </c>
      <c r="C269">
        <v>-1.2943212427130035E-3</v>
      </c>
      <c r="D269">
        <v>0.49760517424053513</v>
      </c>
      <c r="E269">
        <v>-1</v>
      </c>
      <c r="F269">
        <v>0.82494591155795838</v>
      </c>
      <c r="G269">
        <v>0.70640523739939054</v>
      </c>
    </row>
    <row r="270" spans="1:7" x14ac:dyDescent="0.45">
      <c r="A270" s="3">
        <v>42754</v>
      </c>
      <c r="B270">
        <v>4841.1400000000003</v>
      </c>
      <c r="C270">
        <v>-2.5260642024146351E-3</v>
      </c>
      <c r="D270">
        <v>0.49891954289294199</v>
      </c>
      <c r="E270">
        <v>-1</v>
      </c>
      <c r="F270">
        <v>0.82502663145137745</v>
      </c>
      <c r="G270">
        <v>0.70669252320522002</v>
      </c>
    </row>
    <row r="271" spans="1:7" x14ac:dyDescent="0.45">
      <c r="A271" s="3">
        <v>42755</v>
      </c>
      <c r="B271">
        <v>4850.67</v>
      </c>
      <c r="C271">
        <v>1.9685445989994221E-3</v>
      </c>
      <c r="D271">
        <v>0.49925031121565111</v>
      </c>
      <c r="E271">
        <v>-1</v>
      </c>
      <c r="F271">
        <v>0.82486851607394163</v>
      </c>
      <c r="G271">
        <v>0.70661150701742115</v>
      </c>
    </row>
    <row r="272" spans="1:7" x14ac:dyDescent="0.45">
      <c r="A272" s="3">
        <v>42758</v>
      </c>
      <c r="B272">
        <v>4821.41</v>
      </c>
      <c r="C272">
        <v>-6.032156382520415E-3</v>
      </c>
      <c r="D272">
        <v>0.49995971110741494</v>
      </c>
      <c r="E272">
        <v>-1</v>
      </c>
      <c r="F272">
        <v>0.82474549195111313</v>
      </c>
      <c r="G272">
        <v>0.70676937330750589</v>
      </c>
    </row>
    <row r="273" spans="1:7" x14ac:dyDescent="0.45">
      <c r="A273" s="3">
        <v>42759</v>
      </c>
      <c r="B273">
        <v>4830.03</v>
      </c>
      <c r="C273">
        <v>1.7878587384188016E-3</v>
      </c>
      <c r="D273">
        <v>0.49910407927117856</v>
      </c>
      <c r="E273">
        <v>-1</v>
      </c>
      <c r="F273">
        <v>0.82436780784809549</v>
      </c>
      <c r="G273">
        <v>0.70689262740669967</v>
      </c>
    </row>
    <row r="274" spans="1:7" x14ac:dyDescent="0.45">
      <c r="A274" s="3">
        <v>42760</v>
      </c>
      <c r="B274">
        <v>4877.67</v>
      </c>
      <c r="C274">
        <v>9.8632927745792021E-3</v>
      </c>
      <c r="D274">
        <v>0.49930244203125529</v>
      </c>
      <c r="E274">
        <v>-1</v>
      </c>
      <c r="F274">
        <v>0.82447970469334475</v>
      </c>
      <c r="G274">
        <v>0.70651509239526411</v>
      </c>
    </row>
    <row r="275" spans="1:7" x14ac:dyDescent="0.45">
      <c r="A275" s="3">
        <v>42761</v>
      </c>
      <c r="B275">
        <v>4867.24</v>
      </c>
      <c r="C275">
        <v>-2.1383160402406176E-3</v>
      </c>
      <c r="D275">
        <v>0.50234879119658982</v>
      </c>
      <c r="E275">
        <v>1</v>
      </c>
      <c r="F275">
        <v>0.82386036671043528</v>
      </c>
      <c r="G275">
        <v>0.70640282878816185</v>
      </c>
    </row>
    <row r="276" spans="1:7" x14ac:dyDescent="0.45">
      <c r="A276" s="3">
        <v>42762</v>
      </c>
      <c r="B276">
        <v>4839.9799999999996</v>
      </c>
      <c r="C276">
        <v>-5.6007100533361776E-3</v>
      </c>
      <c r="D276">
        <v>0.50130144308090696</v>
      </c>
      <c r="E276">
        <v>1</v>
      </c>
      <c r="F276">
        <v>0.82399435841722513</v>
      </c>
      <c r="G276">
        <v>0.70578477261285266</v>
      </c>
    </row>
    <row r="277" spans="1:7" x14ac:dyDescent="0.45">
      <c r="A277" s="3">
        <v>42765</v>
      </c>
      <c r="B277">
        <v>4784.6400000000003</v>
      </c>
      <c r="C277">
        <v>-1.1433931545171472E-2</v>
      </c>
      <c r="D277">
        <v>0.49846896868829738</v>
      </c>
      <c r="E277">
        <v>-1</v>
      </c>
      <c r="F277">
        <v>0.82434332766570551</v>
      </c>
      <c r="G277">
        <v>0.7059180068875196</v>
      </c>
    </row>
    <row r="278" spans="1:7" x14ac:dyDescent="0.45">
      <c r="A278" s="3">
        <v>42766</v>
      </c>
      <c r="B278">
        <v>4748.8999999999996</v>
      </c>
      <c r="C278">
        <v>-7.4697364901018526E-3</v>
      </c>
      <c r="D278">
        <v>0.49665526807833033</v>
      </c>
      <c r="E278">
        <v>-1</v>
      </c>
      <c r="F278">
        <v>0.82505313619320897</v>
      </c>
      <c r="G278">
        <v>0.70626569409731499</v>
      </c>
    </row>
    <row r="279" spans="1:7" x14ac:dyDescent="0.45">
      <c r="A279" s="3">
        <v>42767</v>
      </c>
      <c r="B279">
        <v>4794.58</v>
      </c>
      <c r="C279">
        <v>9.6190696792941566E-3</v>
      </c>
      <c r="D279">
        <v>0.49644047935570912</v>
      </c>
      <c r="E279">
        <v>-1</v>
      </c>
      <c r="F279">
        <v>0.82458297790660384</v>
      </c>
      <c r="G279">
        <v>0.70554602243666653</v>
      </c>
    </row>
    <row r="280" spans="1:7" x14ac:dyDescent="0.45">
      <c r="A280" s="3">
        <v>42768</v>
      </c>
      <c r="B280">
        <v>4794.29</v>
      </c>
      <c r="C280">
        <v>-6.0484964272133901E-5</v>
      </c>
      <c r="D280">
        <v>0.50066536917014048</v>
      </c>
      <c r="E280">
        <v>1</v>
      </c>
      <c r="F280">
        <v>0.82398098708864276</v>
      </c>
      <c r="G280">
        <v>0.70601350140600072</v>
      </c>
    </row>
    <row r="281" spans="1:7" x14ac:dyDescent="0.45">
      <c r="A281" s="3">
        <v>42769</v>
      </c>
      <c r="B281">
        <v>4825.42</v>
      </c>
      <c r="C281">
        <v>6.4931407987418588E-3</v>
      </c>
      <c r="D281">
        <v>0.50168533226838552</v>
      </c>
      <c r="E281">
        <v>1</v>
      </c>
      <c r="F281">
        <v>0.82397721956333825</v>
      </c>
      <c r="G281">
        <v>0.70661266003754541</v>
      </c>
    </row>
    <row r="282" spans="1:7" x14ac:dyDescent="0.45">
      <c r="A282" s="3">
        <v>42772</v>
      </c>
      <c r="B282">
        <v>4778.08</v>
      </c>
      <c r="C282">
        <v>-9.81054498883005E-3</v>
      </c>
      <c r="D282">
        <v>0.50132686205030907</v>
      </c>
      <c r="E282">
        <v>1</v>
      </c>
      <c r="F282">
        <v>0.82357032419113252</v>
      </c>
      <c r="G282">
        <v>0.70661645035302034</v>
      </c>
    </row>
    <row r="283" spans="1:7" x14ac:dyDescent="0.45">
      <c r="A283" s="3">
        <v>42773</v>
      </c>
      <c r="B283">
        <v>4754.47</v>
      </c>
      <c r="C283">
        <v>-4.9413153400528209E-3</v>
      </c>
      <c r="D283">
        <v>0.49912712248322316</v>
      </c>
      <c r="E283">
        <v>-1</v>
      </c>
      <c r="F283">
        <v>0.82418241096197742</v>
      </c>
      <c r="G283">
        <v>0.70621133875232245</v>
      </c>
    </row>
    <row r="284" spans="1:7" x14ac:dyDescent="0.45">
      <c r="A284" s="3">
        <v>42774</v>
      </c>
      <c r="B284">
        <v>4766.6000000000004</v>
      </c>
      <c r="C284">
        <v>2.5512833186454031E-3</v>
      </c>
      <c r="D284">
        <v>0.49724981191017531</v>
      </c>
      <c r="E284">
        <v>-1</v>
      </c>
      <c r="F284">
        <v>0.82387188945474443</v>
      </c>
      <c r="G284">
        <v>0.70559482573765686</v>
      </c>
    </row>
    <row r="285" spans="1:7" x14ac:dyDescent="0.45">
      <c r="A285" s="3">
        <v>42775</v>
      </c>
      <c r="B285">
        <v>4826.24</v>
      </c>
      <c r="C285">
        <v>1.2512063105777571E-2</v>
      </c>
      <c r="D285">
        <v>0.49965384107330196</v>
      </c>
      <c r="E285">
        <v>-1</v>
      </c>
      <c r="F285">
        <v>0.82403145497936625</v>
      </c>
      <c r="G285">
        <v>0.70528577986697871</v>
      </c>
    </row>
    <row r="286" spans="1:7" x14ac:dyDescent="0.45">
      <c r="A286" s="3">
        <v>42776</v>
      </c>
      <c r="B286">
        <v>4828.32</v>
      </c>
      <c r="C286">
        <v>4.30977323962356E-4</v>
      </c>
      <c r="D286">
        <v>0.50302739235675487</v>
      </c>
      <c r="E286">
        <v>1</v>
      </c>
      <c r="F286">
        <v>0.82480869556294134</v>
      </c>
      <c r="G286">
        <v>0.70544426379714154</v>
      </c>
    </row>
    <row r="287" spans="1:7" x14ac:dyDescent="0.45">
      <c r="A287" s="3">
        <v>42779</v>
      </c>
      <c r="B287">
        <v>4888.1899999999996</v>
      </c>
      <c r="C287">
        <v>1.2399758093912583E-2</v>
      </c>
      <c r="D287">
        <v>0.50229549311996646</v>
      </c>
      <c r="E287">
        <v>1</v>
      </c>
      <c r="F287">
        <v>0.82483550741737421</v>
      </c>
      <c r="G287">
        <v>0.70622266116515808</v>
      </c>
    </row>
    <row r="288" spans="1:7" x14ac:dyDescent="0.45">
      <c r="A288" s="3">
        <v>42780</v>
      </c>
      <c r="B288">
        <v>4895.82</v>
      </c>
      <c r="C288">
        <v>1.5609049566405186E-3</v>
      </c>
      <c r="D288">
        <v>0.50263300733900029</v>
      </c>
      <c r="E288">
        <v>1</v>
      </c>
      <c r="F288">
        <v>0.82560638983862156</v>
      </c>
      <c r="G288">
        <v>0.70624945465907008</v>
      </c>
    </row>
    <row r="289" spans="1:7" x14ac:dyDescent="0.45">
      <c r="A289" s="3">
        <v>42781</v>
      </c>
      <c r="B289">
        <v>4924.8599999999997</v>
      </c>
      <c r="C289">
        <v>5.9315906222041637E-3</v>
      </c>
      <c r="D289">
        <v>0.50251148275242341</v>
      </c>
      <c r="E289">
        <v>1</v>
      </c>
      <c r="F289">
        <v>0.82570345392617062</v>
      </c>
      <c r="G289">
        <v>0.70702052736282039</v>
      </c>
    </row>
    <row r="290" spans="1:7" x14ac:dyDescent="0.45">
      <c r="A290" s="3">
        <v>42782</v>
      </c>
      <c r="B290">
        <v>4899.46</v>
      </c>
      <c r="C290">
        <v>-5.1575070154278313E-3</v>
      </c>
      <c r="D290">
        <v>0.50150032717443982</v>
      </c>
      <c r="E290">
        <v>1</v>
      </c>
      <c r="F290">
        <v>0.82533162044444963</v>
      </c>
      <c r="G290">
        <v>0.70692267895054284</v>
      </c>
    </row>
    <row r="291" spans="1:7" x14ac:dyDescent="0.45">
      <c r="A291" s="3">
        <v>42783</v>
      </c>
      <c r="B291">
        <v>4867.58</v>
      </c>
      <c r="C291">
        <v>-6.506839529254238E-3</v>
      </c>
      <c r="D291">
        <v>0.49998413057765273</v>
      </c>
      <c r="E291">
        <v>-1</v>
      </c>
      <c r="F291">
        <v>0.82565395440175704</v>
      </c>
      <c r="G291">
        <v>0.70655196630339312</v>
      </c>
    </row>
    <row r="292" spans="1:7" x14ac:dyDescent="0.45">
      <c r="A292" s="3">
        <v>42786</v>
      </c>
      <c r="B292">
        <v>4864.99</v>
      </c>
      <c r="C292">
        <v>-5.3209192247483106E-4</v>
      </c>
      <c r="D292">
        <v>0.49774590414303826</v>
      </c>
      <c r="E292">
        <v>-1</v>
      </c>
      <c r="F292">
        <v>0.82605879026436502</v>
      </c>
      <c r="G292">
        <v>0.70687285078073581</v>
      </c>
    </row>
    <row r="293" spans="1:7" x14ac:dyDescent="0.45">
      <c r="A293" s="3">
        <v>42787</v>
      </c>
      <c r="B293">
        <v>4888.76</v>
      </c>
      <c r="C293">
        <v>4.8859298785814964E-3</v>
      </c>
      <c r="D293">
        <v>0.49874024081129775</v>
      </c>
      <c r="E293">
        <v>-1</v>
      </c>
      <c r="F293">
        <v>0.82602545094238777</v>
      </c>
      <c r="G293">
        <v>0.70646515126687848</v>
      </c>
    </row>
    <row r="294" spans="1:7" x14ac:dyDescent="0.45">
      <c r="A294" s="3">
        <v>42788</v>
      </c>
      <c r="B294">
        <v>4895.88</v>
      </c>
      <c r="C294">
        <v>1.4564020324172589E-3</v>
      </c>
      <c r="D294">
        <v>0.50091499848627075</v>
      </c>
      <c r="E294">
        <v>1</v>
      </c>
      <c r="F294">
        <v>0.82633026171171298</v>
      </c>
      <c r="G294">
        <v>0.7064319564908027</v>
      </c>
    </row>
    <row r="295" spans="1:7" x14ac:dyDescent="0.45">
      <c r="A295" s="3">
        <v>42789</v>
      </c>
      <c r="B295">
        <v>4891.29</v>
      </c>
      <c r="C295">
        <v>-9.3752297850435706E-4</v>
      </c>
      <c r="D295">
        <v>0.50116375941750024</v>
      </c>
      <c r="E295">
        <v>1</v>
      </c>
      <c r="F295">
        <v>0.82623902521625148</v>
      </c>
      <c r="G295">
        <v>0.70612587677567573</v>
      </c>
    </row>
    <row r="296" spans="1:7" x14ac:dyDescent="0.45">
      <c r="A296" s="3">
        <v>42790</v>
      </c>
      <c r="B296">
        <v>4845.24</v>
      </c>
      <c r="C296">
        <v>-9.4146942831032643E-3</v>
      </c>
      <c r="D296">
        <v>0.50006344627220978</v>
      </c>
      <c r="E296">
        <v>1</v>
      </c>
      <c r="F296">
        <v>0.82629762783675664</v>
      </c>
      <c r="G296">
        <v>0.70603484009970552</v>
      </c>
    </row>
    <row r="297" spans="1:7" x14ac:dyDescent="0.45">
      <c r="A297" s="3">
        <v>42793</v>
      </c>
      <c r="B297">
        <v>4845.18</v>
      </c>
      <c r="C297">
        <v>-1.2383287515072006E-5</v>
      </c>
      <c r="D297">
        <v>0.49788969667098915</v>
      </c>
      <c r="E297">
        <v>-1</v>
      </c>
      <c r="F297">
        <v>0.82688355230930111</v>
      </c>
      <c r="G297">
        <v>0.70609318693924805</v>
      </c>
    </row>
    <row r="298" spans="1:7" x14ac:dyDescent="0.45">
      <c r="A298" s="3">
        <v>42794</v>
      </c>
      <c r="B298">
        <v>4858.58</v>
      </c>
      <c r="C298">
        <v>2.7656351260427758E-3</v>
      </c>
      <c r="D298">
        <v>0.49833553339167141</v>
      </c>
      <c r="E298">
        <v>-1</v>
      </c>
      <c r="F298">
        <v>0.82688277578599068</v>
      </c>
      <c r="G298">
        <v>0.70550281628346123</v>
      </c>
    </row>
    <row r="299" spans="1:7" x14ac:dyDescent="0.45">
      <c r="A299" s="3">
        <v>42795</v>
      </c>
      <c r="B299">
        <v>4960.83</v>
      </c>
      <c r="C299">
        <v>2.1045243672019431E-2</v>
      </c>
      <c r="D299">
        <v>0.50056952965509072</v>
      </c>
      <c r="E299">
        <v>1</v>
      </c>
      <c r="F299">
        <v>0.82705543086845323</v>
      </c>
      <c r="G299">
        <v>0.70550204321057575</v>
      </c>
    </row>
    <row r="300" spans="1:7" x14ac:dyDescent="0.45">
      <c r="A300" s="3">
        <v>42796</v>
      </c>
      <c r="B300">
        <v>4963.8</v>
      </c>
      <c r="C300">
        <v>5.9869013854552122E-4</v>
      </c>
      <c r="D300">
        <v>0.5048390349849825</v>
      </c>
      <c r="E300">
        <v>1</v>
      </c>
      <c r="F300">
        <v>0.82835790675627308</v>
      </c>
      <c r="G300">
        <v>0.70567320649679455</v>
      </c>
    </row>
    <row r="301" spans="1:7" x14ac:dyDescent="0.45">
      <c r="A301" s="3">
        <v>42797</v>
      </c>
      <c r="B301">
        <v>4995.13</v>
      </c>
      <c r="C301">
        <v>6.3116966839920075E-3</v>
      </c>
      <c r="D301">
        <v>0.5038366732692916</v>
      </c>
      <c r="E301">
        <v>1</v>
      </c>
      <c r="F301">
        <v>0.82839503558134264</v>
      </c>
      <c r="G301">
        <v>0.70697836440827011</v>
      </c>
    </row>
    <row r="302" spans="1:7" x14ac:dyDescent="0.45">
      <c r="A302" s="3">
        <v>42800</v>
      </c>
      <c r="B302">
        <v>4972.1899999999996</v>
      </c>
      <c r="C302">
        <v>-4.5924730687690873E-3</v>
      </c>
      <c r="D302">
        <v>0.50141295603230973</v>
      </c>
      <c r="E302">
        <v>1</v>
      </c>
      <c r="F302">
        <v>0.82799944292899585</v>
      </c>
      <c r="G302">
        <v>0.70694084083391306</v>
      </c>
    </row>
    <row r="303" spans="1:7" x14ac:dyDescent="0.45">
      <c r="A303" s="3">
        <v>42801</v>
      </c>
      <c r="B303">
        <v>4955</v>
      </c>
      <c r="C303">
        <v>-3.4572291083002638E-3</v>
      </c>
      <c r="D303">
        <v>0.50016485774859165</v>
      </c>
      <c r="E303">
        <v>1</v>
      </c>
      <c r="F303">
        <v>0.82828656710267634</v>
      </c>
      <c r="G303">
        <v>0.70654622976754955</v>
      </c>
    </row>
    <row r="304" spans="1:7" x14ac:dyDescent="0.45">
      <c r="A304" s="3">
        <v>42802</v>
      </c>
      <c r="B304">
        <v>4960.4799999999996</v>
      </c>
      <c r="C304">
        <v>1.1059535822399713E-3</v>
      </c>
      <c r="D304">
        <v>0.49847291200778526</v>
      </c>
      <c r="E304">
        <v>-1</v>
      </c>
      <c r="F304">
        <v>0.82806983236849385</v>
      </c>
      <c r="G304">
        <v>0.70625832624752827</v>
      </c>
    </row>
    <row r="305" spans="1:7" x14ac:dyDescent="0.45">
      <c r="A305" s="3">
        <v>42803</v>
      </c>
      <c r="B305">
        <v>4981.51</v>
      </c>
      <c r="C305">
        <v>4.2395090797666679E-3</v>
      </c>
      <c r="D305">
        <v>0.49961852756250907</v>
      </c>
      <c r="E305">
        <v>-1</v>
      </c>
      <c r="F305">
        <v>0.82813900716346933</v>
      </c>
      <c r="G305">
        <v>0.70604208469942864</v>
      </c>
    </row>
    <row r="306" spans="1:7" x14ac:dyDescent="0.45">
      <c r="A306" s="3">
        <v>42804</v>
      </c>
      <c r="B306">
        <v>4993.32</v>
      </c>
      <c r="C306">
        <v>2.3707670967236805E-3</v>
      </c>
      <c r="D306">
        <v>0.50107293650636087</v>
      </c>
      <c r="E306">
        <v>1</v>
      </c>
      <c r="F306">
        <v>0.82840340667294232</v>
      </c>
      <c r="G306">
        <v>0.70611105815346364</v>
      </c>
    </row>
    <row r="307" spans="1:7" x14ac:dyDescent="0.45">
      <c r="A307" s="3">
        <v>42807</v>
      </c>
      <c r="B307">
        <v>4999.6000000000004</v>
      </c>
      <c r="C307">
        <v>1.2576802608286197E-3</v>
      </c>
      <c r="D307">
        <v>0.5012393764070886</v>
      </c>
      <c r="E307">
        <v>1</v>
      </c>
      <c r="F307">
        <v>0.82855121142423693</v>
      </c>
      <c r="G307">
        <v>0.70637536905351461</v>
      </c>
    </row>
    <row r="308" spans="1:7" x14ac:dyDescent="0.45">
      <c r="A308" s="3">
        <v>42808</v>
      </c>
      <c r="B308">
        <v>4974.26</v>
      </c>
      <c r="C308">
        <v>-5.0684054724378091E-3</v>
      </c>
      <c r="D308">
        <v>0.50067917557892538</v>
      </c>
      <c r="E308">
        <v>1</v>
      </c>
      <c r="F308">
        <v>0.82847249977995274</v>
      </c>
      <c r="G308">
        <v>0.70622699511284792</v>
      </c>
    </row>
    <row r="309" spans="1:7" x14ac:dyDescent="0.45">
      <c r="A309" s="3">
        <v>42809</v>
      </c>
      <c r="B309">
        <v>4985.4799999999996</v>
      </c>
      <c r="C309">
        <v>2.2556118900096678E-3</v>
      </c>
      <c r="D309">
        <v>0.49917229405602209</v>
      </c>
      <c r="E309">
        <v>-1</v>
      </c>
      <c r="F309">
        <v>0.82815520091378292</v>
      </c>
      <c r="G309">
        <v>0.70630573003706332</v>
      </c>
    </row>
    <row r="310" spans="1:7" x14ac:dyDescent="0.45">
      <c r="A310" s="3">
        <v>42810</v>
      </c>
      <c r="B310">
        <v>5013.38</v>
      </c>
      <c r="C310">
        <v>5.5962515143979097E-3</v>
      </c>
      <c r="D310">
        <v>0.49957203832716413</v>
      </c>
      <c r="E310">
        <v>-1</v>
      </c>
      <c r="F310">
        <v>0.82829629721797038</v>
      </c>
      <c r="G310">
        <v>0.70598868379189517</v>
      </c>
    </row>
    <row r="311" spans="1:7" x14ac:dyDescent="0.45">
      <c r="A311" s="3">
        <v>42811</v>
      </c>
      <c r="B311">
        <v>5029.24</v>
      </c>
      <c r="C311">
        <v>3.1635343819937933E-3</v>
      </c>
      <c r="D311">
        <v>0.50155694268704798</v>
      </c>
      <c r="E311">
        <v>1</v>
      </c>
      <c r="F311">
        <v>0.82864497042639484</v>
      </c>
      <c r="G311">
        <v>0.70612921919003202</v>
      </c>
    </row>
    <row r="312" spans="1:7" x14ac:dyDescent="0.45">
      <c r="A312" s="3">
        <v>42814</v>
      </c>
      <c r="B312">
        <v>5012.16</v>
      </c>
      <c r="C312">
        <v>-3.3961393769237347E-3</v>
      </c>
      <c r="D312">
        <v>0.50164327497506478</v>
      </c>
      <c r="E312">
        <v>1</v>
      </c>
      <c r="F312">
        <v>0.82844660185059349</v>
      </c>
      <c r="G312">
        <v>0.70577830773825334</v>
      </c>
    </row>
    <row r="313" spans="1:7" x14ac:dyDescent="0.45">
      <c r="A313" s="3">
        <v>42815</v>
      </c>
      <c r="B313">
        <v>5002.43</v>
      </c>
      <c r="C313">
        <v>-1.9412788099341105E-3</v>
      </c>
      <c r="D313">
        <v>0.49985480845817398</v>
      </c>
      <c r="E313">
        <v>-1</v>
      </c>
      <c r="F313">
        <v>0.82865879890741923</v>
      </c>
      <c r="G313">
        <v>0.70558064427085054</v>
      </c>
    </row>
    <row r="314" spans="1:7" x14ac:dyDescent="0.45">
      <c r="A314" s="3">
        <v>42816</v>
      </c>
      <c r="B314">
        <v>4994.7</v>
      </c>
      <c r="C314">
        <v>-1.5452490089816751E-3</v>
      </c>
      <c r="D314">
        <v>0.49899877434409823</v>
      </c>
      <c r="E314">
        <v>-1</v>
      </c>
      <c r="F314">
        <v>0.8287798853902355</v>
      </c>
      <c r="G314">
        <v>0.70579247709476078</v>
      </c>
    </row>
    <row r="315" spans="1:7" x14ac:dyDescent="0.45">
      <c r="A315" s="3">
        <v>42817</v>
      </c>
      <c r="B315">
        <v>5032.76</v>
      </c>
      <c r="C315">
        <v>7.6200772819188245E-3</v>
      </c>
      <c r="D315">
        <v>0.49933729756891693</v>
      </c>
      <c r="E315">
        <v>-1</v>
      </c>
      <c r="F315">
        <v>0.82868317949202319</v>
      </c>
      <c r="G315">
        <v>0.70567098657128913</v>
      </c>
    </row>
    <row r="316" spans="1:7" x14ac:dyDescent="0.45">
      <c r="A316" s="3">
        <v>42818</v>
      </c>
      <c r="B316">
        <v>5020.8999999999996</v>
      </c>
      <c r="C316">
        <v>-2.356559820059112E-3</v>
      </c>
      <c r="D316">
        <v>0.5013060451489213</v>
      </c>
      <c r="E316">
        <v>1</v>
      </c>
      <c r="F316">
        <v>0.82820568389926441</v>
      </c>
      <c r="G316">
        <v>0.70576781624429707</v>
      </c>
    </row>
    <row r="317" spans="1:7" x14ac:dyDescent="0.45">
      <c r="A317" s="3">
        <v>42821</v>
      </c>
      <c r="B317">
        <v>5017.43</v>
      </c>
      <c r="C317">
        <v>-6.9111115537046075E-4</v>
      </c>
      <c r="D317">
        <v>0.50085657142838935</v>
      </c>
      <c r="E317">
        <v>1</v>
      </c>
      <c r="F317">
        <v>0.82835322077524343</v>
      </c>
      <c r="G317">
        <v>0.70529074692175198</v>
      </c>
    </row>
    <row r="318" spans="1:7" x14ac:dyDescent="0.45">
      <c r="A318" s="3">
        <v>42822</v>
      </c>
      <c r="B318">
        <v>5046.2</v>
      </c>
      <c r="C318">
        <v>5.7340112368282625E-3</v>
      </c>
      <c r="D318">
        <v>0.49944136423566765</v>
      </c>
      <c r="E318">
        <v>-1</v>
      </c>
      <c r="F318">
        <v>0.8283099781220864</v>
      </c>
      <c r="G318">
        <v>0.70514329755973437</v>
      </c>
    </row>
    <row r="319" spans="1:7" x14ac:dyDescent="0.45">
      <c r="A319" s="3">
        <v>42823</v>
      </c>
      <c r="B319">
        <v>5069.04</v>
      </c>
      <c r="C319">
        <v>4.5261781142245106E-3</v>
      </c>
      <c r="D319">
        <v>0.50106554996766228</v>
      </c>
      <c r="E319">
        <v>1</v>
      </c>
      <c r="F319">
        <v>0.82866758846582633</v>
      </c>
      <c r="G319">
        <v>0.7051001953599606</v>
      </c>
    </row>
    <row r="320" spans="1:7" x14ac:dyDescent="0.45">
      <c r="A320" s="3">
        <v>42824</v>
      </c>
      <c r="B320">
        <v>5089.6400000000003</v>
      </c>
      <c r="C320">
        <v>4.063885863990091E-3</v>
      </c>
      <c r="D320">
        <v>0.50194842752384949</v>
      </c>
      <c r="E320">
        <v>1</v>
      </c>
      <c r="F320">
        <v>0.82894936795269192</v>
      </c>
      <c r="G320">
        <v>0.70545716910319822</v>
      </c>
    </row>
    <row r="321" spans="1:7" x14ac:dyDescent="0.45">
      <c r="A321" s="3">
        <v>42825</v>
      </c>
      <c r="B321">
        <v>5122.51</v>
      </c>
      <c r="C321">
        <v>6.4582170841158693E-3</v>
      </c>
      <c r="D321">
        <v>0.50164043921840284</v>
      </c>
      <c r="E321">
        <v>1</v>
      </c>
      <c r="F321">
        <v>0.8292025247744218</v>
      </c>
      <c r="G321">
        <v>0.70573912408528405</v>
      </c>
    </row>
    <row r="322" spans="1:7" x14ac:dyDescent="0.45">
      <c r="A322" s="3">
        <v>42828</v>
      </c>
      <c r="B322">
        <v>5085.91</v>
      </c>
      <c r="C322">
        <v>-7.1449348073503449E-3</v>
      </c>
      <c r="D322">
        <v>0.50205579170584658</v>
      </c>
      <c r="E322">
        <v>1</v>
      </c>
      <c r="F322">
        <v>0.82879723346463841</v>
      </c>
      <c r="G322">
        <v>0.70548409121736178</v>
      </c>
    </row>
    <row r="323" spans="1:7" x14ac:dyDescent="0.45">
      <c r="A323" s="3">
        <v>42829</v>
      </c>
      <c r="B323">
        <v>5101.13</v>
      </c>
      <c r="C323">
        <v>2.9925814652638216E-3</v>
      </c>
      <c r="D323">
        <v>0.4996586168552612</v>
      </c>
      <c r="E323">
        <v>-1</v>
      </c>
      <c r="F323">
        <v>0.82835037035245396</v>
      </c>
      <c r="G323">
        <v>0.70588800518763362</v>
      </c>
    </row>
    <row r="324" spans="1:7" x14ac:dyDescent="0.45">
      <c r="A324" s="3">
        <v>42830</v>
      </c>
      <c r="B324">
        <v>5091.8500000000004</v>
      </c>
      <c r="C324">
        <v>-1.8192047644345344E-3</v>
      </c>
      <c r="D324">
        <v>0.4993588458980962</v>
      </c>
      <c r="E324">
        <v>-1</v>
      </c>
      <c r="F324">
        <v>0.82816357415626241</v>
      </c>
      <c r="G324">
        <v>0.70633399025421972</v>
      </c>
    </row>
    <row r="325" spans="1:7" x14ac:dyDescent="0.45">
      <c r="A325" s="3">
        <v>42831</v>
      </c>
      <c r="B325">
        <v>5121.4399999999996</v>
      </c>
      <c r="C325">
        <v>5.8112473855276292E-3</v>
      </c>
      <c r="D325">
        <v>0.50015179071725802</v>
      </c>
      <c r="E325">
        <v>1</v>
      </c>
      <c r="F325">
        <v>0.82804990838626036</v>
      </c>
      <c r="G325">
        <v>0.70652096979780543</v>
      </c>
    </row>
    <row r="326" spans="1:7" x14ac:dyDescent="0.45">
      <c r="A326" s="3">
        <v>42832</v>
      </c>
      <c r="B326">
        <v>5135.28</v>
      </c>
      <c r="C326">
        <v>2.7023649598549859E-3</v>
      </c>
      <c r="D326">
        <v>0.5008816732238679</v>
      </c>
      <c r="E326">
        <v>1</v>
      </c>
      <c r="F326">
        <v>0.82841246976785521</v>
      </c>
      <c r="G326">
        <v>0.70640747034595974</v>
      </c>
    </row>
    <row r="327" spans="1:7" x14ac:dyDescent="0.45">
      <c r="A327" s="3">
        <v>42835</v>
      </c>
      <c r="B327">
        <v>5107.45</v>
      </c>
      <c r="C327">
        <v>-5.4193734324126108E-3</v>
      </c>
      <c r="D327">
        <v>0.50158594003029033</v>
      </c>
      <c r="E327">
        <v>1</v>
      </c>
      <c r="F327">
        <v>0.8282430379389093</v>
      </c>
      <c r="G327">
        <v>0.70604311901384365</v>
      </c>
    </row>
    <row r="328" spans="1:7" x14ac:dyDescent="0.45">
      <c r="A328" s="3">
        <v>42836</v>
      </c>
      <c r="B328">
        <v>5101.8599999999997</v>
      </c>
      <c r="C328">
        <v>-1.0944796326934902E-3</v>
      </c>
      <c r="D328">
        <v>0.49935485732541507</v>
      </c>
      <c r="E328">
        <v>-1</v>
      </c>
      <c r="F328">
        <v>0.8285813111816307</v>
      </c>
      <c r="G328">
        <v>0.70587443941104688</v>
      </c>
    </row>
    <row r="329" spans="1:7" x14ac:dyDescent="0.45">
      <c r="A329" s="3">
        <v>42837</v>
      </c>
      <c r="B329">
        <v>5101.1099999999997</v>
      </c>
      <c r="C329">
        <v>-1.4700520986465904E-4</v>
      </c>
      <c r="D329">
        <v>0.4988169365696527</v>
      </c>
      <c r="E329">
        <v>-1</v>
      </c>
      <c r="F329">
        <v>0.82864955392175754</v>
      </c>
      <c r="G329">
        <v>0.70621234692595236</v>
      </c>
    </row>
    <row r="330" spans="1:7" x14ac:dyDescent="0.45">
      <c r="A330" s="3">
        <v>42838</v>
      </c>
      <c r="B330">
        <v>5071.1000000000004</v>
      </c>
      <c r="C330">
        <v>-5.8830333005952529E-3</v>
      </c>
      <c r="D330">
        <v>0.49977631230701186</v>
      </c>
      <c r="E330">
        <v>-1</v>
      </c>
      <c r="F330">
        <v>0.82865873763512898</v>
      </c>
      <c r="G330">
        <v>0.7062807212866079</v>
      </c>
    </row>
    <row r="331" spans="1:7" x14ac:dyDescent="0.45">
      <c r="A331" s="3">
        <v>42843</v>
      </c>
      <c r="B331">
        <v>4990.25</v>
      </c>
      <c r="C331">
        <v>-1.594328646644716E-2</v>
      </c>
      <c r="D331">
        <v>0.49875528909776079</v>
      </c>
      <c r="E331">
        <v>-1</v>
      </c>
      <c r="F331">
        <v>0.82902550960897425</v>
      </c>
      <c r="G331">
        <v>0.70628988618305377</v>
      </c>
    </row>
    <row r="332" spans="1:7" x14ac:dyDescent="0.45">
      <c r="A332" s="3">
        <v>42844</v>
      </c>
      <c r="B332">
        <v>5003.7299999999996</v>
      </c>
      <c r="C332">
        <v>2.7012674715694018E-3</v>
      </c>
      <c r="D332">
        <v>0.49565697970100414</v>
      </c>
      <c r="E332">
        <v>-1</v>
      </c>
      <c r="F332">
        <v>0.82802047478561325</v>
      </c>
      <c r="G332">
        <v>0.70591903081728369</v>
      </c>
    </row>
    <row r="333" spans="1:7" x14ac:dyDescent="0.45">
      <c r="A333" s="3">
        <v>42845</v>
      </c>
      <c r="B333">
        <v>5077.91</v>
      </c>
      <c r="C333">
        <v>1.4824940594316605E-2</v>
      </c>
      <c r="D333">
        <v>0.49774552413947676</v>
      </c>
      <c r="E333">
        <v>-1</v>
      </c>
      <c r="F333">
        <v>0.82819006179749122</v>
      </c>
      <c r="G333">
        <v>0.70491810279374789</v>
      </c>
    </row>
    <row r="334" spans="1:7" x14ac:dyDescent="0.45">
      <c r="A334" s="3">
        <v>42846</v>
      </c>
      <c r="B334">
        <v>5059.2</v>
      </c>
      <c r="C334">
        <v>-3.6845867689659917E-3</v>
      </c>
      <c r="D334">
        <v>0.5035454507774435</v>
      </c>
      <c r="E334">
        <v>1</v>
      </c>
      <c r="F334">
        <v>0.82725697979174995</v>
      </c>
      <c r="G334">
        <v>0.70474808497449393</v>
      </c>
    </row>
    <row r="335" spans="1:7" x14ac:dyDescent="0.45">
      <c r="A335" s="3">
        <v>42849</v>
      </c>
      <c r="B335">
        <v>5268.85</v>
      </c>
      <c r="C335">
        <v>4.1439358001265081E-2</v>
      </c>
      <c r="D335">
        <v>0.50184992865159816</v>
      </c>
      <c r="E335">
        <v>1</v>
      </c>
      <c r="F335">
        <v>0.82702754828723679</v>
      </c>
      <c r="G335">
        <v>0.70567120298965935</v>
      </c>
    </row>
    <row r="336" spans="1:7" x14ac:dyDescent="0.45">
      <c r="A336" s="3">
        <v>42850</v>
      </c>
      <c r="B336">
        <v>5277.88</v>
      </c>
      <c r="C336">
        <v>1.7138464750372506E-3</v>
      </c>
      <c r="D336">
        <v>0.5079171841840614</v>
      </c>
      <c r="E336">
        <v>1</v>
      </c>
      <c r="F336">
        <v>0.82957585869256989</v>
      </c>
      <c r="G336">
        <v>0.70544461958548543</v>
      </c>
    </row>
    <row r="337" spans="1:7" x14ac:dyDescent="0.45">
      <c r="A337" s="3">
        <v>42851</v>
      </c>
      <c r="B337">
        <v>5287.88</v>
      </c>
      <c r="C337">
        <v>1.8947001447551237E-3</v>
      </c>
      <c r="D337">
        <v>0.50766313435658539</v>
      </c>
      <c r="E337">
        <v>1</v>
      </c>
      <c r="F337">
        <v>0.82968130764258485</v>
      </c>
      <c r="G337">
        <v>0.70799428599620173</v>
      </c>
    </row>
    <row r="338" spans="1:7" x14ac:dyDescent="0.45">
      <c r="A338" s="3">
        <v>42852</v>
      </c>
      <c r="B338">
        <v>5271.7</v>
      </c>
      <c r="C338">
        <v>-3.0598273788361441E-3</v>
      </c>
      <c r="D338">
        <v>0.50069634725106127</v>
      </c>
      <c r="E338">
        <v>1</v>
      </c>
      <c r="F338">
        <v>0.82956272419238763</v>
      </c>
      <c r="G338">
        <v>0.70788702162052686</v>
      </c>
    </row>
    <row r="339" spans="1:7" x14ac:dyDescent="0.45">
      <c r="A339" s="3">
        <v>42853</v>
      </c>
      <c r="B339">
        <v>5267.33</v>
      </c>
      <c r="C339">
        <v>-8.2895460667331555E-4</v>
      </c>
      <c r="D339">
        <v>0.49970072876233551</v>
      </c>
      <c r="E339">
        <v>-1</v>
      </c>
      <c r="F339">
        <v>0.82975384887030301</v>
      </c>
      <c r="G339">
        <v>0.70776867378253527</v>
      </c>
    </row>
    <row r="340" spans="1:7" x14ac:dyDescent="0.45">
      <c r="A340" s="3">
        <v>42857</v>
      </c>
      <c r="B340">
        <v>5304.15</v>
      </c>
      <c r="C340">
        <v>6.9902588218317963E-3</v>
      </c>
      <c r="D340">
        <v>0.49928663092370379</v>
      </c>
      <c r="E340">
        <v>-1</v>
      </c>
      <c r="F340">
        <v>0.8297019653941764</v>
      </c>
      <c r="G340">
        <v>0.70757716211291766</v>
      </c>
    </row>
    <row r="341" spans="1:7" x14ac:dyDescent="0.45">
      <c r="A341" s="3">
        <v>42858</v>
      </c>
      <c r="B341">
        <v>5301</v>
      </c>
      <c r="C341">
        <v>-5.938746076185053E-4</v>
      </c>
      <c r="D341">
        <v>0.50130331758191493</v>
      </c>
      <c r="E341">
        <v>1</v>
      </c>
      <c r="F341">
        <v>0.82926393837812418</v>
      </c>
      <c r="G341">
        <v>0.70762910647178312</v>
      </c>
    </row>
    <row r="342" spans="1:7" x14ac:dyDescent="0.45">
      <c r="A342" s="3">
        <v>42859</v>
      </c>
      <c r="B342">
        <v>5372.42</v>
      </c>
      <c r="C342">
        <v>1.347292963591773E-2</v>
      </c>
      <c r="D342">
        <v>0.50111350611117311</v>
      </c>
      <c r="E342">
        <v>1</v>
      </c>
      <c r="F342">
        <v>0.8292269040591993</v>
      </c>
      <c r="G342">
        <v>0.70806502252418524</v>
      </c>
    </row>
    <row r="343" spans="1:7" x14ac:dyDescent="0.45">
      <c r="A343" s="3">
        <v>42860</v>
      </c>
      <c r="B343">
        <v>5432.4</v>
      </c>
      <c r="C343">
        <v>1.1164428693214434E-2</v>
      </c>
      <c r="D343">
        <v>0.50268787758075095</v>
      </c>
      <c r="E343">
        <v>1</v>
      </c>
      <c r="F343">
        <v>0.83006441125964947</v>
      </c>
      <c r="G343">
        <v>0.70802810596086263</v>
      </c>
    </row>
    <row r="344" spans="1:7" x14ac:dyDescent="0.45">
      <c r="A344" s="3">
        <v>42863</v>
      </c>
      <c r="B344">
        <v>5382.95</v>
      </c>
      <c r="C344">
        <v>-9.1027906634267852E-3</v>
      </c>
      <c r="D344">
        <v>0.50470146337817456</v>
      </c>
      <c r="E344">
        <v>1</v>
      </c>
      <c r="F344">
        <v>0.82936013559630462</v>
      </c>
      <c r="G344">
        <v>0.70717820519860497</v>
      </c>
    </row>
    <row r="345" spans="1:7" x14ac:dyDescent="0.45">
      <c r="A345" s="3">
        <v>42864</v>
      </c>
      <c r="B345">
        <v>5398.01</v>
      </c>
      <c r="C345">
        <v>2.797722438439898E-3</v>
      </c>
      <c r="D345">
        <v>0.50008643723574164</v>
      </c>
      <c r="E345">
        <v>1</v>
      </c>
      <c r="F345">
        <v>0.82879130954934799</v>
      </c>
      <c r="G345">
        <v>0.70787586134328662</v>
      </c>
    </row>
    <row r="346" spans="1:7" x14ac:dyDescent="0.45">
      <c r="A346" s="3">
        <v>42865</v>
      </c>
      <c r="B346">
        <v>5400.46</v>
      </c>
      <c r="C346">
        <v>4.5387096355886669E-4</v>
      </c>
      <c r="D346">
        <v>0.49896877202769269</v>
      </c>
      <c r="E346">
        <v>-1</v>
      </c>
      <c r="F346">
        <v>0.82896652709262486</v>
      </c>
      <c r="G346">
        <v>0.70730576597031669</v>
      </c>
    </row>
    <row r="347" spans="1:7" x14ac:dyDescent="0.45">
      <c r="A347" s="3">
        <v>42866</v>
      </c>
      <c r="B347">
        <v>5383.42</v>
      </c>
      <c r="C347">
        <v>-3.1552867718676048E-3</v>
      </c>
      <c r="D347">
        <v>0.50058877199004304</v>
      </c>
      <c r="E347">
        <v>1</v>
      </c>
      <c r="F347">
        <v>0.82893812679346879</v>
      </c>
      <c r="G347">
        <v>0.70713070265808309</v>
      </c>
    </row>
    <row r="348" spans="1:7" x14ac:dyDescent="0.45">
      <c r="A348" s="3">
        <v>42867</v>
      </c>
      <c r="B348">
        <v>5405.42</v>
      </c>
      <c r="C348">
        <v>4.0866215156907248E-3</v>
      </c>
      <c r="D348">
        <v>0.49942635239849731</v>
      </c>
      <c r="E348">
        <v>-1</v>
      </c>
      <c r="F348">
        <v>0.82874069537726758</v>
      </c>
      <c r="G348">
        <v>0.70715910210117239</v>
      </c>
    </row>
    <row r="349" spans="1:7" x14ac:dyDescent="0.45">
      <c r="A349" s="3">
        <v>42870</v>
      </c>
      <c r="B349">
        <v>5417.4</v>
      </c>
      <c r="C349">
        <v>2.2162940160059819E-3</v>
      </c>
      <c r="D349">
        <v>0.5002888649169096</v>
      </c>
      <c r="E349">
        <v>1</v>
      </c>
      <c r="F349">
        <v>0.82899596157659949</v>
      </c>
      <c r="G349">
        <v>0.70696201067517062</v>
      </c>
    </row>
    <row r="350" spans="1:7" x14ac:dyDescent="0.45">
      <c r="A350" s="3">
        <v>42871</v>
      </c>
      <c r="B350">
        <v>5406.1</v>
      </c>
      <c r="C350">
        <v>-2.0858714512494991E-3</v>
      </c>
      <c r="D350">
        <v>0.50118159403852724</v>
      </c>
      <c r="E350">
        <v>1</v>
      </c>
      <c r="F350">
        <v>0.82885711663103034</v>
      </c>
      <c r="G350">
        <v>0.70670599466925721</v>
      </c>
    </row>
    <row r="351" spans="1:7" x14ac:dyDescent="0.45">
      <c r="A351" s="3">
        <v>42872</v>
      </c>
      <c r="B351">
        <v>5317.89</v>
      </c>
      <c r="C351">
        <v>-1.6316753297201281E-2</v>
      </c>
      <c r="D351">
        <v>0.4999593447176684</v>
      </c>
      <c r="E351">
        <v>-1</v>
      </c>
      <c r="F351">
        <v>0.82898747299566</v>
      </c>
      <c r="G351">
        <v>0.70656748755717991</v>
      </c>
    </row>
    <row r="352" spans="1:7" x14ac:dyDescent="0.45">
      <c r="A352" s="3">
        <v>42873</v>
      </c>
      <c r="B352">
        <v>5289.73</v>
      </c>
      <c r="C352">
        <v>-5.2953332994855051E-3</v>
      </c>
      <c r="D352">
        <v>0.49625002205512819</v>
      </c>
      <c r="E352">
        <v>-1</v>
      </c>
      <c r="F352">
        <v>0.82999956471091874</v>
      </c>
      <c r="G352">
        <v>0.70669686949833277</v>
      </c>
    </row>
    <row r="353" spans="1:7" x14ac:dyDescent="0.45">
      <c r="A353" s="3">
        <v>42874</v>
      </c>
      <c r="B353">
        <v>5324.4</v>
      </c>
      <c r="C353">
        <v>6.5542097611788197E-3</v>
      </c>
      <c r="D353">
        <v>0.49601855345234303</v>
      </c>
      <c r="E353">
        <v>-1</v>
      </c>
      <c r="F353">
        <v>0.82966599214628955</v>
      </c>
      <c r="G353">
        <v>0.70566901705997953</v>
      </c>
    </row>
    <row r="354" spans="1:7" x14ac:dyDescent="0.45">
      <c r="A354" s="3">
        <v>42877</v>
      </c>
      <c r="B354">
        <v>5322.88</v>
      </c>
      <c r="C354">
        <v>-2.854781759445979E-4</v>
      </c>
      <c r="D354">
        <v>0.50042526297240331</v>
      </c>
      <c r="E354">
        <v>1</v>
      </c>
      <c r="F354">
        <v>0.82925600592495718</v>
      </c>
      <c r="G354">
        <v>0.7060002566402277</v>
      </c>
    </row>
    <row r="355" spans="1:7" x14ac:dyDescent="0.45">
      <c r="A355" s="3">
        <v>42879</v>
      </c>
      <c r="B355">
        <v>5341.34</v>
      </c>
      <c r="C355">
        <v>3.4680473728507799E-3</v>
      </c>
      <c r="D355">
        <v>0.50109763305713551</v>
      </c>
      <c r="E355">
        <v>1</v>
      </c>
      <c r="F355">
        <v>0.82923820279354321</v>
      </c>
      <c r="G355">
        <v>0.70640899351584774</v>
      </c>
    </row>
    <row r="356" spans="1:7" x14ac:dyDescent="0.45">
      <c r="A356" s="3">
        <v>42880</v>
      </c>
      <c r="B356">
        <v>5337.16</v>
      </c>
      <c r="C356">
        <v>-7.8257515904256447E-4</v>
      </c>
      <c r="D356">
        <v>0.50066854285652451</v>
      </c>
      <c r="E356">
        <v>1</v>
      </c>
      <c r="F356">
        <v>0.82902116040348162</v>
      </c>
      <c r="G356">
        <v>0.70642685972670249</v>
      </c>
    </row>
    <row r="357" spans="1:7" x14ac:dyDescent="0.45">
      <c r="A357" s="3">
        <v>42881</v>
      </c>
      <c r="B357">
        <v>5336.64</v>
      </c>
      <c r="C357">
        <v>-9.7430093907502346E-5</v>
      </c>
      <c r="D357">
        <v>0.50045028749040044</v>
      </c>
      <c r="E357">
        <v>1</v>
      </c>
      <c r="F357">
        <v>0.82907011535919306</v>
      </c>
      <c r="G357">
        <v>0.70620991173955838</v>
      </c>
    </row>
    <row r="358" spans="1:7" x14ac:dyDescent="0.45">
      <c r="A358" s="3">
        <v>42884</v>
      </c>
      <c r="B358">
        <v>5332.47</v>
      </c>
      <c r="C358">
        <v>-7.8139053786652202E-4</v>
      </c>
      <c r="D358">
        <v>0.49984164032699696</v>
      </c>
      <c r="E358">
        <v>-1</v>
      </c>
      <c r="F358">
        <v>0.82907620281082695</v>
      </c>
      <c r="G358">
        <v>0.7062588071910505</v>
      </c>
    </row>
    <row r="359" spans="1:7" x14ac:dyDescent="0.45">
      <c r="A359" s="3">
        <v>42885</v>
      </c>
      <c r="B359">
        <v>5305.94</v>
      </c>
      <c r="C359">
        <v>-4.9751803573204745E-3</v>
      </c>
      <c r="D359">
        <v>0.49982083921717918</v>
      </c>
      <c r="E359">
        <v>-1</v>
      </c>
      <c r="F359">
        <v>0.82912502221385787</v>
      </c>
      <c r="G359">
        <v>0.70626489438918172</v>
      </c>
    </row>
    <row r="360" spans="1:7" x14ac:dyDescent="0.45">
      <c r="A360" s="3">
        <v>42886</v>
      </c>
      <c r="B360">
        <v>5283.63</v>
      </c>
      <c r="C360">
        <v>-4.2047215008084171E-3</v>
      </c>
      <c r="D360">
        <v>0.49883077332376335</v>
      </c>
      <c r="E360">
        <v>-1</v>
      </c>
      <c r="F360">
        <v>0.8294352421505865</v>
      </c>
      <c r="G360">
        <v>0.70631361682853222</v>
      </c>
    </row>
    <row r="361" spans="1:7" x14ac:dyDescent="0.45">
      <c r="A361" s="3">
        <v>42887</v>
      </c>
      <c r="B361">
        <v>5318.67</v>
      </c>
      <c r="C361">
        <v>6.631804270927466E-3</v>
      </c>
      <c r="D361">
        <v>0.49824961169345572</v>
      </c>
      <c r="E361">
        <v>-1</v>
      </c>
      <c r="F361">
        <v>0.82917153030181112</v>
      </c>
      <c r="G361">
        <v>0.70600158331816354</v>
      </c>
    </row>
    <row r="362" spans="1:7" x14ac:dyDescent="0.45">
      <c r="A362" s="3">
        <v>42888</v>
      </c>
      <c r="B362">
        <v>5343.41</v>
      </c>
      <c r="C362">
        <v>4.6515388245558231E-3</v>
      </c>
      <c r="D362">
        <v>0.50063259047722519</v>
      </c>
      <c r="E362">
        <v>1</v>
      </c>
      <c r="F362">
        <v>0.82958549300409146</v>
      </c>
      <c r="G362">
        <v>0.70573912112782999</v>
      </c>
    </row>
    <row r="363" spans="1:7" x14ac:dyDescent="0.45">
      <c r="A363" s="3">
        <v>42891</v>
      </c>
      <c r="B363">
        <v>5307.89</v>
      </c>
      <c r="C363">
        <v>-6.6474404921200714E-3</v>
      </c>
      <c r="D363">
        <v>0.50213478023978064</v>
      </c>
      <c r="E363">
        <v>1</v>
      </c>
      <c r="F363">
        <v>0.8292935358981367</v>
      </c>
      <c r="G363">
        <v>0.70532287126832616</v>
      </c>
    </row>
    <row r="364" spans="1:7" x14ac:dyDescent="0.45">
      <c r="A364" s="3">
        <v>42892</v>
      </c>
      <c r="B364">
        <v>5269.22</v>
      </c>
      <c r="C364">
        <v>-7.2853808198738434E-3</v>
      </c>
      <c r="D364">
        <v>0.49944203955389799</v>
      </c>
      <c r="E364">
        <v>-1</v>
      </c>
      <c r="F364">
        <v>0.82970853678599366</v>
      </c>
      <c r="G364">
        <v>0.70503247487525122</v>
      </c>
    </row>
    <row r="365" spans="1:7" x14ac:dyDescent="0.45">
      <c r="A365" s="3">
        <v>42893</v>
      </c>
      <c r="B365">
        <v>5265.53</v>
      </c>
      <c r="C365">
        <v>-7.002934020595708E-4</v>
      </c>
      <c r="D365">
        <v>0.49731717472637577</v>
      </c>
      <c r="E365">
        <v>-1</v>
      </c>
      <c r="F365">
        <v>0.83016141687287548</v>
      </c>
      <c r="G365">
        <v>0.70544569876869567</v>
      </c>
    </row>
    <row r="366" spans="1:7" x14ac:dyDescent="0.45">
      <c r="A366" s="3">
        <v>42894</v>
      </c>
      <c r="B366">
        <v>5264.24</v>
      </c>
      <c r="C366">
        <v>-2.4498958319485453E-4</v>
      </c>
      <c r="D366">
        <v>0.49856980461902206</v>
      </c>
      <c r="E366">
        <v>-1</v>
      </c>
      <c r="F366">
        <v>0.83020505965887459</v>
      </c>
      <c r="G366">
        <v>0.7058997289153579</v>
      </c>
    </row>
    <row r="367" spans="1:7" x14ac:dyDescent="0.45">
      <c r="A367" s="3">
        <v>42895</v>
      </c>
      <c r="B367">
        <v>5299.71</v>
      </c>
      <c r="C367">
        <v>6.7379146847408311E-3</v>
      </c>
      <c r="D367">
        <v>0.49982556787852461</v>
      </c>
      <c r="E367">
        <v>-1</v>
      </c>
      <c r="F367">
        <v>0.83018974247003252</v>
      </c>
      <c r="G367">
        <v>0.70585594531384999</v>
      </c>
    </row>
    <row r="368" spans="1:7" x14ac:dyDescent="0.45">
      <c r="A368" s="3">
        <v>42898</v>
      </c>
      <c r="B368">
        <v>5240.59</v>
      </c>
      <c r="C368">
        <v>-1.1155327366969114E-2</v>
      </c>
      <c r="D368">
        <v>0.50135520175718629</v>
      </c>
      <c r="E368">
        <v>1</v>
      </c>
      <c r="F368">
        <v>0.82976748450005977</v>
      </c>
      <c r="G368">
        <v>0.70587129855129871</v>
      </c>
    </row>
    <row r="369" spans="1:7" x14ac:dyDescent="0.45">
      <c r="A369" s="3">
        <v>42899</v>
      </c>
      <c r="B369">
        <v>5261.74</v>
      </c>
      <c r="C369">
        <v>4.0358051288118535E-3</v>
      </c>
      <c r="D369">
        <v>0.49887494506371671</v>
      </c>
      <c r="E369">
        <v>-1</v>
      </c>
      <c r="F369">
        <v>0.82906871128301207</v>
      </c>
      <c r="G369">
        <v>0.70629336364769302</v>
      </c>
    </row>
    <row r="370" spans="1:7" x14ac:dyDescent="0.45">
      <c r="A370" s="3">
        <v>42900</v>
      </c>
      <c r="B370">
        <v>5243.29</v>
      </c>
      <c r="C370">
        <v>-3.506444636184991E-3</v>
      </c>
      <c r="D370">
        <v>0.49886675845760409</v>
      </c>
      <c r="E370">
        <v>-1</v>
      </c>
      <c r="F370">
        <v>0.82881704644801013</v>
      </c>
      <c r="G370">
        <v>0.70698898782467778</v>
      </c>
    </row>
    <row r="371" spans="1:7" x14ac:dyDescent="0.45">
      <c r="A371" s="3">
        <v>42901</v>
      </c>
      <c r="B371">
        <v>5216.88</v>
      </c>
      <c r="C371">
        <v>-5.0369138460775176E-3</v>
      </c>
      <c r="D371">
        <v>0.49998676717404811</v>
      </c>
      <c r="E371">
        <v>-1</v>
      </c>
      <c r="F371">
        <v>0.82903619343759671</v>
      </c>
      <c r="G371">
        <v>0.70673675667994207</v>
      </c>
    </row>
    <row r="372" spans="1:7" x14ac:dyDescent="0.45">
      <c r="A372" s="3">
        <v>42902</v>
      </c>
      <c r="B372">
        <v>5263.31</v>
      </c>
      <c r="C372">
        <v>8.8999555289752674E-3</v>
      </c>
      <c r="D372">
        <v>0.49833652683964474</v>
      </c>
      <c r="E372">
        <v>-1</v>
      </c>
      <c r="F372">
        <v>0.82872034247190041</v>
      </c>
      <c r="G372">
        <v>0.70651687721439149</v>
      </c>
    </row>
    <row r="373" spans="1:7" x14ac:dyDescent="0.45">
      <c r="A373" s="3">
        <v>42905</v>
      </c>
      <c r="B373">
        <v>5310.72</v>
      </c>
      <c r="C373">
        <v>9.0076396792131419E-3</v>
      </c>
      <c r="D373">
        <v>0.50095422622966324</v>
      </c>
      <c r="E373">
        <v>1</v>
      </c>
      <c r="F373">
        <v>0.82927552609899324</v>
      </c>
      <c r="G373">
        <v>0.70620267203782461</v>
      </c>
    </row>
    <row r="374" spans="1:7" x14ac:dyDescent="0.45">
      <c r="A374" s="3">
        <v>42906</v>
      </c>
      <c r="B374">
        <v>5293.65</v>
      </c>
      <c r="C374">
        <v>-3.2142534345626084E-3</v>
      </c>
      <c r="D374">
        <v>0.50343869266090879</v>
      </c>
      <c r="E374">
        <v>1</v>
      </c>
      <c r="F374">
        <v>0.82870870361706628</v>
      </c>
      <c r="G374">
        <v>0.70564262578135462</v>
      </c>
    </row>
    <row r="375" spans="1:7" x14ac:dyDescent="0.45">
      <c r="A375" s="3">
        <v>42907</v>
      </c>
      <c r="B375">
        <v>5274.26</v>
      </c>
      <c r="C375">
        <v>-3.6628791098768376E-3</v>
      </c>
      <c r="D375">
        <v>0.50092312263075911</v>
      </c>
      <c r="E375">
        <v>1</v>
      </c>
      <c r="F375">
        <v>0.82890996466446221</v>
      </c>
      <c r="G375">
        <v>0.70507861082941914</v>
      </c>
    </row>
    <row r="376" spans="1:7" x14ac:dyDescent="0.45">
      <c r="A376" s="3">
        <v>42908</v>
      </c>
      <c r="B376">
        <v>5281.93</v>
      </c>
      <c r="C376">
        <v>1.4542324420867558E-3</v>
      </c>
      <c r="D376">
        <v>0.49867437852097535</v>
      </c>
      <c r="E376">
        <v>-1</v>
      </c>
      <c r="F376">
        <v>0.82868042938462727</v>
      </c>
      <c r="G376">
        <v>0.70487718879515837</v>
      </c>
    </row>
    <row r="377" spans="1:7" x14ac:dyDescent="0.45">
      <c r="A377" s="3">
        <v>42909</v>
      </c>
      <c r="B377">
        <v>5266.12</v>
      </c>
      <c r="C377">
        <v>-2.9932240677177369E-3</v>
      </c>
      <c r="D377">
        <v>0.49965580356303657</v>
      </c>
      <c r="E377">
        <v>-1</v>
      </c>
      <c r="F377">
        <v>0.82858960246774149</v>
      </c>
      <c r="G377">
        <v>0.70510596103737166</v>
      </c>
    </row>
    <row r="378" spans="1:7" x14ac:dyDescent="0.45">
      <c r="A378" s="3">
        <v>42912</v>
      </c>
      <c r="B378">
        <v>5295.75</v>
      </c>
      <c r="C378">
        <v>5.6265333870098022E-3</v>
      </c>
      <c r="D378">
        <v>0.49963630846996193</v>
      </c>
      <c r="E378">
        <v>-1</v>
      </c>
      <c r="F378">
        <v>0.82840238998628057</v>
      </c>
      <c r="G378">
        <v>0.70519691662838146</v>
      </c>
    </row>
    <row r="379" spans="1:7" x14ac:dyDescent="0.45">
      <c r="A379" s="3">
        <v>42913</v>
      </c>
      <c r="B379">
        <v>5258.58</v>
      </c>
      <c r="C379">
        <v>-7.0188358589434729E-3</v>
      </c>
      <c r="D379">
        <v>0.50063755498491602</v>
      </c>
      <c r="E379">
        <v>1</v>
      </c>
      <c r="F379">
        <v>0.82805028381903367</v>
      </c>
      <c r="G379">
        <v>0.7053842313711729</v>
      </c>
    </row>
    <row r="380" spans="1:7" x14ac:dyDescent="0.45">
      <c r="A380" s="3">
        <v>42914</v>
      </c>
      <c r="B380">
        <v>5252.9</v>
      </c>
      <c r="C380">
        <v>-1.0801395053418039E-3</v>
      </c>
      <c r="D380">
        <v>0.49953922985628502</v>
      </c>
      <c r="E380">
        <v>-1</v>
      </c>
      <c r="F380">
        <v>0.82848855642926933</v>
      </c>
      <c r="G380">
        <v>0.70503289740017538</v>
      </c>
    </row>
    <row r="381" spans="1:7" x14ac:dyDescent="0.45">
      <c r="A381" s="3">
        <v>42915</v>
      </c>
      <c r="B381">
        <v>5154.3500000000004</v>
      </c>
      <c r="C381">
        <v>-1.8761065316301284E-2</v>
      </c>
      <c r="D381">
        <v>0.49853915580635555</v>
      </c>
      <c r="E381">
        <v>-1</v>
      </c>
      <c r="F381">
        <v>0.82855586733432407</v>
      </c>
      <c r="G381">
        <v>0.70547028922943444</v>
      </c>
    </row>
    <row r="382" spans="1:7" x14ac:dyDescent="0.45">
      <c r="A382" s="3">
        <v>42916</v>
      </c>
      <c r="B382">
        <v>5120.68</v>
      </c>
      <c r="C382">
        <v>-6.5323464646366292E-3</v>
      </c>
      <c r="D382">
        <v>0.49592344106246039</v>
      </c>
      <c r="E382">
        <v>-1</v>
      </c>
      <c r="F382">
        <v>0.82971879653411462</v>
      </c>
      <c r="G382">
        <v>0.70553724309103194</v>
      </c>
    </row>
    <row r="383" spans="1:7" x14ac:dyDescent="0.45">
      <c r="A383" s="3">
        <v>42919</v>
      </c>
      <c r="B383">
        <v>5195.72</v>
      </c>
      <c r="C383">
        <v>1.4654303725286422E-2</v>
      </c>
      <c r="D383">
        <v>0.49533597504626942</v>
      </c>
      <c r="E383">
        <v>-1</v>
      </c>
      <c r="F383">
        <v>0.82930675235783013</v>
      </c>
      <c r="G383">
        <v>0.70435384172885329</v>
      </c>
    </row>
    <row r="384" spans="1:7" x14ac:dyDescent="0.45">
      <c r="A384" s="3">
        <v>42920</v>
      </c>
      <c r="B384">
        <v>5174.8999999999996</v>
      </c>
      <c r="C384">
        <v>-4.0071443418815411E-3</v>
      </c>
      <c r="D384">
        <v>0.50188794845316576</v>
      </c>
      <c r="E384">
        <v>1</v>
      </c>
      <c r="F384">
        <v>0.82838741316131459</v>
      </c>
      <c r="G384">
        <v>0.7047636491316982</v>
      </c>
    </row>
    <row r="385" spans="1:7" x14ac:dyDescent="0.45">
      <c r="A385" s="3">
        <v>42921</v>
      </c>
      <c r="B385">
        <v>5180.1000000000004</v>
      </c>
      <c r="C385">
        <v>1.0048503352724225E-3</v>
      </c>
      <c r="D385">
        <v>0.50175208098693691</v>
      </c>
      <c r="E385">
        <v>1</v>
      </c>
      <c r="F385">
        <v>0.82813784730961815</v>
      </c>
      <c r="G385">
        <v>0.70567632246667045</v>
      </c>
    </row>
    <row r="386" spans="1:7" x14ac:dyDescent="0.45">
      <c r="A386" s="3">
        <v>42922</v>
      </c>
      <c r="B386">
        <v>5152.3999999999996</v>
      </c>
      <c r="C386">
        <v>-5.347387116078961E-3</v>
      </c>
      <c r="D386">
        <v>0.49950110209325427</v>
      </c>
      <c r="E386">
        <v>-1</v>
      </c>
      <c r="F386">
        <v>0.82807510689084396</v>
      </c>
      <c r="G386">
        <v>0.70592651884445268</v>
      </c>
    </row>
    <row r="387" spans="1:7" x14ac:dyDescent="0.45">
      <c r="A387" s="3">
        <v>42923</v>
      </c>
      <c r="B387">
        <v>5145.16</v>
      </c>
      <c r="C387">
        <v>-1.4051704060242809E-3</v>
      </c>
      <c r="D387">
        <v>0.49907032915669108</v>
      </c>
      <c r="E387">
        <v>-1</v>
      </c>
      <c r="F387">
        <v>0.82840869601859057</v>
      </c>
      <c r="G387">
        <v>0.70586383268772179</v>
      </c>
    </row>
    <row r="388" spans="1:7" x14ac:dyDescent="0.45">
      <c r="A388" s="3">
        <v>42926</v>
      </c>
      <c r="B388">
        <v>5165.6400000000003</v>
      </c>
      <c r="C388">
        <v>3.9804398697029786E-3</v>
      </c>
      <c r="D388">
        <v>0.49876535687227996</v>
      </c>
      <c r="E388">
        <v>-1</v>
      </c>
      <c r="F388">
        <v>0.8283206565445288</v>
      </c>
      <c r="G388">
        <v>0.70552879777146849</v>
      </c>
    </row>
    <row r="389" spans="1:7" x14ac:dyDescent="0.45">
      <c r="A389" s="3">
        <v>42927</v>
      </c>
      <c r="B389">
        <v>5140.6000000000004</v>
      </c>
      <c r="C389">
        <v>-4.8474148411425944E-3</v>
      </c>
      <c r="D389">
        <v>0.50057642283937975</v>
      </c>
      <c r="E389">
        <v>1</v>
      </c>
      <c r="F389">
        <v>0.82807159258163554</v>
      </c>
      <c r="G389">
        <v>0.70561672205152826</v>
      </c>
    </row>
    <row r="390" spans="1:7" x14ac:dyDescent="0.45">
      <c r="A390" s="3">
        <v>42928</v>
      </c>
      <c r="B390">
        <v>5222.13</v>
      </c>
      <c r="C390">
        <v>1.5860016340504934E-2</v>
      </c>
      <c r="D390">
        <v>0.49969866463792639</v>
      </c>
      <c r="E390">
        <v>-1</v>
      </c>
      <c r="F390">
        <v>0.82776844667698213</v>
      </c>
      <c r="G390">
        <v>0.70586564938388241</v>
      </c>
    </row>
    <row r="391" spans="1:7" x14ac:dyDescent="0.45">
      <c r="A391" s="3">
        <v>42929</v>
      </c>
      <c r="B391">
        <v>5235.3999999999996</v>
      </c>
      <c r="C391">
        <v>2.5411087046856018E-3</v>
      </c>
      <c r="D391">
        <v>0.50242668031260107</v>
      </c>
      <c r="E391">
        <v>1</v>
      </c>
      <c r="F391">
        <v>0.82875486356388239</v>
      </c>
      <c r="G391">
        <v>0.7055641634487827</v>
      </c>
    </row>
    <row r="392" spans="1:7" x14ac:dyDescent="0.45">
      <c r="A392" s="3">
        <v>42930</v>
      </c>
      <c r="B392">
        <v>5235.3100000000004</v>
      </c>
      <c r="C392">
        <v>-1.7190663559429886E-5</v>
      </c>
      <c r="D392">
        <v>0.50332400486928086</v>
      </c>
      <c r="E392">
        <v>1</v>
      </c>
      <c r="F392">
        <v>0.82859499550347249</v>
      </c>
      <c r="G392">
        <v>0.70456636668166672</v>
      </c>
    </row>
    <row r="393" spans="1:7" x14ac:dyDescent="0.45">
      <c r="A393" s="3">
        <v>42933</v>
      </c>
      <c r="B393">
        <v>5230.17</v>
      </c>
      <c r="C393">
        <v>-9.8179477433046891E-4</v>
      </c>
      <c r="D393">
        <v>0.50044403379067104</v>
      </c>
      <c r="E393">
        <v>1</v>
      </c>
      <c r="F393">
        <v>0.82859607087325127</v>
      </c>
      <c r="G393">
        <v>0.70440740647072386</v>
      </c>
    </row>
    <row r="394" spans="1:7" x14ac:dyDescent="0.45">
      <c r="A394" s="3">
        <v>42934</v>
      </c>
      <c r="B394">
        <v>5173.2700000000004</v>
      </c>
      <c r="C394">
        <v>-1.0879187483389563E-2</v>
      </c>
      <c r="D394">
        <v>0.49979359488093772</v>
      </c>
      <c r="E394">
        <v>-1</v>
      </c>
      <c r="F394">
        <v>0.82865740770526097</v>
      </c>
      <c r="G394">
        <v>0.70440848044348314</v>
      </c>
    </row>
    <row r="395" spans="1:7" x14ac:dyDescent="0.45">
      <c r="A395" s="3">
        <v>42935</v>
      </c>
      <c r="B395">
        <v>5216.07</v>
      </c>
      <c r="C395">
        <v>8.2732971602099692E-3</v>
      </c>
      <c r="D395">
        <v>0.49757334308753687</v>
      </c>
      <c r="E395">
        <v>-1</v>
      </c>
      <c r="F395">
        <v>0.82797417457431033</v>
      </c>
      <c r="G395">
        <v>0.70434682191258269</v>
      </c>
    </row>
    <row r="396" spans="1:7" x14ac:dyDescent="0.45">
      <c r="A396" s="3">
        <v>42936</v>
      </c>
      <c r="B396">
        <v>5199.22</v>
      </c>
      <c r="C396">
        <v>-3.2304014324959773E-3</v>
      </c>
      <c r="D396">
        <v>0.49979683882575954</v>
      </c>
      <c r="E396">
        <v>-1</v>
      </c>
      <c r="F396">
        <v>0.82745730368872727</v>
      </c>
      <c r="G396">
        <v>0.70502649473951906</v>
      </c>
    </row>
    <row r="397" spans="1:7" x14ac:dyDescent="0.45">
      <c r="A397" s="3">
        <v>42937</v>
      </c>
      <c r="B397">
        <v>5117.66</v>
      </c>
      <c r="C397">
        <v>-1.5686968429879933E-2</v>
      </c>
      <c r="D397">
        <v>0.50078996795210262</v>
      </c>
      <c r="E397">
        <v>1</v>
      </c>
      <c r="F397">
        <v>0.82765952226268003</v>
      </c>
      <c r="G397">
        <v>0.70450859800482979</v>
      </c>
    </row>
    <row r="398" spans="1:7" x14ac:dyDescent="0.45">
      <c r="A398" s="3">
        <v>42940</v>
      </c>
      <c r="B398">
        <v>5127.7</v>
      </c>
      <c r="C398">
        <v>1.9618341195000166E-3</v>
      </c>
      <c r="D398">
        <v>0.49618524542563325</v>
      </c>
      <c r="E398">
        <v>-1</v>
      </c>
      <c r="F398">
        <v>0.82667166399998437</v>
      </c>
      <c r="G398">
        <v>0.70430516935886933</v>
      </c>
    </row>
    <row r="399" spans="1:7" x14ac:dyDescent="0.45">
      <c r="A399" s="3">
        <v>42941</v>
      </c>
      <c r="B399">
        <v>5161.08</v>
      </c>
      <c r="C399">
        <v>6.5097412095092011E-3</v>
      </c>
      <c r="D399">
        <v>0.4976433623809367</v>
      </c>
      <c r="E399">
        <v>-1</v>
      </c>
      <c r="F399">
        <v>0.82679485381224616</v>
      </c>
      <c r="G399">
        <v>0.70332013465250665</v>
      </c>
    </row>
    <row r="400" spans="1:7" x14ac:dyDescent="0.45">
      <c r="A400" s="3">
        <v>42942</v>
      </c>
      <c r="B400">
        <v>5190.17</v>
      </c>
      <c r="C400">
        <v>5.6364171840002086E-3</v>
      </c>
      <c r="D400">
        <v>0.50169049805070998</v>
      </c>
      <c r="E400">
        <v>1</v>
      </c>
      <c r="F400">
        <v>0.82720033241460389</v>
      </c>
      <c r="G400">
        <v>0.70344233332849559</v>
      </c>
    </row>
    <row r="401" spans="1:7" x14ac:dyDescent="0.45">
      <c r="A401" s="3">
        <v>42943</v>
      </c>
      <c r="B401">
        <v>5186.95</v>
      </c>
      <c r="C401">
        <v>-6.2040357059600648E-4</v>
      </c>
      <c r="D401">
        <v>0.50231040198452326</v>
      </c>
      <c r="E401">
        <v>1</v>
      </c>
      <c r="F401">
        <v>0.82684643609841801</v>
      </c>
      <c r="G401">
        <v>0.70303360321534702</v>
      </c>
    </row>
    <row r="402" spans="1:7" x14ac:dyDescent="0.45">
      <c r="A402" s="3">
        <v>42944</v>
      </c>
      <c r="B402">
        <v>5131.3900000000003</v>
      </c>
      <c r="C402">
        <v>-1.0711497122586344E-2</v>
      </c>
      <c r="D402">
        <v>0.50086240219499789</v>
      </c>
      <c r="E402">
        <v>1</v>
      </c>
      <c r="F402">
        <v>0.82688527808570211</v>
      </c>
      <c r="G402">
        <v>0.70268072058383946</v>
      </c>
    </row>
    <row r="403" spans="1:7" x14ac:dyDescent="0.45">
      <c r="A403" s="3">
        <v>42947</v>
      </c>
      <c r="B403">
        <v>5093.7700000000004</v>
      </c>
      <c r="C403">
        <v>-7.3313468670281878E-3</v>
      </c>
      <c r="D403">
        <v>0.49767673549391561</v>
      </c>
      <c r="E403">
        <v>-1</v>
      </c>
      <c r="F403">
        <v>0.82755162156390893</v>
      </c>
      <c r="G403">
        <v>0.70271931480352623</v>
      </c>
    </row>
    <row r="404" spans="1:7" x14ac:dyDescent="0.45">
      <c r="A404" s="3">
        <v>42948</v>
      </c>
      <c r="B404">
        <v>5127.03</v>
      </c>
      <c r="C404">
        <v>6.5295449146700602E-3</v>
      </c>
      <c r="D404">
        <v>0.49660149136121368</v>
      </c>
      <c r="E404">
        <v>-1</v>
      </c>
      <c r="F404">
        <v>0.82709031924190735</v>
      </c>
      <c r="G404">
        <v>0.70204532698322752</v>
      </c>
    </row>
    <row r="405" spans="1:7" x14ac:dyDescent="0.45">
      <c r="A405" s="3">
        <v>42949</v>
      </c>
      <c r="B405">
        <v>5107.25</v>
      </c>
      <c r="C405">
        <v>-3.8579840570466262E-3</v>
      </c>
      <c r="D405">
        <v>0.50006339639453234</v>
      </c>
      <c r="E405">
        <v>1</v>
      </c>
      <c r="F405">
        <v>0.82668217094760132</v>
      </c>
      <c r="G405">
        <v>0.70250359425266928</v>
      </c>
    </row>
    <row r="406" spans="1:7" x14ac:dyDescent="0.45">
      <c r="A406" s="3">
        <v>42950</v>
      </c>
      <c r="B406">
        <v>5130.49</v>
      </c>
      <c r="C406">
        <v>4.5503940476772087E-3</v>
      </c>
      <c r="D406">
        <v>0.50034942547702177</v>
      </c>
      <c r="E406">
        <v>1</v>
      </c>
      <c r="F406">
        <v>0.82644121557145678</v>
      </c>
      <c r="G406">
        <v>0.70291140541199582</v>
      </c>
    </row>
    <row r="407" spans="1:7" x14ac:dyDescent="0.45">
      <c r="A407" s="3">
        <v>42951</v>
      </c>
      <c r="B407">
        <v>5203.4399999999996</v>
      </c>
      <c r="C407">
        <v>1.4218914762527568E-2</v>
      </c>
      <c r="D407">
        <v>0.50026220302408853</v>
      </c>
      <c r="E407">
        <v>1</v>
      </c>
      <c r="F407">
        <v>0.82672546598038221</v>
      </c>
      <c r="G407">
        <v>0.70267040792159097</v>
      </c>
    </row>
    <row r="408" spans="1:7" x14ac:dyDescent="0.45">
      <c r="A408" s="3">
        <v>42954</v>
      </c>
      <c r="B408">
        <v>5207.8900000000003</v>
      </c>
      <c r="C408">
        <v>8.5520348077450237E-4</v>
      </c>
      <c r="D408">
        <v>0.503738071897606</v>
      </c>
      <c r="E408">
        <v>1</v>
      </c>
      <c r="F408">
        <v>0.82760745493780652</v>
      </c>
      <c r="G408">
        <v>0.702952665560026</v>
      </c>
    </row>
    <row r="409" spans="1:7" x14ac:dyDescent="0.45">
      <c r="A409" s="3">
        <v>42955</v>
      </c>
      <c r="B409">
        <v>5218.8900000000003</v>
      </c>
      <c r="C409">
        <v>2.1121797887435623E-3</v>
      </c>
      <c r="D409">
        <v>0.50267572365958024</v>
      </c>
      <c r="E409">
        <v>1</v>
      </c>
      <c r="F409">
        <v>0.82766061759681631</v>
      </c>
      <c r="G409">
        <v>0.70383656668297845</v>
      </c>
    </row>
    <row r="410" spans="1:7" x14ac:dyDescent="0.45">
      <c r="A410" s="3">
        <v>42956</v>
      </c>
      <c r="B410">
        <v>5145.7</v>
      </c>
      <c r="C410">
        <v>-1.4024054923556628E-2</v>
      </c>
      <c r="D410">
        <v>0.50058752260713379</v>
      </c>
      <c r="E410">
        <v>1</v>
      </c>
      <c r="F410">
        <v>0.82752845142333398</v>
      </c>
      <c r="G410">
        <v>0.70378305373289485</v>
      </c>
    </row>
    <row r="411" spans="1:7" x14ac:dyDescent="0.45">
      <c r="A411" s="3">
        <v>42957</v>
      </c>
      <c r="B411">
        <v>5115.2299999999996</v>
      </c>
      <c r="C411">
        <v>-5.9214489768156797E-3</v>
      </c>
      <c r="D411">
        <v>0.49747032455643919</v>
      </c>
      <c r="E411">
        <v>-1</v>
      </c>
      <c r="F411">
        <v>0.8284004979952615</v>
      </c>
      <c r="G411">
        <v>0.70365171374926616</v>
      </c>
    </row>
    <row r="412" spans="1:7" x14ac:dyDescent="0.45">
      <c r="A412" s="3">
        <v>42958</v>
      </c>
      <c r="B412">
        <v>5060.92</v>
      </c>
      <c r="C412">
        <v>-1.0617313395487549E-2</v>
      </c>
      <c r="D412">
        <v>0.49630672178163526</v>
      </c>
      <c r="E412">
        <v>-1</v>
      </c>
      <c r="F412">
        <v>0.82876783481805927</v>
      </c>
      <c r="G412">
        <v>0.70452169537007048</v>
      </c>
    </row>
    <row r="413" spans="1:7" x14ac:dyDescent="0.45">
      <c r="A413" s="3">
        <v>42961</v>
      </c>
      <c r="B413">
        <v>5121.67</v>
      </c>
      <c r="C413">
        <v>1.200374635441781E-2</v>
      </c>
      <c r="D413">
        <v>0.49675727618861037</v>
      </c>
      <c r="E413">
        <v>-1</v>
      </c>
      <c r="F413">
        <v>0.82809997719593287</v>
      </c>
      <c r="G413">
        <v>0.70414922027341564</v>
      </c>
    </row>
    <row r="414" spans="1:7" x14ac:dyDescent="0.45">
      <c r="A414" s="3">
        <v>42962</v>
      </c>
      <c r="B414">
        <v>5140.25</v>
      </c>
      <c r="C414">
        <v>3.6277229887906604E-3</v>
      </c>
      <c r="D414">
        <v>0.50061603197167337</v>
      </c>
      <c r="E414">
        <v>1</v>
      </c>
      <c r="F414">
        <v>0.8288492858692037</v>
      </c>
      <c r="G414">
        <v>0.70348645676782506</v>
      </c>
    </row>
    <row r="415" spans="1:7" x14ac:dyDescent="0.45">
      <c r="A415" s="3">
        <v>42963</v>
      </c>
      <c r="B415">
        <v>5176.6099999999997</v>
      </c>
      <c r="C415">
        <v>7.0735859150818925E-3</v>
      </c>
      <c r="D415">
        <v>0.50286279586612748</v>
      </c>
      <c r="E415">
        <v>1</v>
      </c>
      <c r="F415">
        <v>0.82907471298692181</v>
      </c>
      <c r="G415">
        <v>0.70423237092688751</v>
      </c>
    </row>
    <row r="416" spans="1:7" x14ac:dyDescent="0.45">
      <c r="A416" s="3">
        <v>42964</v>
      </c>
      <c r="B416">
        <v>5146.8500000000004</v>
      </c>
      <c r="C416">
        <v>-5.7489360797895461E-3</v>
      </c>
      <c r="D416">
        <v>0.50210481036026777</v>
      </c>
      <c r="E416">
        <v>1</v>
      </c>
      <c r="F416">
        <v>0.82863076066499142</v>
      </c>
      <c r="G416">
        <v>0.70400468781629433</v>
      </c>
    </row>
    <row r="417" spans="1:7" x14ac:dyDescent="0.45">
      <c r="A417" s="3">
        <v>42965</v>
      </c>
      <c r="B417">
        <v>5114.1499999999996</v>
      </c>
      <c r="C417">
        <v>-6.3534006236826146E-3</v>
      </c>
      <c r="D417">
        <v>0.50005402309155944</v>
      </c>
      <c r="E417">
        <v>1</v>
      </c>
      <c r="F417">
        <v>0.82899010798769579</v>
      </c>
      <c r="G417">
        <v>0.70356254093464088</v>
      </c>
    </row>
    <row r="418" spans="1:7" x14ac:dyDescent="0.45">
      <c r="A418" s="3">
        <v>42968</v>
      </c>
      <c r="B418">
        <v>5087.59</v>
      </c>
      <c r="C418">
        <v>-5.1934339039721999E-3</v>
      </c>
      <c r="D418">
        <v>0.49767210623403385</v>
      </c>
      <c r="E418">
        <v>-1</v>
      </c>
      <c r="F418">
        <v>0.82938533820412574</v>
      </c>
      <c r="G418">
        <v>0.70392016882333208</v>
      </c>
    </row>
    <row r="419" spans="1:7" x14ac:dyDescent="0.45">
      <c r="A419" s="3">
        <v>42969</v>
      </c>
      <c r="B419">
        <v>5131.8599999999997</v>
      </c>
      <c r="C419">
        <v>8.7015659673832513E-3</v>
      </c>
      <c r="D419">
        <v>0.49780510290530516</v>
      </c>
      <c r="E419">
        <v>-1</v>
      </c>
      <c r="F419">
        <v>0.82905932998589904</v>
      </c>
      <c r="G419">
        <v>0.70352134583736459</v>
      </c>
    </row>
    <row r="420" spans="1:7" x14ac:dyDescent="0.45">
      <c r="A420" s="3">
        <v>42970</v>
      </c>
      <c r="B420">
        <v>5115.3900000000003</v>
      </c>
      <c r="C420">
        <v>-3.2093626872127246E-3</v>
      </c>
      <c r="D420">
        <v>0.5008901047699843</v>
      </c>
      <c r="E420">
        <v>1</v>
      </c>
      <c r="F420">
        <v>0.82851451567636747</v>
      </c>
      <c r="G420">
        <v>0.70384651226339601</v>
      </c>
    </row>
    <row r="421" spans="1:7" x14ac:dyDescent="0.45">
      <c r="A421" s="3">
        <v>42971</v>
      </c>
      <c r="B421">
        <v>5113.13</v>
      </c>
      <c r="C421">
        <v>-4.4180404622129466E-4</v>
      </c>
      <c r="D421">
        <v>0.50086638995411559</v>
      </c>
      <c r="E421">
        <v>1</v>
      </c>
      <c r="F421">
        <v>0.8287154478109614</v>
      </c>
      <c r="G421">
        <v>0.70330172365751409</v>
      </c>
    </row>
    <row r="422" spans="1:7" x14ac:dyDescent="0.45">
      <c r="A422" s="3">
        <v>42972</v>
      </c>
      <c r="B422">
        <v>5104.33</v>
      </c>
      <c r="C422">
        <v>-1.721059312006612E-3</v>
      </c>
      <c r="D422">
        <v>0.49934418033914868</v>
      </c>
      <c r="E422">
        <v>-1</v>
      </c>
      <c r="F422">
        <v>0.82874302429843516</v>
      </c>
      <c r="G422">
        <v>0.70350204538543759</v>
      </c>
    </row>
    <row r="423" spans="1:7" x14ac:dyDescent="0.45">
      <c r="A423" s="3">
        <v>42975</v>
      </c>
      <c r="B423">
        <v>5079.75</v>
      </c>
      <c r="C423">
        <v>-4.8155193727678069E-3</v>
      </c>
      <c r="D423">
        <v>0.49956571862185611</v>
      </c>
      <c r="E423">
        <v>-1</v>
      </c>
      <c r="F423">
        <v>0.82885049699635671</v>
      </c>
      <c r="G423">
        <v>0.70352963413410463</v>
      </c>
    </row>
    <row r="424" spans="1:7" x14ac:dyDescent="0.45">
      <c r="A424" s="3">
        <v>42976</v>
      </c>
      <c r="B424">
        <v>5031.92</v>
      </c>
      <c r="C424">
        <v>-9.415817707564389E-3</v>
      </c>
      <c r="D424">
        <v>0.49869946246960217</v>
      </c>
      <c r="E424">
        <v>-1</v>
      </c>
      <c r="F424">
        <v>0.82915068208075227</v>
      </c>
      <c r="G424">
        <v>0.70363691982747056</v>
      </c>
    </row>
    <row r="425" spans="1:7" x14ac:dyDescent="0.45">
      <c r="A425" s="3">
        <v>42977</v>
      </c>
      <c r="B425">
        <v>5056.34</v>
      </c>
      <c r="C425">
        <v>4.8530183309751784E-3</v>
      </c>
      <c r="D425">
        <v>0.49720115201042103</v>
      </c>
      <c r="E425">
        <v>-1</v>
      </c>
      <c r="F425">
        <v>0.82855891783676228</v>
      </c>
      <c r="G425">
        <v>0.70333427461177611</v>
      </c>
    </row>
    <row r="426" spans="1:7" x14ac:dyDescent="0.45">
      <c r="A426" s="3">
        <v>42978</v>
      </c>
      <c r="B426">
        <v>5085.59</v>
      </c>
      <c r="C426">
        <v>5.7848166855867245E-3</v>
      </c>
      <c r="D426">
        <v>0.49934963644161379</v>
      </c>
      <c r="E426">
        <v>-1</v>
      </c>
      <c r="F426">
        <v>0.82886262549689094</v>
      </c>
      <c r="G426">
        <v>0.70274502153891838</v>
      </c>
    </row>
    <row r="427" spans="1:7" x14ac:dyDescent="0.45">
      <c r="A427" s="3">
        <v>42979</v>
      </c>
      <c r="B427">
        <v>5123.26</v>
      </c>
      <c r="C427">
        <v>7.4072034906471629E-3</v>
      </c>
      <c r="D427">
        <v>0.5020513016955459</v>
      </c>
      <c r="E427">
        <v>1</v>
      </c>
      <c r="F427">
        <v>0.82922268717877778</v>
      </c>
      <c r="G427">
        <v>0.70304708572477803</v>
      </c>
    </row>
    <row r="428" spans="1:7" x14ac:dyDescent="0.45">
      <c r="A428" s="3">
        <v>42982</v>
      </c>
      <c r="B428">
        <v>5103.97</v>
      </c>
      <c r="C428">
        <v>-3.7651807638104939E-3</v>
      </c>
      <c r="D428">
        <v>0.50255228275553787</v>
      </c>
      <c r="E428">
        <v>1</v>
      </c>
      <c r="F428">
        <v>0.82875738592537485</v>
      </c>
      <c r="G428">
        <v>0.70268369858982105</v>
      </c>
    </row>
    <row r="429" spans="1:7" x14ac:dyDescent="0.45">
      <c r="A429" s="3">
        <v>42983</v>
      </c>
      <c r="B429">
        <v>5086.5600000000004</v>
      </c>
      <c r="C429">
        <v>-3.4110702061336262E-3</v>
      </c>
      <c r="D429">
        <v>0.50052112475571919</v>
      </c>
      <c r="E429">
        <v>1</v>
      </c>
      <c r="F429">
        <v>0.82899295473333134</v>
      </c>
      <c r="G429">
        <v>0.70222026636543644</v>
      </c>
    </row>
    <row r="430" spans="1:7" x14ac:dyDescent="0.45">
      <c r="A430" s="3">
        <v>42984</v>
      </c>
      <c r="B430">
        <v>5101.41</v>
      </c>
      <c r="C430">
        <v>2.9194583372651461E-3</v>
      </c>
      <c r="D430">
        <v>0.49863206856101394</v>
      </c>
      <c r="E430">
        <v>-1</v>
      </c>
      <c r="F430">
        <v>0.82877918118177141</v>
      </c>
      <c r="G430">
        <v>0.70198430052026051</v>
      </c>
    </row>
    <row r="431" spans="1:7" x14ac:dyDescent="0.45">
      <c r="A431" s="3">
        <v>42985</v>
      </c>
      <c r="B431">
        <v>5114.62</v>
      </c>
      <c r="C431">
        <v>2.5894801633274955E-3</v>
      </c>
      <c r="D431">
        <v>0.50000626713939333</v>
      </c>
      <c r="E431">
        <v>1</v>
      </c>
      <c r="F431">
        <v>0.82896164504074021</v>
      </c>
      <c r="G431">
        <v>0.70177111130461722</v>
      </c>
    </row>
    <row r="432" spans="1:7" x14ac:dyDescent="0.45">
      <c r="A432" s="3">
        <v>42986</v>
      </c>
      <c r="B432">
        <v>5113.49</v>
      </c>
      <c r="C432">
        <v>-2.2093527964939241E-4</v>
      </c>
      <c r="D432">
        <v>0.50104884127603588</v>
      </c>
      <c r="E432">
        <v>1</v>
      </c>
      <c r="F432">
        <v>0.82879946374996738</v>
      </c>
      <c r="G432">
        <v>0.70158826320707213</v>
      </c>
    </row>
    <row r="433" spans="1:7" x14ac:dyDescent="0.45">
      <c r="A433" s="3">
        <v>42989</v>
      </c>
      <c r="B433">
        <v>5176.71</v>
      </c>
      <c r="C433">
        <v>1.2363376089520095E-2</v>
      </c>
      <c r="D433">
        <v>0.50040840937144604</v>
      </c>
      <c r="E433">
        <v>1</v>
      </c>
      <c r="F433">
        <v>0.82878566658319952</v>
      </c>
      <c r="G433">
        <v>0.7017499734133924</v>
      </c>
    </row>
    <row r="434" spans="1:7" x14ac:dyDescent="0.45">
      <c r="A434" s="3">
        <v>42990</v>
      </c>
      <c r="B434">
        <v>5209.01</v>
      </c>
      <c r="C434">
        <v>6.2394841511308474E-3</v>
      </c>
      <c r="D434">
        <v>0.50252286548119629</v>
      </c>
      <c r="E434">
        <v>1</v>
      </c>
      <c r="F434">
        <v>0.82955445912345271</v>
      </c>
      <c r="G434">
        <v>0.70173623498194426</v>
      </c>
    </row>
    <row r="435" spans="1:7" x14ac:dyDescent="0.45">
      <c r="A435" s="3">
        <v>42991</v>
      </c>
      <c r="B435">
        <v>5217.59</v>
      </c>
      <c r="C435">
        <v>1.6471460027913665E-3</v>
      </c>
      <c r="D435">
        <v>0.50346289985267678</v>
      </c>
      <c r="E435">
        <v>1</v>
      </c>
      <c r="F435">
        <v>0.82994170746838813</v>
      </c>
      <c r="G435">
        <v>0.70250355753818683</v>
      </c>
    </row>
    <row r="436" spans="1:7" x14ac:dyDescent="0.45">
      <c r="A436" s="3">
        <v>42992</v>
      </c>
      <c r="B436">
        <v>5225.2</v>
      </c>
      <c r="C436">
        <v>1.4585277877332548E-3</v>
      </c>
      <c r="D436">
        <v>0.50143756978363629</v>
      </c>
      <c r="E436">
        <v>1</v>
      </c>
      <c r="F436">
        <v>0.8300443572590932</v>
      </c>
      <c r="G436">
        <v>0.7028924008715256</v>
      </c>
    </row>
    <row r="437" spans="1:7" x14ac:dyDescent="0.45">
      <c r="A437" s="3">
        <v>42993</v>
      </c>
      <c r="B437">
        <v>5213.91</v>
      </c>
      <c r="C437">
        <v>-2.1606828446757431E-3</v>
      </c>
      <c r="D437">
        <v>0.50059210201537419</v>
      </c>
      <c r="E437">
        <v>1</v>
      </c>
      <c r="F437">
        <v>0.82995309145069029</v>
      </c>
      <c r="G437">
        <v>0.70278933248107966</v>
      </c>
    </row>
    <row r="438" spans="1:7" x14ac:dyDescent="0.45">
      <c r="A438" s="3">
        <v>42996</v>
      </c>
      <c r="B438">
        <v>5229.32</v>
      </c>
      <c r="C438">
        <v>2.9555554276923246E-3</v>
      </c>
      <c r="D438">
        <v>0.4998079431003864</v>
      </c>
      <c r="E438">
        <v>-1</v>
      </c>
      <c r="F438">
        <v>0.82981799692107439</v>
      </c>
      <c r="G438">
        <v>0.70288052546939872</v>
      </c>
    </row>
    <row r="439" spans="1:7" x14ac:dyDescent="0.45">
      <c r="A439" s="3">
        <v>42997</v>
      </c>
      <c r="B439">
        <v>5237.4399999999996</v>
      </c>
      <c r="C439">
        <v>1.552783153450088E-3</v>
      </c>
      <c r="D439">
        <v>0.50023346778092204</v>
      </c>
      <c r="E439">
        <v>1</v>
      </c>
      <c r="F439">
        <v>0.8300026328416783</v>
      </c>
      <c r="G439">
        <v>0.70274554587726457</v>
      </c>
    </row>
    <row r="440" spans="1:7" x14ac:dyDescent="0.45">
      <c r="A440" s="3">
        <v>42998</v>
      </c>
      <c r="B440">
        <v>5241.66</v>
      </c>
      <c r="C440">
        <v>8.0573715402953994E-4</v>
      </c>
      <c r="D440">
        <v>0.50084145358511689</v>
      </c>
      <c r="E440">
        <v>1</v>
      </c>
      <c r="F440">
        <v>0.83009951819000283</v>
      </c>
      <c r="G440">
        <v>0.70292995669887104</v>
      </c>
    </row>
    <row r="441" spans="1:7" x14ac:dyDescent="0.45">
      <c r="A441" s="3">
        <v>42999</v>
      </c>
      <c r="B441">
        <v>5267.29</v>
      </c>
      <c r="C441">
        <v>4.8896723557041444E-3</v>
      </c>
      <c r="D441">
        <v>0.50044008484089686</v>
      </c>
      <c r="E441">
        <v>1</v>
      </c>
      <c r="F441">
        <v>0.83014983239906293</v>
      </c>
      <c r="G441">
        <v>0.7030269201513033</v>
      </c>
    </row>
    <row r="442" spans="1:7" x14ac:dyDescent="0.45">
      <c r="A442" s="3">
        <v>43000</v>
      </c>
      <c r="B442">
        <v>5281.29</v>
      </c>
      <c r="C442">
        <v>2.6579132722899246E-3</v>
      </c>
      <c r="D442">
        <v>0.50115640183721122</v>
      </c>
      <c r="E442">
        <v>1</v>
      </c>
      <c r="F442">
        <v>0.8304547284871161</v>
      </c>
      <c r="G442">
        <v>0.70307716198519143</v>
      </c>
    </row>
    <row r="443" spans="1:7" x14ac:dyDescent="0.45">
      <c r="A443" s="3">
        <v>43003</v>
      </c>
      <c r="B443">
        <v>5267.13</v>
      </c>
      <c r="C443">
        <v>-2.6811631249182843E-3</v>
      </c>
      <c r="D443">
        <v>0.50141126965419014</v>
      </c>
      <c r="E443">
        <v>1</v>
      </c>
      <c r="F443">
        <v>0.83028814135571982</v>
      </c>
      <c r="G443">
        <v>0.70277069732372321</v>
      </c>
    </row>
    <row r="444" spans="1:7" x14ac:dyDescent="0.45">
      <c r="A444" s="3">
        <v>43004</v>
      </c>
      <c r="B444">
        <v>5268.76</v>
      </c>
      <c r="C444">
        <v>3.094664456735341E-4</v>
      </c>
      <c r="D444">
        <v>0.49991044140499113</v>
      </c>
      <c r="E444">
        <v>-1</v>
      </c>
      <c r="F444">
        <v>0.83012053865063928</v>
      </c>
      <c r="G444">
        <v>0.70293684665278311</v>
      </c>
    </row>
    <row r="445" spans="1:7" x14ac:dyDescent="0.45">
      <c r="A445" s="3">
        <v>43005</v>
      </c>
      <c r="B445">
        <v>5281.96</v>
      </c>
      <c r="C445">
        <v>2.5053333232107899E-3</v>
      </c>
      <c r="D445">
        <v>0.49959305161490436</v>
      </c>
      <c r="E445">
        <v>-1</v>
      </c>
      <c r="F445">
        <v>0.83013989603277982</v>
      </c>
      <c r="G445">
        <v>0.70276913768169547</v>
      </c>
    </row>
    <row r="446" spans="1:7" x14ac:dyDescent="0.45">
      <c r="A446" s="3">
        <v>43006</v>
      </c>
      <c r="B446">
        <v>5293.77</v>
      </c>
      <c r="C446">
        <v>2.2359124264479391E-3</v>
      </c>
      <c r="D446">
        <v>0.50057431490033188</v>
      </c>
      <c r="E446">
        <v>1</v>
      </c>
      <c r="F446">
        <v>0.83029629930284732</v>
      </c>
      <c r="G446">
        <v>0.70278845709266213</v>
      </c>
    </row>
    <row r="447" spans="1:7" x14ac:dyDescent="0.45">
      <c r="A447" s="3">
        <v>43007</v>
      </c>
      <c r="B447">
        <v>5329.81</v>
      </c>
      <c r="C447">
        <v>6.8080026143939598E-3</v>
      </c>
      <c r="D447">
        <v>0.50090429630250333</v>
      </c>
      <c r="E447">
        <v>1</v>
      </c>
      <c r="F447">
        <v>0.83043579063230422</v>
      </c>
      <c r="G447">
        <v>0.70294475671864631</v>
      </c>
    </row>
    <row r="448" spans="1:7" x14ac:dyDescent="0.45">
      <c r="A448" s="3">
        <v>43010</v>
      </c>
      <c r="B448">
        <v>5350.44</v>
      </c>
      <c r="C448">
        <v>3.8706820693419353E-3</v>
      </c>
      <c r="D448">
        <v>0.50180632512926759</v>
      </c>
      <c r="E448">
        <v>1</v>
      </c>
      <c r="F448">
        <v>0.83085974807918517</v>
      </c>
      <c r="G448">
        <v>0.70308399457994819</v>
      </c>
    </row>
    <row r="449" spans="1:7" x14ac:dyDescent="0.45">
      <c r="A449" s="3">
        <v>43011</v>
      </c>
      <c r="B449">
        <v>5367.41</v>
      </c>
      <c r="C449">
        <v>3.1717017665837677E-3</v>
      </c>
      <c r="D449">
        <v>0.50200063722359867</v>
      </c>
      <c r="E449">
        <v>1</v>
      </c>
      <c r="F449">
        <v>0.831100693872039</v>
      </c>
      <c r="G449">
        <v>0.70350778541533321</v>
      </c>
    </row>
    <row r="450" spans="1:7" x14ac:dyDescent="0.45">
      <c r="A450" s="3">
        <v>43013</v>
      </c>
      <c r="B450">
        <v>5379.21</v>
      </c>
      <c r="C450">
        <v>2.1984532577166149E-3</v>
      </c>
      <c r="D450">
        <v>0.50133976142096393</v>
      </c>
      <c r="E450">
        <v>1</v>
      </c>
      <c r="F450">
        <v>0.83129839264753602</v>
      </c>
      <c r="G450">
        <v>0.70374905308857705</v>
      </c>
    </row>
    <row r="451" spans="1:7" x14ac:dyDescent="0.45">
      <c r="A451" s="3">
        <v>43014</v>
      </c>
      <c r="B451">
        <v>5359.9</v>
      </c>
      <c r="C451">
        <v>-3.5897464497575138E-3</v>
      </c>
      <c r="D451">
        <v>0.50101491179971303</v>
      </c>
      <c r="E451">
        <v>1</v>
      </c>
      <c r="F451">
        <v>0.83116071098168576</v>
      </c>
      <c r="G451">
        <v>0.70355042017187952</v>
      </c>
    </row>
    <row r="452" spans="1:7" x14ac:dyDescent="0.45">
      <c r="A452" s="3">
        <v>43017</v>
      </c>
      <c r="B452">
        <v>5365.83</v>
      </c>
      <c r="C452">
        <v>1.1063639247002044E-3</v>
      </c>
      <c r="D452">
        <v>0.49964076668725405</v>
      </c>
      <c r="E452">
        <v>-1</v>
      </c>
      <c r="F452">
        <v>0.83093619074990843</v>
      </c>
      <c r="G452">
        <v>0.70368792214921483</v>
      </c>
    </row>
    <row r="453" spans="1:7" x14ac:dyDescent="0.45">
      <c r="A453" s="3">
        <v>43018</v>
      </c>
      <c r="B453">
        <v>5363.65</v>
      </c>
      <c r="C453">
        <v>-4.0627451857411234E-4</v>
      </c>
      <c r="D453">
        <v>0.49959831423764206</v>
      </c>
      <c r="E453">
        <v>-1</v>
      </c>
      <c r="F453">
        <v>0.83086709860053676</v>
      </c>
      <c r="G453">
        <v>0.70391210091388334</v>
      </c>
    </row>
    <row r="454" spans="1:7" x14ac:dyDescent="0.45">
      <c r="A454" s="3">
        <v>43019</v>
      </c>
      <c r="B454">
        <v>5362.41</v>
      </c>
      <c r="C454">
        <v>-2.3118585291725946E-4</v>
      </c>
      <c r="D454">
        <v>0.50011030570424253</v>
      </c>
      <c r="E454">
        <v>1</v>
      </c>
      <c r="F454">
        <v>0.83089249635851115</v>
      </c>
      <c r="G454">
        <v>0.70384293791717423</v>
      </c>
    </row>
    <row r="455" spans="1:7" x14ac:dyDescent="0.45">
      <c r="A455" s="3">
        <v>43020</v>
      </c>
      <c r="B455">
        <v>5360.81</v>
      </c>
      <c r="C455">
        <v>-2.9837330603210699E-4</v>
      </c>
      <c r="D455">
        <v>0.49988048899197407</v>
      </c>
      <c r="E455">
        <v>-1</v>
      </c>
      <c r="F455">
        <v>0.83090694201983639</v>
      </c>
      <c r="G455">
        <v>0.70386832400385013</v>
      </c>
    </row>
    <row r="456" spans="1:7" x14ac:dyDescent="0.45">
      <c r="A456" s="3">
        <v>43021</v>
      </c>
      <c r="B456">
        <v>5351.74</v>
      </c>
      <c r="C456">
        <v>-1.6919084989023281E-3</v>
      </c>
      <c r="D456">
        <v>0.49989733878891224</v>
      </c>
      <c r="E456">
        <v>-1</v>
      </c>
      <c r="F456">
        <v>0.83092558652175674</v>
      </c>
      <c r="G456">
        <v>0.70388277015232104</v>
      </c>
    </row>
    <row r="457" spans="1:7" x14ac:dyDescent="0.45">
      <c r="A457" s="3">
        <v>43024</v>
      </c>
      <c r="B457">
        <v>5362.88</v>
      </c>
      <c r="C457">
        <v>2.0815659953585808E-3</v>
      </c>
      <c r="D457">
        <v>0.49959603261515245</v>
      </c>
      <c r="E457">
        <v>-1</v>
      </c>
      <c r="F457">
        <v>0.83081975687517517</v>
      </c>
      <c r="G457">
        <v>0.70386410676624123</v>
      </c>
    </row>
    <row r="458" spans="1:7" x14ac:dyDescent="0.45">
      <c r="A458" s="3">
        <v>43025</v>
      </c>
      <c r="B458">
        <v>5361.37</v>
      </c>
      <c r="C458">
        <v>-2.8156512918431353E-4</v>
      </c>
      <c r="D458">
        <v>0.50013463311921458</v>
      </c>
      <c r="E458">
        <v>1</v>
      </c>
      <c r="F458">
        <v>0.83068962397893509</v>
      </c>
      <c r="G458">
        <v>0.70396987951311851</v>
      </c>
    </row>
    <row r="459" spans="1:7" x14ac:dyDescent="0.45">
      <c r="A459" s="3">
        <v>43027</v>
      </c>
      <c r="B459">
        <v>5368.29</v>
      </c>
      <c r="C459">
        <v>1.2907148732506091E-3</v>
      </c>
      <c r="D459">
        <v>0.50030786659400894</v>
      </c>
      <c r="E459">
        <v>1</v>
      </c>
      <c r="F459">
        <v>0.83067203700059089</v>
      </c>
      <c r="G459">
        <v>0.70409989723295596</v>
      </c>
    </row>
    <row r="460" spans="1:7" x14ac:dyDescent="0.45">
      <c r="A460" s="3">
        <v>43028</v>
      </c>
      <c r="B460">
        <v>5372.38</v>
      </c>
      <c r="C460">
        <v>7.6188134396626417E-4</v>
      </c>
      <c r="D460">
        <v>0.50021847767970218</v>
      </c>
      <c r="E460">
        <v>1</v>
      </c>
      <c r="F460">
        <v>0.83075267141572473</v>
      </c>
      <c r="G460">
        <v>0.70408230710520248</v>
      </c>
    </row>
    <row r="461" spans="1:7" x14ac:dyDescent="0.45">
      <c r="A461" s="3">
        <v>43031</v>
      </c>
      <c r="B461">
        <v>5386.81</v>
      </c>
      <c r="C461">
        <v>2.6859604123312675E-3</v>
      </c>
      <c r="D461">
        <v>0.50038542604055203</v>
      </c>
      <c r="E461">
        <v>1</v>
      </c>
      <c r="F461">
        <v>0.83080025226533571</v>
      </c>
      <c r="G461">
        <v>0.70416291455249225</v>
      </c>
    </row>
    <row r="462" spans="1:7" x14ac:dyDescent="0.45">
      <c r="A462" s="3">
        <v>43032</v>
      </c>
      <c r="B462">
        <v>5394.8</v>
      </c>
      <c r="C462">
        <v>1.4832526114714195E-3</v>
      </c>
      <c r="D462">
        <v>0.50069199585213808</v>
      </c>
      <c r="E462">
        <v>1</v>
      </c>
      <c r="F462">
        <v>0.83096789213581979</v>
      </c>
      <c r="G462">
        <v>0.70421046614306682</v>
      </c>
    </row>
    <row r="463" spans="1:7" x14ac:dyDescent="0.45">
      <c r="A463" s="3">
        <v>43033</v>
      </c>
      <c r="B463">
        <v>5374.89</v>
      </c>
      <c r="C463">
        <v>-3.690590939423144E-3</v>
      </c>
      <c r="D463">
        <v>0.5007810035473349</v>
      </c>
      <c r="E463">
        <v>1</v>
      </c>
      <c r="F463">
        <v>0.83087504427094583</v>
      </c>
      <c r="G463">
        <v>0.70404233180944609</v>
      </c>
    </row>
    <row r="464" spans="1:7" x14ac:dyDescent="0.45">
      <c r="A464" s="3">
        <v>43034</v>
      </c>
      <c r="B464">
        <v>5455.4</v>
      </c>
      <c r="C464">
        <v>1.4978911196322109E-2</v>
      </c>
      <c r="D464">
        <v>0.4994944633515308</v>
      </c>
      <c r="E464">
        <v>-1</v>
      </c>
      <c r="F464">
        <v>0.83064414935714703</v>
      </c>
      <c r="G464">
        <v>0.70413512873261874</v>
      </c>
    </row>
    <row r="465" spans="1:7" x14ac:dyDescent="0.45">
      <c r="A465" s="3">
        <v>43035</v>
      </c>
      <c r="B465">
        <v>5494.13</v>
      </c>
      <c r="C465">
        <v>7.0993877625840085E-3</v>
      </c>
      <c r="D465">
        <v>0.50246084768562049</v>
      </c>
      <c r="E465">
        <v>1</v>
      </c>
      <c r="F465">
        <v>0.83157570113894341</v>
      </c>
      <c r="G465">
        <v>0.70390560760652077</v>
      </c>
    </row>
    <row r="466" spans="1:7" x14ac:dyDescent="0.45">
      <c r="A466" s="3">
        <v>43039</v>
      </c>
      <c r="B466">
        <v>5503.29</v>
      </c>
      <c r="C466">
        <v>1.6672339387673318E-3</v>
      </c>
      <c r="D466">
        <v>0.5041117617942531</v>
      </c>
      <c r="E466">
        <v>1</v>
      </c>
      <c r="F466">
        <v>0.83201573424034359</v>
      </c>
      <c r="G466">
        <v>0.70483402805202067</v>
      </c>
    </row>
    <row r="467" spans="1:7" x14ac:dyDescent="0.45">
      <c r="A467" s="3">
        <v>43040</v>
      </c>
      <c r="B467">
        <v>5514.29</v>
      </c>
      <c r="C467">
        <v>1.9988043515788423E-3</v>
      </c>
      <c r="D467">
        <v>0.5015977582973361</v>
      </c>
      <c r="E467">
        <v>1</v>
      </c>
      <c r="F467">
        <v>0.83211960232126747</v>
      </c>
      <c r="G467">
        <v>0.70527631738256247</v>
      </c>
    </row>
    <row r="468" spans="1:7" x14ac:dyDescent="0.45">
      <c r="A468" s="3">
        <v>43041</v>
      </c>
      <c r="B468">
        <v>5510.5</v>
      </c>
      <c r="C468">
        <v>-6.8730516530690622E-4</v>
      </c>
      <c r="D468">
        <v>0.50070977574691256</v>
      </c>
      <c r="E468">
        <v>1</v>
      </c>
      <c r="F468">
        <v>0.83199449996353492</v>
      </c>
      <c r="G468">
        <v>0.70517196755139122</v>
      </c>
    </row>
    <row r="469" spans="1:7" x14ac:dyDescent="0.45">
      <c r="A469" s="3">
        <v>43042</v>
      </c>
      <c r="B469">
        <v>5517.97</v>
      </c>
      <c r="C469">
        <v>1.355593866255278E-3</v>
      </c>
      <c r="D469">
        <v>0.50020941665775998</v>
      </c>
      <c r="E469">
        <v>1</v>
      </c>
      <c r="F469">
        <v>0.83195156138987936</v>
      </c>
      <c r="G469">
        <v>0.70529684047859365</v>
      </c>
    </row>
    <row r="470" spans="1:7" x14ac:dyDescent="0.45">
      <c r="A470" s="3">
        <v>43045</v>
      </c>
      <c r="B470">
        <v>5507.25</v>
      </c>
      <c r="C470">
        <v>-1.9427434364449603E-3</v>
      </c>
      <c r="D470">
        <v>0.5001607585624871</v>
      </c>
      <c r="E470">
        <v>1</v>
      </c>
      <c r="F470">
        <v>0.83186680954158432</v>
      </c>
      <c r="G470">
        <v>0.70533981085825714</v>
      </c>
    </row>
    <row r="471" spans="1:7" x14ac:dyDescent="0.45">
      <c r="A471" s="3">
        <v>43046</v>
      </c>
      <c r="B471">
        <v>5480.64</v>
      </c>
      <c r="C471">
        <v>-4.8318126106495773E-3</v>
      </c>
      <c r="D471">
        <v>0.49983501264023616</v>
      </c>
      <c r="E471">
        <v>-1</v>
      </c>
      <c r="F471">
        <v>0.83198819092713194</v>
      </c>
      <c r="G471">
        <v>0.70525511420781983</v>
      </c>
    </row>
    <row r="472" spans="1:7" x14ac:dyDescent="0.45">
      <c r="A472" s="3">
        <v>43047</v>
      </c>
      <c r="B472">
        <v>5471.43</v>
      </c>
      <c r="C472">
        <v>-1.6804606761253726E-3</v>
      </c>
      <c r="D472">
        <v>0.49865246806830987</v>
      </c>
      <c r="E472">
        <v>-1</v>
      </c>
      <c r="F472">
        <v>0.83228936315003399</v>
      </c>
      <c r="G472">
        <v>0.70537620755444363</v>
      </c>
    </row>
    <row r="473" spans="1:7" x14ac:dyDescent="0.45">
      <c r="A473" s="3">
        <v>43048</v>
      </c>
      <c r="B473">
        <v>5407.75</v>
      </c>
      <c r="C473">
        <v>-1.163863925884101E-2</v>
      </c>
      <c r="D473">
        <v>0.49879828351369798</v>
      </c>
      <c r="E473">
        <v>-1</v>
      </c>
      <c r="F473">
        <v>0.83239413890738978</v>
      </c>
      <c r="G473">
        <v>0.70567746829376043</v>
      </c>
    </row>
    <row r="474" spans="1:7" x14ac:dyDescent="0.45">
      <c r="A474" s="3">
        <v>43049</v>
      </c>
      <c r="B474">
        <v>5380.72</v>
      </c>
      <c r="C474">
        <v>-4.9983819518283346E-3</v>
      </c>
      <c r="D474">
        <v>0.4972815772005047</v>
      </c>
      <c r="E474">
        <v>-1</v>
      </c>
      <c r="F474">
        <v>0.83311757763331051</v>
      </c>
      <c r="G474">
        <v>0.70578192297299391</v>
      </c>
    </row>
    <row r="475" spans="1:7" x14ac:dyDescent="0.45">
      <c r="A475" s="3">
        <v>43052</v>
      </c>
      <c r="B475">
        <v>5341.63</v>
      </c>
      <c r="C475">
        <v>-7.264827011998376E-3</v>
      </c>
      <c r="D475">
        <v>0.49690539425007546</v>
      </c>
      <c r="E475">
        <v>-1</v>
      </c>
      <c r="F475">
        <v>0.833428031109817</v>
      </c>
      <c r="G475">
        <v>0.70650480810953109</v>
      </c>
    </row>
    <row r="476" spans="1:7" x14ac:dyDescent="0.45">
      <c r="A476" s="3">
        <v>43053</v>
      </c>
      <c r="B476">
        <v>5315.58</v>
      </c>
      <c r="C476">
        <v>-4.8767885458184113E-3</v>
      </c>
      <c r="D476">
        <v>0.49760349551315908</v>
      </c>
      <c r="E476">
        <v>-1</v>
      </c>
      <c r="F476">
        <v>0.83387989614334612</v>
      </c>
      <c r="G476">
        <v>0.70681570250860259</v>
      </c>
    </row>
    <row r="477" spans="1:7" x14ac:dyDescent="0.45">
      <c r="A477" s="3">
        <v>43054</v>
      </c>
      <c r="B477">
        <v>5301.25</v>
      </c>
      <c r="C477">
        <v>-2.6958488067153619E-3</v>
      </c>
      <c r="D477">
        <v>0.49769962879718138</v>
      </c>
      <c r="E477">
        <v>-1</v>
      </c>
      <c r="F477">
        <v>0.83418328670251563</v>
      </c>
      <c r="G477">
        <v>0.70726765565537775</v>
      </c>
    </row>
    <row r="478" spans="1:7" x14ac:dyDescent="0.45">
      <c r="A478" s="3">
        <v>43055</v>
      </c>
      <c r="B478">
        <v>5336.39</v>
      </c>
      <c r="C478">
        <v>6.628625324216042E-3</v>
      </c>
      <c r="D478">
        <v>0.49857549714917787</v>
      </c>
      <c r="E478">
        <v>-1</v>
      </c>
      <c r="F478">
        <v>0.83401431749306321</v>
      </c>
      <c r="G478">
        <v>0.70696199047741926</v>
      </c>
    </row>
    <row r="479" spans="1:7" x14ac:dyDescent="0.45">
      <c r="A479" s="3">
        <v>43056</v>
      </c>
      <c r="B479">
        <v>5319.17</v>
      </c>
      <c r="C479">
        <v>-3.2269005826036645E-3</v>
      </c>
      <c r="D479">
        <v>0.50090562545647532</v>
      </c>
      <c r="E479">
        <v>1</v>
      </c>
      <c r="F479">
        <v>0.83359927939041123</v>
      </c>
      <c r="G479">
        <v>0.7071307856527459</v>
      </c>
    </row>
    <row r="480" spans="1:7" x14ac:dyDescent="0.45">
      <c r="A480" s="3">
        <v>43059</v>
      </c>
      <c r="B480">
        <v>5340.45</v>
      </c>
      <c r="C480">
        <v>4.0006241575283319E-3</v>
      </c>
      <c r="D480">
        <v>0.50049934059223866</v>
      </c>
      <c r="E480">
        <v>1</v>
      </c>
      <c r="F480">
        <v>0.8333977997202533</v>
      </c>
      <c r="G480">
        <v>0.70754466058001309</v>
      </c>
    </row>
    <row r="481" spans="1:7" x14ac:dyDescent="0.45">
      <c r="A481" s="3">
        <v>43060</v>
      </c>
      <c r="B481">
        <v>5366.15</v>
      </c>
      <c r="C481">
        <v>4.812328549092193E-3</v>
      </c>
      <c r="D481">
        <v>0.50026273374905539</v>
      </c>
      <c r="E481">
        <v>1</v>
      </c>
      <c r="F481">
        <v>0.83364770727372239</v>
      </c>
      <c r="G481">
        <v>0.70734308532621948</v>
      </c>
    </row>
    <row r="482" spans="1:7" x14ac:dyDescent="0.45">
      <c r="A482" s="3">
        <v>43061</v>
      </c>
      <c r="B482">
        <v>5352.76</v>
      </c>
      <c r="C482">
        <v>-2.495271283881273E-3</v>
      </c>
      <c r="D482">
        <v>0.5017103934525059</v>
      </c>
      <c r="E482">
        <v>1</v>
      </c>
      <c r="F482">
        <v>0.83334591139909009</v>
      </c>
      <c r="G482">
        <v>0.70709219392211442</v>
      </c>
    </row>
    <row r="483" spans="1:7" x14ac:dyDescent="0.45">
      <c r="A483" s="3">
        <v>43062</v>
      </c>
      <c r="B483">
        <v>5379.54</v>
      </c>
      <c r="C483">
        <v>5.0030264760609899E-3</v>
      </c>
      <c r="D483">
        <v>0.50033083390906929</v>
      </c>
      <c r="E483">
        <v>1</v>
      </c>
      <c r="F483">
        <v>0.83319006020212394</v>
      </c>
      <c r="G483">
        <v>0.707392765314658</v>
      </c>
    </row>
    <row r="484" spans="1:7" x14ac:dyDescent="0.45">
      <c r="A484" s="3">
        <v>43063</v>
      </c>
      <c r="B484">
        <v>5390.46</v>
      </c>
      <c r="C484">
        <v>2.029913338315259E-3</v>
      </c>
      <c r="D484">
        <v>0.50060083348006468</v>
      </c>
      <c r="E484">
        <v>1</v>
      </c>
      <c r="F484">
        <v>0.83350237315767006</v>
      </c>
      <c r="G484">
        <v>0.70723699848965971</v>
      </c>
    </row>
    <row r="485" spans="1:7" x14ac:dyDescent="0.45">
      <c r="A485" s="3">
        <v>43066</v>
      </c>
      <c r="B485">
        <v>5360.09</v>
      </c>
      <c r="C485">
        <v>-5.6340275226974823E-3</v>
      </c>
      <c r="D485">
        <v>0.5013075627725031</v>
      </c>
      <c r="E485">
        <v>1</v>
      </c>
      <c r="F485">
        <v>0.83337517266405137</v>
      </c>
      <c r="G485">
        <v>0.70692349375754604</v>
      </c>
    </row>
    <row r="486" spans="1:7" x14ac:dyDescent="0.45">
      <c r="A486" s="3">
        <v>43067</v>
      </c>
      <c r="B486">
        <v>5390.48</v>
      </c>
      <c r="C486">
        <v>5.6696809195366793E-3</v>
      </c>
      <c r="D486">
        <v>0.49918493441437284</v>
      </c>
      <c r="E486">
        <v>-1</v>
      </c>
      <c r="F486">
        <v>0.83302247286838138</v>
      </c>
      <c r="G486">
        <v>0.70705056981757008</v>
      </c>
    </row>
    <row r="487" spans="1:7" x14ac:dyDescent="0.45">
      <c r="A487" s="3">
        <v>43068</v>
      </c>
      <c r="B487">
        <v>5398.05</v>
      </c>
      <c r="C487">
        <v>1.4043276294506413E-3</v>
      </c>
      <c r="D487">
        <v>0.50018485730399631</v>
      </c>
      <c r="E487">
        <v>1</v>
      </c>
      <c r="F487">
        <v>0.83337669686719273</v>
      </c>
      <c r="G487">
        <v>0.70669857333190778</v>
      </c>
    </row>
    <row r="488" spans="1:7" x14ac:dyDescent="0.45">
      <c r="A488" s="3">
        <v>43069</v>
      </c>
      <c r="B488">
        <v>5372.79</v>
      </c>
      <c r="C488">
        <v>-4.679467585517072E-3</v>
      </c>
      <c r="D488">
        <v>0.50129426944378175</v>
      </c>
      <c r="E488">
        <v>1</v>
      </c>
      <c r="F488">
        <v>0.83328869978269093</v>
      </c>
      <c r="G488">
        <v>0.70634330339310458</v>
      </c>
    </row>
    <row r="489" spans="1:7" x14ac:dyDescent="0.45">
      <c r="A489" s="3">
        <v>43070</v>
      </c>
      <c r="B489">
        <v>5316.89</v>
      </c>
      <c r="C489">
        <v>-1.0404277851916666E-2</v>
      </c>
      <c r="D489">
        <v>0.49927314800121397</v>
      </c>
      <c r="E489">
        <v>-1</v>
      </c>
      <c r="F489">
        <v>0.83358074072958144</v>
      </c>
      <c r="G489">
        <v>0.70625566069376877</v>
      </c>
    </row>
    <row r="490" spans="1:7" x14ac:dyDescent="0.45">
      <c r="A490" s="3">
        <v>43073</v>
      </c>
      <c r="B490">
        <v>5389.29</v>
      </c>
      <c r="C490">
        <v>1.3616982860281013E-2</v>
      </c>
      <c r="D490">
        <v>0.49700560927174853</v>
      </c>
      <c r="E490">
        <v>-1</v>
      </c>
      <c r="F490">
        <v>0.83292660251653261</v>
      </c>
      <c r="G490">
        <v>0.70596145300266544</v>
      </c>
    </row>
    <row r="491" spans="1:7" x14ac:dyDescent="0.45">
      <c r="A491" s="3">
        <v>43074</v>
      </c>
      <c r="B491">
        <v>5375.53</v>
      </c>
      <c r="C491">
        <v>-2.5532120186518847E-3</v>
      </c>
      <c r="D491">
        <v>0.50099923070987762</v>
      </c>
      <c r="E491">
        <v>1</v>
      </c>
      <c r="F491">
        <v>0.83207384368013659</v>
      </c>
      <c r="G491">
        <v>0.70661301730039405</v>
      </c>
    </row>
    <row r="492" spans="1:7" x14ac:dyDescent="0.45">
      <c r="A492" s="3">
        <v>43075</v>
      </c>
      <c r="B492">
        <v>5374.35</v>
      </c>
      <c r="C492">
        <v>-2.1951323869451311E-4</v>
      </c>
      <c r="D492">
        <v>0.50187436032169108</v>
      </c>
      <c r="E492">
        <v>1</v>
      </c>
      <c r="F492">
        <v>0.83223401538530528</v>
      </c>
      <c r="G492">
        <v>0.70575877748480065</v>
      </c>
    </row>
    <row r="493" spans="1:7" x14ac:dyDescent="0.45">
      <c r="A493" s="3">
        <v>43076</v>
      </c>
      <c r="B493">
        <v>5383.86</v>
      </c>
      <c r="C493">
        <v>1.769516313600672E-3</v>
      </c>
      <c r="D493">
        <v>0.49950384061860259</v>
      </c>
      <c r="E493">
        <v>-1</v>
      </c>
      <c r="F493">
        <v>0.83222028220721578</v>
      </c>
      <c r="G493">
        <v>0.70559904354091252</v>
      </c>
    </row>
    <row r="494" spans="1:7" x14ac:dyDescent="0.45">
      <c r="A494" s="3">
        <v>43077</v>
      </c>
      <c r="B494">
        <v>5399.09</v>
      </c>
      <c r="C494">
        <v>2.8288254152226688E-3</v>
      </c>
      <c r="D494">
        <v>0.50032943471098168</v>
      </c>
      <c r="E494">
        <v>1</v>
      </c>
      <c r="F494">
        <v>0.83233080406132531</v>
      </c>
      <c r="G494">
        <v>0.70558533300885606</v>
      </c>
    </row>
    <row r="495" spans="1:7" x14ac:dyDescent="0.45">
      <c r="A495" s="3">
        <v>43080</v>
      </c>
      <c r="B495">
        <v>5386.83</v>
      </c>
      <c r="C495">
        <v>-2.2707530343076821E-3</v>
      </c>
      <c r="D495">
        <v>0.50090076484796742</v>
      </c>
      <c r="E495">
        <v>1</v>
      </c>
      <c r="F495">
        <v>0.83215368453440697</v>
      </c>
      <c r="G495">
        <v>0.70547453935907734</v>
      </c>
    </row>
    <row r="496" spans="1:7" x14ac:dyDescent="0.45">
      <c r="A496" s="3">
        <v>43081</v>
      </c>
      <c r="B496">
        <v>5427.19</v>
      </c>
      <c r="C496">
        <v>7.4923470761096844E-3</v>
      </c>
      <c r="D496">
        <v>0.50002651220061634</v>
      </c>
      <c r="E496">
        <v>1</v>
      </c>
      <c r="F496">
        <v>0.8320117699954942</v>
      </c>
      <c r="G496">
        <v>0.70565133157223336</v>
      </c>
    </row>
    <row r="497" spans="1:7" x14ac:dyDescent="0.45">
      <c r="A497" s="3">
        <v>43082</v>
      </c>
      <c r="B497">
        <v>5399.45</v>
      </c>
      <c r="C497">
        <v>-5.1113006915179948E-3</v>
      </c>
      <c r="D497">
        <v>0.50115783819288362</v>
      </c>
      <c r="E497">
        <v>1</v>
      </c>
      <c r="F497">
        <v>0.83154241645439231</v>
      </c>
      <c r="G497">
        <v>0.70579358151965221</v>
      </c>
    </row>
    <row r="498" spans="1:7" x14ac:dyDescent="0.45">
      <c r="A498" s="3">
        <v>43083</v>
      </c>
      <c r="B498">
        <v>5357.14</v>
      </c>
      <c r="C498">
        <v>-7.8359832945946728E-3</v>
      </c>
      <c r="D498">
        <v>0.50025944676386103</v>
      </c>
      <c r="E498">
        <v>1</v>
      </c>
      <c r="F498">
        <v>0.83186203842535678</v>
      </c>
      <c r="G498">
        <v>0.70532506697039288</v>
      </c>
    </row>
    <row r="499" spans="1:7" x14ac:dyDescent="0.45">
      <c r="A499" s="3">
        <v>43084</v>
      </c>
      <c r="B499">
        <v>5349.3</v>
      </c>
      <c r="C499">
        <v>-1.4634674471826203E-3</v>
      </c>
      <c r="D499">
        <v>0.49746912523034187</v>
      </c>
      <c r="E499">
        <v>-1</v>
      </c>
      <c r="F499">
        <v>0.83234929591022278</v>
      </c>
      <c r="G499">
        <v>0.70564289811240932</v>
      </c>
    </row>
    <row r="500" spans="1:7" x14ac:dyDescent="0.45">
      <c r="A500" s="3">
        <v>43087</v>
      </c>
      <c r="B500">
        <v>5420.58</v>
      </c>
      <c r="C500">
        <v>1.332510795805053E-2</v>
      </c>
      <c r="D500">
        <v>0.4983131258849417</v>
      </c>
      <c r="E500">
        <v>-1</v>
      </c>
      <c r="F500">
        <v>0.83225752165370726</v>
      </c>
      <c r="G500">
        <v>0.70515150246003999</v>
      </c>
    </row>
    <row r="501" spans="1:7" x14ac:dyDescent="0.45">
      <c r="A501" s="3">
        <v>43088</v>
      </c>
      <c r="B501">
        <v>5382.91</v>
      </c>
      <c r="C501">
        <v>-6.9494408347445802E-3</v>
      </c>
      <c r="D501">
        <v>0.50251446756649698</v>
      </c>
      <c r="E501">
        <v>1</v>
      </c>
      <c r="F501">
        <v>0.83142053538043259</v>
      </c>
      <c r="G501">
        <v>0.7052434268308243</v>
      </c>
    </row>
    <row r="502" spans="1:7" x14ac:dyDescent="0.45">
      <c r="A502" s="3">
        <v>43089</v>
      </c>
      <c r="B502">
        <v>5352.77</v>
      </c>
      <c r="C502">
        <v>-5.599201918664698E-3</v>
      </c>
      <c r="D502">
        <v>0.50090488325704241</v>
      </c>
      <c r="E502">
        <v>1</v>
      </c>
      <c r="F502">
        <v>0.83185566006153744</v>
      </c>
      <c r="G502">
        <v>0.70440910310769167</v>
      </c>
    </row>
    <row r="503" spans="1:7" x14ac:dyDescent="0.45">
      <c r="A503" s="3">
        <v>43090</v>
      </c>
      <c r="B503">
        <v>5385.97</v>
      </c>
      <c r="C503">
        <v>6.2023961425579088E-3</v>
      </c>
      <c r="D503">
        <v>0.4976117738639646</v>
      </c>
      <c r="E503">
        <v>-1</v>
      </c>
      <c r="F503">
        <v>0.83150404644364606</v>
      </c>
      <c r="G503">
        <v>0.70397269840757171</v>
      </c>
    </row>
    <row r="504" spans="1:7" x14ac:dyDescent="0.45">
      <c r="A504" s="3">
        <v>43091</v>
      </c>
      <c r="B504">
        <v>5364.72</v>
      </c>
      <c r="C504">
        <v>-3.9454360124545618E-3</v>
      </c>
      <c r="D504">
        <v>0.50030390801421776</v>
      </c>
      <c r="E504">
        <v>1</v>
      </c>
      <c r="F504">
        <v>0.83111616120829979</v>
      </c>
      <c r="G504">
        <v>0.70432286110341602</v>
      </c>
    </row>
    <row r="505" spans="1:7" x14ac:dyDescent="0.45">
      <c r="A505" s="3">
        <v>43096</v>
      </c>
      <c r="B505">
        <v>5368.84</v>
      </c>
      <c r="C505">
        <v>7.679804351392594E-4</v>
      </c>
      <c r="D505">
        <v>0.50027234341403148</v>
      </c>
      <c r="E505">
        <v>1</v>
      </c>
      <c r="F505">
        <v>0.83086970584482989</v>
      </c>
      <c r="G505">
        <v>0.70471029959966158</v>
      </c>
    </row>
    <row r="506" spans="1:7" x14ac:dyDescent="0.45">
      <c r="A506" s="3">
        <v>43097</v>
      </c>
      <c r="B506">
        <v>5339.42</v>
      </c>
      <c r="C506">
        <v>-5.4797684416000303E-3</v>
      </c>
      <c r="D506">
        <v>0.49946442577579481</v>
      </c>
      <c r="E506">
        <v>-1</v>
      </c>
      <c r="F506">
        <v>0.83082175853646223</v>
      </c>
      <c r="G506">
        <v>0.70495662493358713</v>
      </c>
    </row>
    <row r="507" spans="1:7" x14ac:dyDescent="0.45">
      <c r="A507" s="3">
        <v>43098</v>
      </c>
      <c r="B507">
        <v>5312.56</v>
      </c>
      <c r="C507">
        <v>-5.0305089316816654E-3</v>
      </c>
      <c r="D507">
        <v>0.49899717185531817</v>
      </c>
      <c r="E507">
        <v>-1</v>
      </c>
      <c r="F507">
        <v>0.83116355578087109</v>
      </c>
      <c r="G507">
        <v>0.70490872261813564</v>
      </c>
    </row>
    <row r="508" spans="1:7" x14ac:dyDescent="0.45">
      <c r="A508" s="3">
        <v>43102</v>
      </c>
      <c r="B508">
        <v>5288.6</v>
      </c>
      <c r="C508">
        <v>-4.5100667098347813E-3</v>
      </c>
      <c r="D508">
        <v>0.49798903277734768</v>
      </c>
      <c r="E508">
        <v>-1</v>
      </c>
      <c r="F508">
        <v>0.83147669300015326</v>
      </c>
      <c r="G508">
        <v>0.70524982517364576</v>
      </c>
    </row>
    <row r="509" spans="1:7" x14ac:dyDescent="0.45">
      <c r="A509" s="3">
        <v>43103</v>
      </c>
      <c r="B509">
        <v>5331.28</v>
      </c>
      <c r="C509">
        <v>8.0701887077865297E-3</v>
      </c>
      <c r="D509">
        <v>0.49817556287266229</v>
      </c>
      <c r="E509">
        <v>-1</v>
      </c>
      <c r="F509">
        <v>0.83119378905585795</v>
      </c>
      <c r="G509">
        <v>0.70493427533588349</v>
      </c>
    </row>
    <row r="510" spans="1:7" x14ac:dyDescent="0.45">
      <c r="A510" s="3">
        <v>43104</v>
      </c>
      <c r="B510">
        <v>5413.69</v>
      </c>
      <c r="C510">
        <v>1.5457826263111318E-2</v>
      </c>
      <c r="D510">
        <v>0.50088214661535513</v>
      </c>
      <c r="E510">
        <v>1</v>
      </c>
      <c r="F510">
        <v>0.83169728439663759</v>
      </c>
      <c r="G510">
        <v>0.70465289435989509</v>
      </c>
    </row>
    <row r="511" spans="1:7" x14ac:dyDescent="0.45">
      <c r="A511" s="3">
        <v>43105</v>
      </c>
      <c r="B511">
        <v>5470.75</v>
      </c>
      <c r="C511">
        <v>1.0539945951836938E-2</v>
      </c>
      <c r="D511">
        <v>0.50463559566479477</v>
      </c>
      <c r="E511">
        <v>1</v>
      </c>
      <c r="F511">
        <v>0.83265435923660169</v>
      </c>
      <c r="G511">
        <v>0.7051525619350455</v>
      </c>
    </row>
    <row r="512" spans="1:7" x14ac:dyDescent="0.45">
      <c r="A512" s="3">
        <v>43108</v>
      </c>
      <c r="B512">
        <v>5487.42</v>
      </c>
      <c r="C512">
        <v>3.0471141982360006E-3</v>
      </c>
      <c r="D512">
        <v>0.50491890573630338</v>
      </c>
      <c r="E512">
        <v>1</v>
      </c>
      <c r="F512">
        <v>0.83330656210555976</v>
      </c>
      <c r="G512">
        <v>0.70610907904459475</v>
      </c>
    </row>
    <row r="513" spans="1:7" x14ac:dyDescent="0.45">
      <c r="A513" s="3">
        <v>43109</v>
      </c>
      <c r="B513">
        <v>5523.94</v>
      </c>
      <c r="C513">
        <v>6.6552223084801465E-3</v>
      </c>
      <c r="D513">
        <v>0.50249536222861291</v>
      </c>
      <c r="E513">
        <v>1</v>
      </c>
      <c r="F513">
        <v>0.83349605156644568</v>
      </c>
      <c r="G513">
        <v>0.7067645217179731</v>
      </c>
    </row>
    <row r="514" spans="1:7" x14ac:dyDescent="0.45">
      <c r="A514" s="3">
        <v>43110</v>
      </c>
      <c r="B514">
        <v>5504.68</v>
      </c>
      <c r="C514">
        <v>-3.486641781047406E-3</v>
      </c>
      <c r="D514">
        <v>0.50192516391771924</v>
      </c>
      <c r="E514">
        <v>1</v>
      </c>
      <c r="F514">
        <v>0.8330785048131667</v>
      </c>
      <c r="G514">
        <v>0.70657334664051208</v>
      </c>
    </row>
    <row r="515" spans="1:7" x14ac:dyDescent="0.45">
      <c r="A515" s="3">
        <v>43111</v>
      </c>
      <c r="B515">
        <v>5488.55</v>
      </c>
      <c r="C515">
        <v>-2.9302339100547581E-3</v>
      </c>
      <c r="D515">
        <v>0.50044943897329508</v>
      </c>
      <c r="E515">
        <v>1</v>
      </c>
      <c r="F515">
        <v>0.83329661562734025</v>
      </c>
      <c r="G515">
        <v>0.70615702169308003</v>
      </c>
    </row>
    <row r="516" spans="1:7" x14ac:dyDescent="0.45">
      <c r="A516" s="3">
        <v>43112</v>
      </c>
      <c r="B516">
        <v>5517.06</v>
      </c>
      <c r="C516">
        <v>5.1944502646419366E-3</v>
      </c>
      <c r="D516">
        <v>0.49877403481281274</v>
      </c>
      <c r="E516">
        <v>-1</v>
      </c>
      <c r="F516">
        <v>0.83311302806609455</v>
      </c>
      <c r="G516">
        <v>0.70593857358239387</v>
      </c>
    </row>
    <row r="517" spans="1:7" x14ac:dyDescent="0.45">
      <c r="A517" s="3">
        <v>43116</v>
      </c>
      <c r="B517">
        <v>5513.82</v>
      </c>
      <c r="C517">
        <v>-5.8726930647856612E-4</v>
      </c>
      <c r="D517">
        <v>0.50056474952043362</v>
      </c>
      <c r="E517">
        <v>1</v>
      </c>
      <c r="F517">
        <v>0.83278800864379243</v>
      </c>
      <c r="G517">
        <v>0.70612191982388917</v>
      </c>
    </row>
    <row r="518" spans="1:7" x14ac:dyDescent="0.45">
      <c r="A518" s="3">
        <v>43117</v>
      </c>
      <c r="B518">
        <v>5493.99</v>
      </c>
      <c r="C518">
        <v>-3.5964177285439103E-3</v>
      </c>
      <c r="D518">
        <v>0.50079471042003898</v>
      </c>
      <c r="E518">
        <v>1</v>
      </c>
      <c r="F518">
        <v>0.83282477122120502</v>
      </c>
      <c r="G518">
        <v>0.70579675149334142</v>
      </c>
    </row>
    <row r="519" spans="1:7" x14ac:dyDescent="0.45">
      <c r="A519" s="3">
        <v>43118</v>
      </c>
      <c r="B519">
        <v>5494.83</v>
      </c>
      <c r="C519">
        <v>1.5289434454746065E-4</v>
      </c>
      <c r="D519">
        <v>0.49914758119065628</v>
      </c>
      <c r="E519">
        <v>-1</v>
      </c>
      <c r="F519">
        <v>0.83259961256082538</v>
      </c>
      <c r="G519">
        <v>0.70575998469362311</v>
      </c>
    </row>
    <row r="520" spans="1:7" x14ac:dyDescent="0.45">
      <c r="A520" s="3">
        <v>43123</v>
      </c>
      <c r="B520">
        <v>5535.26</v>
      </c>
      <c r="C520">
        <v>7.3578254468291693E-3</v>
      </c>
      <c r="D520">
        <v>0.49939727330469053</v>
      </c>
      <c r="E520">
        <v>-1</v>
      </c>
      <c r="F520">
        <v>0.83260917996264494</v>
      </c>
      <c r="G520">
        <v>0.7055349379554875</v>
      </c>
    </row>
    <row r="521" spans="1:7" x14ac:dyDescent="0.45">
      <c r="A521" s="3">
        <v>43124</v>
      </c>
      <c r="B521">
        <v>5495.16</v>
      </c>
      <c r="C521">
        <v>-7.2444654812963138E-3</v>
      </c>
      <c r="D521">
        <v>0.50155851128093221</v>
      </c>
      <c r="E521">
        <v>1</v>
      </c>
      <c r="F521">
        <v>0.83214788694736075</v>
      </c>
      <c r="G521">
        <v>0.705525352366141</v>
      </c>
    </row>
    <row r="522" spans="1:7" x14ac:dyDescent="0.45">
      <c r="A522" s="3">
        <v>43125</v>
      </c>
      <c r="B522">
        <v>5481.21</v>
      </c>
      <c r="C522">
        <v>-2.5385976022536116E-3</v>
      </c>
      <c r="D522">
        <v>0.49979066644940551</v>
      </c>
      <c r="E522">
        <v>-1</v>
      </c>
      <c r="F522">
        <v>0.83260047639690071</v>
      </c>
      <c r="G522">
        <v>0.7050656808862521</v>
      </c>
    </row>
    <row r="523" spans="1:7" x14ac:dyDescent="0.45">
      <c r="A523" s="3">
        <v>43126</v>
      </c>
      <c r="B523">
        <v>5529.15</v>
      </c>
      <c r="C523">
        <v>8.7462439862731056E-3</v>
      </c>
      <c r="D523">
        <v>0.4981946424556411</v>
      </c>
      <c r="E523">
        <v>-1</v>
      </c>
      <c r="F523">
        <v>0.83244124323820989</v>
      </c>
      <c r="G523">
        <v>0.70461127286168401</v>
      </c>
    </row>
    <row r="524" spans="1:7" x14ac:dyDescent="0.45">
      <c r="A524" s="3">
        <v>43129</v>
      </c>
      <c r="B524">
        <v>5521.59</v>
      </c>
      <c r="C524">
        <v>-1.3672987710587892E-3</v>
      </c>
      <c r="D524">
        <v>0.50137299898139676</v>
      </c>
      <c r="E524">
        <v>1</v>
      </c>
      <c r="F524">
        <v>0.83189310604931954</v>
      </c>
      <c r="G524">
        <v>0.7047703696986356</v>
      </c>
    </row>
    <row r="525" spans="1:7" x14ac:dyDescent="0.45">
      <c r="A525" s="3">
        <v>43130</v>
      </c>
      <c r="B525">
        <v>5473.78</v>
      </c>
      <c r="C525">
        <v>-8.6587377911073737E-3</v>
      </c>
      <c r="D525">
        <v>0.50125665915051321</v>
      </c>
      <c r="E525">
        <v>1</v>
      </c>
      <c r="F525">
        <v>0.83197877645991114</v>
      </c>
      <c r="G525">
        <v>0.70422235903022989</v>
      </c>
    </row>
    <row r="526" spans="1:7" x14ac:dyDescent="0.45">
      <c r="A526" s="3">
        <v>43131</v>
      </c>
      <c r="B526">
        <v>5481.93</v>
      </c>
      <c r="C526">
        <v>1.4889162516580345E-3</v>
      </c>
      <c r="D526">
        <v>0.49795831923787048</v>
      </c>
      <c r="E526">
        <v>-1</v>
      </c>
      <c r="F526">
        <v>0.83143540461091747</v>
      </c>
      <c r="G526">
        <v>0.70413655533929009</v>
      </c>
    </row>
    <row r="527" spans="1:7" x14ac:dyDescent="0.45">
      <c r="A527" s="3">
        <v>43132</v>
      </c>
      <c r="B527">
        <v>5454.55</v>
      </c>
      <c r="C527">
        <v>-4.994591320939934E-3</v>
      </c>
      <c r="D527">
        <v>0.49878525336107532</v>
      </c>
      <c r="E527">
        <v>-1</v>
      </c>
      <c r="F527">
        <v>0.83134257397512068</v>
      </c>
      <c r="G527">
        <v>0.70467640849318736</v>
      </c>
    </row>
    <row r="528" spans="1:7" x14ac:dyDescent="0.45">
      <c r="A528" s="3">
        <v>43133</v>
      </c>
      <c r="B528">
        <v>5364.98</v>
      </c>
      <c r="C528">
        <v>-1.6421152982372678E-2</v>
      </c>
      <c r="D528">
        <v>0.49922424756047162</v>
      </c>
      <c r="E528">
        <v>-1</v>
      </c>
      <c r="F528">
        <v>0.83165425086161893</v>
      </c>
      <c r="G528">
        <v>0.70458349582991742</v>
      </c>
    </row>
    <row r="529" spans="1:7" x14ac:dyDescent="0.45">
      <c r="A529" s="3">
        <v>43136</v>
      </c>
      <c r="B529">
        <v>5285.83</v>
      </c>
      <c r="C529">
        <v>-1.4753083888476737E-2</v>
      </c>
      <c r="D529">
        <v>0.49570614848616495</v>
      </c>
      <c r="E529">
        <v>-1</v>
      </c>
      <c r="F529">
        <v>0.83267168413408565</v>
      </c>
      <c r="G529">
        <v>0.70489295420946929</v>
      </c>
    </row>
    <row r="530" spans="1:7" x14ac:dyDescent="0.45">
      <c r="A530" s="3">
        <v>43137</v>
      </c>
      <c r="B530">
        <v>5161.8100000000004</v>
      </c>
      <c r="C530">
        <v>-2.3462729599703303E-2</v>
      </c>
      <c r="D530">
        <v>0.49403537539886333</v>
      </c>
      <c r="E530">
        <v>-1</v>
      </c>
      <c r="F530">
        <v>0.83358262264986205</v>
      </c>
      <c r="G530">
        <v>0.70590688870873586</v>
      </c>
    </row>
    <row r="531" spans="1:7" x14ac:dyDescent="0.45">
      <c r="A531" s="3">
        <v>43138</v>
      </c>
      <c r="B531">
        <v>5255.9</v>
      </c>
      <c r="C531">
        <v>1.8228102157963777E-2</v>
      </c>
      <c r="D531">
        <v>0.4925074540948633</v>
      </c>
      <c r="E531">
        <v>-1</v>
      </c>
      <c r="F531">
        <v>0.83209456182609554</v>
      </c>
      <c r="G531">
        <v>0.70497121385168682</v>
      </c>
    </row>
    <row r="532" spans="1:7" x14ac:dyDescent="0.45">
      <c r="A532" s="3">
        <v>43139</v>
      </c>
      <c r="B532">
        <v>5151.68</v>
      </c>
      <c r="C532">
        <v>-1.9829144390113851E-2</v>
      </c>
      <c r="D532">
        <v>0.49965673898189666</v>
      </c>
      <c r="E532">
        <v>-1</v>
      </c>
      <c r="F532">
        <v>0.83095608810241306</v>
      </c>
      <c r="G532">
        <v>0.70643662703094412</v>
      </c>
    </row>
    <row r="533" spans="1:7" x14ac:dyDescent="0.45">
      <c r="A533" s="3">
        <v>43140</v>
      </c>
      <c r="B533">
        <v>5079.21</v>
      </c>
      <c r="C533">
        <v>-1.4067255730169648E-2</v>
      </c>
      <c r="D533">
        <v>0.49909996366032477</v>
      </c>
      <c r="E533">
        <v>-1</v>
      </c>
      <c r="F533">
        <v>0.83219317474948085</v>
      </c>
      <c r="G533">
        <v>0.70529942507520837</v>
      </c>
    </row>
    <row r="534" spans="1:7" x14ac:dyDescent="0.45">
      <c r="A534" s="3">
        <v>43143</v>
      </c>
      <c r="B534">
        <v>5140.0600000000004</v>
      </c>
      <c r="C534">
        <v>1.1980209520771945E-2</v>
      </c>
      <c r="D534">
        <v>0.49357731370437835</v>
      </c>
      <c r="E534">
        <v>-1</v>
      </c>
      <c r="F534">
        <v>0.83130282450525861</v>
      </c>
      <c r="G534">
        <v>0.70404439112337702</v>
      </c>
    </row>
    <row r="535" spans="1:7" x14ac:dyDescent="0.45">
      <c r="A535" s="3">
        <v>43144</v>
      </c>
      <c r="B535">
        <v>5109.24</v>
      </c>
      <c r="C535">
        <v>-5.9960389567438321E-3</v>
      </c>
      <c r="D535">
        <v>0.50001380237936111</v>
      </c>
      <c r="E535">
        <v>1</v>
      </c>
      <c r="F535">
        <v>0.83055404074135641</v>
      </c>
      <c r="G535">
        <v>0.7049236188760426</v>
      </c>
    </row>
    <row r="536" spans="1:7" x14ac:dyDescent="0.45">
      <c r="A536" s="3">
        <v>43145</v>
      </c>
      <c r="B536">
        <v>5165.26</v>
      </c>
      <c r="C536">
        <v>1.0964448724272158E-2</v>
      </c>
      <c r="D536">
        <v>0.50086627369980541</v>
      </c>
      <c r="E536">
        <v>1</v>
      </c>
      <c r="F536">
        <v>0.83017993870586948</v>
      </c>
      <c r="G536">
        <v>0.7056710824598541</v>
      </c>
    </row>
    <row r="537" spans="1:7" x14ac:dyDescent="0.45">
      <c r="A537" s="3">
        <v>43146</v>
      </c>
      <c r="B537">
        <v>5222.5200000000004</v>
      </c>
      <c r="C537">
        <v>1.1085598788831641E-2</v>
      </c>
      <c r="D537">
        <v>0.50121780610909461</v>
      </c>
      <c r="E537">
        <v>1</v>
      </c>
      <c r="F537">
        <v>0.83086354362424675</v>
      </c>
      <c r="G537">
        <v>0.70529724499436097</v>
      </c>
    </row>
    <row r="538" spans="1:7" x14ac:dyDescent="0.45">
      <c r="A538" s="3">
        <v>43147</v>
      </c>
      <c r="B538">
        <v>5281.58</v>
      </c>
      <c r="C538">
        <v>1.1308716864655288E-2</v>
      </c>
      <c r="D538">
        <v>0.50423585250297631</v>
      </c>
      <c r="E538">
        <v>1</v>
      </c>
      <c r="F538">
        <v>0.83155047462394738</v>
      </c>
      <c r="G538">
        <v>0.70597666880058052</v>
      </c>
    </row>
    <row r="539" spans="1:7" x14ac:dyDescent="0.45">
      <c r="A539" s="3">
        <v>43150</v>
      </c>
      <c r="B539">
        <v>5256.18</v>
      </c>
      <c r="C539">
        <v>-4.809166953828159E-3</v>
      </c>
      <c r="D539">
        <v>0.50430737918441781</v>
      </c>
      <c r="E539">
        <v>1</v>
      </c>
      <c r="F539">
        <v>0.83083764385944603</v>
      </c>
      <c r="G539">
        <v>0.70527790200376594</v>
      </c>
    </row>
    <row r="540" spans="1:7" x14ac:dyDescent="0.45">
      <c r="A540" s="3">
        <v>43151</v>
      </c>
      <c r="B540">
        <v>5289.86</v>
      </c>
      <c r="C540">
        <v>6.4076953224583288E-3</v>
      </c>
      <c r="D540">
        <v>0.50099503647737265</v>
      </c>
      <c r="E540">
        <v>1</v>
      </c>
      <c r="F540">
        <v>0.83053767027491709</v>
      </c>
      <c r="G540">
        <v>0.70598328744097005</v>
      </c>
    </row>
    <row r="541" spans="1:7" x14ac:dyDescent="0.45">
      <c r="A541" s="3">
        <v>43152</v>
      </c>
      <c r="B541">
        <v>5302.17</v>
      </c>
      <c r="C541">
        <v>2.3270937227073407E-3</v>
      </c>
      <c r="D541">
        <v>0.50048166006326611</v>
      </c>
      <c r="E541">
        <v>1</v>
      </c>
      <c r="F541">
        <v>0.83093776506992134</v>
      </c>
      <c r="G541">
        <v>0.70568300433297193</v>
      </c>
    </row>
    <row r="542" spans="1:7" x14ac:dyDescent="0.45">
      <c r="A542" s="3">
        <v>43153</v>
      </c>
      <c r="B542">
        <v>5309.23</v>
      </c>
      <c r="C542">
        <v>1.3315302979721721E-3</v>
      </c>
      <c r="D542">
        <v>0.5016138623312123</v>
      </c>
      <c r="E542">
        <v>1</v>
      </c>
      <c r="F542">
        <v>0.83108273746610994</v>
      </c>
      <c r="G542">
        <v>0.70608218848953541</v>
      </c>
    </row>
    <row r="543" spans="1:7" x14ac:dyDescent="0.45">
      <c r="A543" s="3">
        <v>43154</v>
      </c>
      <c r="B543">
        <v>5317.37</v>
      </c>
      <c r="C543">
        <v>1.5331790108923382E-3</v>
      </c>
      <c r="D543">
        <v>0.50068743238526092</v>
      </c>
      <c r="E543">
        <v>1</v>
      </c>
      <c r="F543">
        <v>0.83116584353551026</v>
      </c>
      <c r="G543">
        <v>0.70622743160770929</v>
      </c>
    </row>
    <row r="544" spans="1:7" x14ac:dyDescent="0.45">
      <c r="A544" s="3">
        <v>43157</v>
      </c>
      <c r="B544">
        <v>5344.26</v>
      </c>
      <c r="C544">
        <v>5.0570112668482103E-3</v>
      </c>
      <c r="D544">
        <v>0.5005536720857745</v>
      </c>
      <c r="E544">
        <v>1</v>
      </c>
      <c r="F544">
        <v>0.83126156099651849</v>
      </c>
      <c r="G544">
        <v>0.70631055999550485</v>
      </c>
    </row>
    <row r="545" spans="1:7" x14ac:dyDescent="0.45">
      <c r="A545" s="3">
        <v>43158</v>
      </c>
      <c r="B545">
        <v>5343.93</v>
      </c>
      <c r="C545">
        <v>-6.1748492775404173E-5</v>
      </c>
      <c r="D545">
        <v>0.50132164682322455</v>
      </c>
      <c r="E545">
        <v>1</v>
      </c>
      <c r="F545">
        <v>0.83094466455865224</v>
      </c>
      <c r="G545">
        <v>0.70621448368846795</v>
      </c>
    </row>
    <row r="546" spans="1:7" x14ac:dyDescent="0.45">
      <c r="A546" s="3">
        <v>43159</v>
      </c>
      <c r="B546">
        <v>5320.49</v>
      </c>
      <c r="C546">
        <v>-4.3862849999907194E-3</v>
      </c>
      <c r="D546">
        <v>0.50088000534640431</v>
      </c>
      <c r="E546">
        <v>1</v>
      </c>
      <c r="F546">
        <v>0.83094853061985052</v>
      </c>
      <c r="G546">
        <v>0.7058978651904434</v>
      </c>
    </row>
    <row r="547" spans="1:7" x14ac:dyDescent="0.45">
      <c r="A547" s="3">
        <v>43160</v>
      </c>
      <c r="B547">
        <v>5262.56</v>
      </c>
      <c r="C547">
        <v>-1.0888094893515277E-2</v>
      </c>
      <c r="D547">
        <v>0.49907790974413285</v>
      </c>
      <c r="E547">
        <v>-1</v>
      </c>
      <c r="F547">
        <v>0.83122216693287698</v>
      </c>
      <c r="G547">
        <v>0.70590171734093021</v>
      </c>
    </row>
    <row r="548" spans="1:7" x14ac:dyDescent="0.45">
      <c r="A548" s="3">
        <v>43161</v>
      </c>
      <c r="B548">
        <v>5136.58</v>
      </c>
      <c r="C548">
        <v>-2.3938919461250929E-2</v>
      </c>
      <c r="D548">
        <v>0.49696335934971608</v>
      </c>
      <c r="E548">
        <v>-1</v>
      </c>
      <c r="F548">
        <v>0.8318985150119298</v>
      </c>
      <c r="G548">
        <v>0.70617418515673602</v>
      </c>
    </row>
    <row r="549" spans="1:7" x14ac:dyDescent="0.45">
      <c r="A549" s="3">
        <v>43164</v>
      </c>
      <c r="B549">
        <v>5167.2299999999996</v>
      </c>
      <c r="C549">
        <v>5.9670052836711118E-3</v>
      </c>
      <c r="D549">
        <v>0.49309952737954937</v>
      </c>
      <c r="E549">
        <v>-1</v>
      </c>
      <c r="F549">
        <v>0.83038197271822034</v>
      </c>
      <c r="G549">
        <v>0.70548441900289327</v>
      </c>
    </row>
    <row r="550" spans="1:7" x14ac:dyDescent="0.45">
      <c r="A550" s="3">
        <v>43165</v>
      </c>
      <c r="B550">
        <v>5170.2299999999996</v>
      </c>
      <c r="C550">
        <v>5.8058185913933968E-4</v>
      </c>
      <c r="D550">
        <v>0.49701662513831124</v>
      </c>
      <c r="E550">
        <v>-1</v>
      </c>
      <c r="F550">
        <v>0.8307571224185516</v>
      </c>
      <c r="G550">
        <v>0.70397936277532147</v>
      </c>
    </row>
    <row r="551" spans="1:7" x14ac:dyDescent="0.45">
      <c r="A551" s="3">
        <v>43166</v>
      </c>
      <c r="B551">
        <v>5187.83</v>
      </c>
      <c r="C551">
        <v>3.4041038793246603E-3</v>
      </c>
      <c r="D551">
        <v>0.5011707406334267</v>
      </c>
      <c r="E551">
        <v>1</v>
      </c>
      <c r="F551">
        <v>0.83079332362242564</v>
      </c>
      <c r="G551">
        <v>0.70435142533875073</v>
      </c>
    </row>
    <row r="552" spans="1:7" x14ac:dyDescent="0.45">
      <c r="A552" s="3">
        <v>43167</v>
      </c>
      <c r="B552">
        <v>5254.1</v>
      </c>
      <c r="C552">
        <v>1.2774127139864033E-2</v>
      </c>
      <c r="D552">
        <v>0.50080925940232046</v>
      </c>
      <c r="E552">
        <v>1</v>
      </c>
      <c r="F552">
        <v>0.83100573520806409</v>
      </c>
      <c r="G552">
        <v>0.70438765287987881</v>
      </c>
    </row>
    <row r="553" spans="1:7" x14ac:dyDescent="0.45">
      <c r="A553" s="3">
        <v>43168</v>
      </c>
      <c r="B553">
        <v>5274.4</v>
      </c>
      <c r="C553">
        <v>3.8636493405148631E-3</v>
      </c>
      <c r="D553">
        <v>0.50325324950487682</v>
      </c>
      <c r="E553">
        <v>1</v>
      </c>
      <c r="F553">
        <v>0.83179888989720441</v>
      </c>
      <c r="G553">
        <v>0.70459901612408682</v>
      </c>
    </row>
    <row r="554" spans="1:7" x14ac:dyDescent="0.45">
      <c r="A554" s="3">
        <v>43171</v>
      </c>
      <c r="B554">
        <v>5276.71</v>
      </c>
      <c r="C554">
        <v>4.3796450781141694E-4</v>
      </c>
      <c r="D554">
        <v>0.50305356619787645</v>
      </c>
      <c r="E554">
        <v>1</v>
      </c>
      <c r="F554">
        <v>0.83203888429093764</v>
      </c>
      <c r="G554">
        <v>0.70539249364448575</v>
      </c>
    </row>
    <row r="555" spans="1:7" x14ac:dyDescent="0.45">
      <c r="A555" s="3">
        <v>43172</v>
      </c>
      <c r="B555">
        <v>5242.79</v>
      </c>
      <c r="C555">
        <v>-6.4282479044708296E-3</v>
      </c>
      <c r="D555">
        <v>0.50077244757129336</v>
      </c>
      <c r="E555">
        <v>1</v>
      </c>
      <c r="F555">
        <v>0.83201146928655345</v>
      </c>
      <c r="G555">
        <v>0.70515064307961128</v>
      </c>
    </row>
    <row r="556" spans="1:7" x14ac:dyDescent="0.45">
      <c r="A556" s="3">
        <v>43173</v>
      </c>
      <c r="B556">
        <v>5233.3599999999997</v>
      </c>
      <c r="C556">
        <v>-1.7986606367984548E-3</v>
      </c>
      <c r="D556">
        <v>0.49874011640903704</v>
      </c>
      <c r="E556">
        <v>-1</v>
      </c>
      <c r="F556">
        <v>0.83241221988060365</v>
      </c>
      <c r="G556">
        <v>0.70512333944426819</v>
      </c>
    </row>
    <row r="557" spans="1:7" x14ac:dyDescent="0.45">
      <c r="A557" s="3">
        <v>43174</v>
      </c>
      <c r="B557">
        <v>5267.26</v>
      </c>
      <c r="C557">
        <v>6.4776739991134757E-3</v>
      </c>
      <c r="D557">
        <v>0.49849252088700674</v>
      </c>
      <c r="E557">
        <v>-1</v>
      </c>
      <c r="F557">
        <v>0.83229946568532798</v>
      </c>
      <c r="G557">
        <v>0.70472036630710588</v>
      </c>
    </row>
    <row r="558" spans="1:7" x14ac:dyDescent="0.45">
      <c r="A558" s="3">
        <v>43175</v>
      </c>
      <c r="B558">
        <v>5282.75</v>
      </c>
      <c r="C558">
        <v>2.9408079342960747E-3</v>
      </c>
      <c r="D558">
        <v>0.50103095149536514</v>
      </c>
      <c r="E558">
        <v>1</v>
      </c>
      <c r="F558">
        <v>0.83270348382164283</v>
      </c>
      <c r="G558">
        <v>0.70460818228573618</v>
      </c>
    </row>
    <row r="559" spans="1:7" x14ac:dyDescent="0.45">
      <c r="A559" s="3">
        <v>43178</v>
      </c>
      <c r="B559">
        <v>5222.84</v>
      </c>
      <c r="C559">
        <v>-1.1340684302683202E-2</v>
      </c>
      <c r="D559">
        <v>0.50175325359270639</v>
      </c>
      <c r="E559">
        <v>1</v>
      </c>
      <c r="F559">
        <v>0.83251904109585029</v>
      </c>
      <c r="G559">
        <v>0.70420191303052282</v>
      </c>
    </row>
    <row r="560" spans="1:7" x14ac:dyDescent="0.45">
      <c r="A560" s="3">
        <v>43179</v>
      </c>
      <c r="B560">
        <v>5252.43</v>
      </c>
      <c r="C560">
        <v>5.6654999961707198E-3</v>
      </c>
      <c r="D560">
        <v>0.49815740507930084</v>
      </c>
      <c r="E560">
        <v>-1</v>
      </c>
      <c r="F560">
        <v>0.83180764595234225</v>
      </c>
      <c r="G560">
        <v>0.70438638836081247</v>
      </c>
    </row>
    <row r="561" spans="1:7" x14ac:dyDescent="0.45">
      <c r="A561" s="3">
        <v>43180</v>
      </c>
      <c r="B561">
        <v>5239.74</v>
      </c>
      <c r="C561">
        <v>-2.4160245829074611E-3</v>
      </c>
      <c r="D561">
        <v>0.49918109637157632</v>
      </c>
      <c r="E561">
        <v>-1</v>
      </c>
      <c r="F561">
        <v>0.8314541330881644</v>
      </c>
      <c r="G561">
        <v>0.70509401836562891</v>
      </c>
    </row>
    <row r="562" spans="1:7" x14ac:dyDescent="0.45">
      <c r="A562" s="3">
        <v>43181</v>
      </c>
      <c r="B562">
        <v>5167.21</v>
      </c>
      <c r="C562">
        <v>-1.3842289884612557E-2</v>
      </c>
      <c r="D562">
        <v>0.50049647397014685</v>
      </c>
      <c r="E562">
        <v>1</v>
      </c>
      <c r="F562">
        <v>0.83160528441223358</v>
      </c>
      <c r="G562">
        <v>0.70473957336867254</v>
      </c>
    </row>
    <row r="563" spans="1:7" x14ac:dyDescent="0.45">
      <c r="A563" s="3">
        <v>43182</v>
      </c>
      <c r="B563">
        <v>5095.22</v>
      </c>
      <c r="C563">
        <v>-1.3932083271243068E-2</v>
      </c>
      <c r="D563">
        <v>0.49669655068011437</v>
      </c>
      <c r="E563">
        <v>-1</v>
      </c>
      <c r="F563">
        <v>0.83246467410218261</v>
      </c>
      <c r="G563">
        <v>0.70488957070542257</v>
      </c>
    </row>
    <row r="564" spans="1:7" x14ac:dyDescent="0.45">
      <c r="A564" s="3">
        <v>43185</v>
      </c>
      <c r="B564">
        <v>5066.28</v>
      </c>
      <c r="C564">
        <v>-5.6798332554827136E-3</v>
      </c>
      <c r="D564">
        <v>0.49466138965290796</v>
      </c>
      <c r="E564">
        <v>-1</v>
      </c>
      <c r="F564">
        <v>0.83332603385231907</v>
      </c>
      <c r="G564">
        <v>0.70574537892334621</v>
      </c>
    </row>
    <row r="565" spans="1:7" x14ac:dyDescent="0.45">
      <c r="A565" s="3">
        <v>43186</v>
      </c>
      <c r="B565">
        <v>5115.74</v>
      </c>
      <c r="C565">
        <v>9.7625871448083767E-3</v>
      </c>
      <c r="D565">
        <v>0.4963586503015352</v>
      </c>
      <c r="E565">
        <v>-1</v>
      </c>
      <c r="F565">
        <v>0.83296847795641438</v>
      </c>
      <c r="G565">
        <v>0.70486832878968952</v>
      </c>
    </row>
    <row r="566" spans="1:7" x14ac:dyDescent="0.45">
      <c r="A566" s="3">
        <v>43187</v>
      </c>
      <c r="B566">
        <v>5130.4399999999996</v>
      </c>
      <c r="C566">
        <v>2.873484578965968E-3</v>
      </c>
      <c r="D566">
        <v>0.50103209672919402</v>
      </c>
      <c r="E566">
        <v>1</v>
      </c>
      <c r="F566">
        <v>0.83357737756671424</v>
      </c>
      <c r="G566">
        <v>0.70451407348783845</v>
      </c>
    </row>
    <row r="567" spans="1:7" x14ac:dyDescent="0.45">
      <c r="A567" s="3">
        <v>43188</v>
      </c>
      <c r="B567">
        <v>5167.3</v>
      </c>
      <c r="C567">
        <v>7.184568964845317E-3</v>
      </c>
      <c r="D567">
        <v>0.50231827133166362</v>
      </c>
      <c r="E567">
        <v>1</v>
      </c>
      <c r="F567">
        <v>0.83375613382038427</v>
      </c>
      <c r="G567">
        <v>0.70512139308750066</v>
      </c>
    </row>
    <row r="568" spans="1:7" x14ac:dyDescent="0.45">
      <c r="A568" s="3">
        <v>43193</v>
      </c>
      <c r="B568">
        <v>5152.12</v>
      </c>
      <c r="C568">
        <v>-2.9377044104271777E-3</v>
      </c>
      <c r="D568">
        <v>0.50200407274109105</v>
      </c>
      <c r="E568">
        <v>1</v>
      </c>
      <c r="F568">
        <v>0.83330530570300287</v>
      </c>
      <c r="G568">
        <v>0.70494108336406447</v>
      </c>
    </row>
    <row r="569" spans="1:7" x14ac:dyDescent="0.45">
      <c r="A569" s="3">
        <v>43194</v>
      </c>
      <c r="B569">
        <v>5141.8</v>
      </c>
      <c r="C569">
        <v>-2.0030589349626648E-3</v>
      </c>
      <c r="D569">
        <v>0.50065417291618186</v>
      </c>
      <c r="E569">
        <v>1</v>
      </c>
      <c r="F569">
        <v>0.83348915213478403</v>
      </c>
      <c r="G569">
        <v>0.70449146107960847</v>
      </c>
    </row>
    <row r="570" spans="1:7" x14ac:dyDescent="0.45">
      <c r="A570" s="3">
        <v>43195</v>
      </c>
      <c r="B570">
        <v>5276.67</v>
      </c>
      <c r="C570">
        <v>2.6230113967871116E-2</v>
      </c>
      <c r="D570">
        <v>0.49906522219766764</v>
      </c>
      <c r="E570">
        <v>-1</v>
      </c>
      <c r="F570">
        <v>0.83336372733786124</v>
      </c>
      <c r="G570">
        <v>0.70430751193429597</v>
      </c>
    </row>
    <row r="571" spans="1:7" x14ac:dyDescent="0.45">
      <c r="A571" s="3">
        <v>43196</v>
      </c>
      <c r="B571">
        <v>5258.24</v>
      </c>
      <c r="C571">
        <v>-3.4927331062962752E-3</v>
      </c>
      <c r="D571">
        <v>0.50511193589861425</v>
      </c>
      <c r="E571">
        <v>1</v>
      </c>
      <c r="F571">
        <v>0.8317077574947902</v>
      </c>
      <c r="G571">
        <v>0.70443396983662365</v>
      </c>
    </row>
    <row r="572" spans="1:7" x14ac:dyDescent="0.45">
      <c r="A572" s="3">
        <v>43199</v>
      </c>
      <c r="B572">
        <v>5263.39</v>
      </c>
      <c r="C572">
        <v>9.7941516553068375E-4</v>
      </c>
      <c r="D572">
        <v>0.5038930338512746</v>
      </c>
      <c r="E572">
        <v>1</v>
      </c>
      <c r="F572">
        <v>0.83149117447234988</v>
      </c>
      <c r="G572">
        <v>0.70606048900920937</v>
      </c>
    </row>
    <row r="573" spans="1:7" x14ac:dyDescent="0.45">
      <c r="A573" s="3">
        <v>43200</v>
      </c>
      <c r="B573">
        <v>5307.56</v>
      </c>
      <c r="C573">
        <v>8.3919299158907723E-3</v>
      </c>
      <c r="D573">
        <v>0.49958707364919469</v>
      </c>
      <c r="E573">
        <v>-1</v>
      </c>
      <c r="F573">
        <v>0.83155243843170279</v>
      </c>
      <c r="G573">
        <v>0.70584201305888172</v>
      </c>
    </row>
    <row r="574" spans="1:7" x14ac:dyDescent="0.45">
      <c r="A574" s="3">
        <v>43201</v>
      </c>
      <c r="B574">
        <v>5277.94</v>
      </c>
      <c r="C574">
        <v>-5.5807188237158023E-3</v>
      </c>
      <c r="D574">
        <v>0.50191740114019434</v>
      </c>
      <c r="E574">
        <v>1</v>
      </c>
      <c r="F574">
        <v>0.8310259392176188</v>
      </c>
      <c r="G574">
        <v>0.7057805657732058</v>
      </c>
    </row>
    <row r="575" spans="1:7" x14ac:dyDescent="0.45">
      <c r="A575" s="3">
        <v>43202</v>
      </c>
      <c r="B575">
        <v>5309.22</v>
      </c>
      <c r="C575">
        <v>5.9265546785300938E-3</v>
      </c>
      <c r="D575">
        <v>0.50032128469127557</v>
      </c>
      <c r="E575">
        <v>1</v>
      </c>
      <c r="F575">
        <v>0.83067736856000041</v>
      </c>
      <c r="G575">
        <v>0.70630472415169976</v>
      </c>
    </row>
    <row r="576" spans="1:7" x14ac:dyDescent="0.45">
      <c r="A576" s="3">
        <v>43203</v>
      </c>
      <c r="B576">
        <v>5315.02</v>
      </c>
      <c r="C576">
        <v>1.0924391906910191E-3</v>
      </c>
      <c r="D576">
        <v>0.50024534167421852</v>
      </c>
      <c r="E576">
        <v>1</v>
      </c>
      <c r="F576">
        <v>0.83104759638441283</v>
      </c>
      <c r="G576">
        <v>0.70595610045701818</v>
      </c>
    </row>
    <row r="577" spans="1:7" x14ac:dyDescent="0.45">
      <c r="A577" s="3">
        <v>43206</v>
      </c>
      <c r="B577">
        <v>5312.96</v>
      </c>
      <c r="C577">
        <v>-3.8758085576351409E-4</v>
      </c>
      <c r="D577">
        <v>0.50127293634822911</v>
      </c>
      <c r="E577">
        <v>1</v>
      </c>
      <c r="F577">
        <v>0.83097914555296515</v>
      </c>
      <c r="G577">
        <v>0.70558475018066169</v>
      </c>
    </row>
    <row r="578" spans="1:7" x14ac:dyDescent="0.45">
      <c r="A578" s="3">
        <v>43207</v>
      </c>
      <c r="B578">
        <v>5353.54</v>
      </c>
      <c r="C578">
        <v>7.6379268806840983E-3</v>
      </c>
      <c r="D578">
        <v>0.50011218420439163</v>
      </c>
      <c r="E578">
        <v>1</v>
      </c>
      <c r="F578">
        <v>0.83095492718575537</v>
      </c>
      <c r="G578">
        <v>0.70565301230734079</v>
      </c>
    </row>
    <row r="579" spans="1:7" x14ac:dyDescent="0.45">
      <c r="A579" s="3">
        <v>43208</v>
      </c>
      <c r="B579">
        <v>5380.17</v>
      </c>
      <c r="C579">
        <v>4.9742787015694123E-3</v>
      </c>
      <c r="D579">
        <v>0.50151831417727766</v>
      </c>
      <c r="E579">
        <v>1</v>
      </c>
      <c r="F579">
        <v>0.83143084363069542</v>
      </c>
      <c r="G579">
        <v>0.70562886228523625</v>
      </c>
    </row>
    <row r="580" spans="1:7" x14ac:dyDescent="0.45">
      <c r="A580" s="3">
        <v>43209</v>
      </c>
      <c r="B580">
        <v>5391.64</v>
      </c>
      <c r="C580">
        <v>2.1319028952617725E-3</v>
      </c>
      <c r="D580">
        <v>0.50238130959312077</v>
      </c>
      <c r="E580">
        <v>1</v>
      </c>
      <c r="F580">
        <v>0.83174024836909966</v>
      </c>
      <c r="G580">
        <v>0.70610394840530488</v>
      </c>
    </row>
    <row r="581" spans="1:7" x14ac:dyDescent="0.45">
      <c r="A581" s="3">
        <v>43210</v>
      </c>
      <c r="B581">
        <v>5412.83</v>
      </c>
      <c r="C581">
        <v>3.9301585417423901E-3</v>
      </c>
      <c r="D581">
        <v>0.50132138374252144</v>
      </c>
      <c r="E581">
        <v>1</v>
      </c>
      <c r="F581">
        <v>0.8318731392391796</v>
      </c>
      <c r="G581">
        <v>0.70641401704217444</v>
      </c>
    </row>
    <row r="582" spans="1:7" x14ac:dyDescent="0.45">
      <c r="A582" s="3">
        <v>43213</v>
      </c>
      <c r="B582">
        <v>5438.55</v>
      </c>
      <c r="C582">
        <v>4.7516733390851051E-3</v>
      </c>
      <c r="D582">
        <v>0.50119384758425201</v>
      </c>
      <c r="E582">
        <v>1</v>
      </c>
      <c r="F582">
        <v>0.83211818624971079</v>
      </c>
      <c r="G582">
        <v>0.70654694206941648</v>
      </c>
    </row>
    <row r="583" spans="1:7" x14ac:dyDescent="0.45">
      <c r="A583" s="3">
        <v>43214</v>
      </c>
      <c r="B583">
        <v>5444.16</v>
      </c>
      <c r="C583">
        <v>1.0315249469068366E-3</v>
      </c>
      <c r="D583">
        <v>0.50168269247235686</v>
      </c>
      <c r="E583">
        <v>1</v>
      </c>
      <c r="F583">
        <v>0.83241416303056726</v>
      </c>
      <c r="G583">
        <v>0.70679174754959806</v>
      </c>
    </row>
    <row r="584" spans="1:7" x14ac:dyDescent="0.45">
      <c r="A584" s="3">
        <v>43215</v>
      </c>
      <c r="B584">
        <v>5413.3</v>
      </c>
      <c r="C584">
        <v>-5.6684594133896704E-3</v>
      </c>
      <c r="D584">
        <v>0.50105427330718411</v>
      </c>
      <c r="E584">
        <v>1</v>
      </c>
      <c r="F584">
        <v>0.83234955706997082</v>
      </c>
      <c r="G584">
        <v>0.70649414309375558</v>
      </c>
    </row>
    <row r="585" spans="1:7" x14ac:dyDescent="0.45">
      <c r="A585" s="3">
        <v>43216</v>
      </c>
      <c r="B585">
        <v>5453.58</v>
      </c>
      <c r="C585">
        <v>7.4409325180573305E-3</v>
      </c>
      <c r="D585">
        <v>0.4990026579855929</v>
      </c>
      <c r="E585">
        <v>-1</v>
      </c>
      <c r="F585">
        <v>0.83199457309494596</v>
      </c>
      <c r="G585">
        <v>0.7065587417438095</v>
      </c>
    </row>
    <row r="586" spans="1:7" x14ac:dyDescent="0.45">
      <c r="A586" s="3">
        <v>43217</v>
      </c>
      <c r="B586">
        <v>5483.19</v>
      </c>
      <c r="C586">
        <v>5.4294610145995126E-3</v>
      </c>
      <c r="D586">
        <v>0.50054642876321942</v>
      </c>
      <c r="E586">
        <v>1</v>
      </c>
      <c r="F586">
        <v>0.83245912258005084</v>
      </c>
      <c r="G586">
        <v>0.70620485062929694</v>
      </c>
    </row>
    <row r="587" spans="1:7" x14ac:dyDescent="0.45">
      <c r="A587" s="3">
        <v>43220</v>
      </c>
      <c r="B587">
        <v>5520.5</v>
      </c>
      <c r="C587">
        <v>6.8044331857914919E-3</v>
      </c>
      <c r="D587">
        <v>0.5024436372913651</v>
      </c>
      <c r="E587">
        <v>1</v>
      </c>
      <c r="F587">
        <v>0.83279679737357937</v>
      </c>
      <c r="G587">
        <v>0.70666762499031333</v>
      </c>
    </row>
    <row r="588" spans="1:7" x14ac:dyDescent="0.45">
      <c r="A588" s="3">
        <v>43222</v>
      </c>
      <c r="B588">
        <v>5529.22</v>
      </c>
      <c r="C588">
        <v>1.5795670682003937E-3</v>
      </c>
      <c r="D588">
        <v>0.50237586573954685</v>
      </c>
      <c r="E588">
        <v>1</v>
      </c>
      <c r="F588">
        <v>0.83322004408854788</v>
      </c>
      <c r="G588">
        <v>0.70700534621936106</v>
      </c>
    </row>
    <row r="589" spans="1:7" x14ac:dyDescent="0.45">
      <c r="A589" s="3">
        <v>43223</v>
      </c>
      <c r="B589">
        <v>5501.66</v>
      </c>
      <c r="C589">
        <v>-4.9844281833604231E-3</v>
      </c>
      <c r="D589">
        <v>0.50153171960405574</v>
      </c>
      <c r="E589">
        <v>1</v>
      </c>
      <c r="F589">
        <v>0.83312101964437424</v>
      </c>
      <c r="G589">
        <v>0.70657877033809302</v>
      </c>
    </row>
    <row r="590" spans="1:7" x14ac:dyDescent="0.45">
      <c r="A590" s="3">
        <v>43224</v>
      </c>
      <c r="B590">
        <v>5516.05</v>
      </c>
      <c r="C590">
        <v>2.6155742085116618E-3</v>
      </c>
      <c r="D590">
        <v>0.49924086474986906</v>
      </c>
      <c r="E590">
        <v>-1</v>
      </c>
      <c r="F590">
        <v>0.83280902062022699</v>
      </c>
      <c r="G590">
        <v>0.70667764294006952</v>
      </c>
    </row>
    <row r="591" spans="1:7" x14ac:dyDescent="0.45">
      <c r="A591" s="3">
        <v>43227</v>
      </c>
      <c r="B591">
        <v>5531.42</v>
      </c>
      <c r="C591">
        <v>2.7864141913143126E-3</v>
      </c>
      <c r="D591">
        <v>0.49966397250932204</v>
      </c>
      <c r="E591">
        <v>-1</v>
      </c>
      <c r="F591">
        <v>0.83297260379748006</v>
      </c>
      <c r="G591">
        <v>0.70636590695629575</v>
      </c>
    </row>
    <row r="592" spans="1:7" x14ac:dyDescent="0.45">
      <c r="A592" s="3">
        <v>43228</v>
      </c>
      <c r="B592">
        <v>5521.93</v>
      </c>
      <c r="C592">
        <v>-1.7156534850002458E-3</v>
      </c>
      <c r="D592">
        <v>0.50104213827395838</v>
      </c>
      <c r="E592">
        <v>1</v>
      </c>
      <c r="F592">
        <v>0.83279809069003807</v>
      </c>
      <c r="G592">
        <v>0.7062020935561576</v>
      </c>
    </row>
    <row r="593" spans="1:7" x14ac:dyDescent="0.45">
      <c r="A593" s="3">
        <v>43229</v>
      </c>
      <c r="B593">
        <v>5534.63</v>
      </c>
      <c r="C593">
        <v>2.2999204988110034E-3</v>
      </c>
      <c r="D593">
        <v>0.50013474464394481</v>
      </c>
      <c r="E593">
        <v>1</v>
      </c>
      <c r="F593">
        <v>0.83269089125190066</v>
      </c>
      <c r="G593">
        <v>0.70637619749867198</v>
      </c>
    </row>
    <row r="594" spans="1:7" x14ac:dyDescent="0.45">
      <c r="A594" s="3">
        <v>43230</v>
      </c>
      <c r="B594">
        <v>5545.95</v>
      </c>
      <c r="C594">
        <v>2.0453038414491864E-3</v>
      </c>
      <c r="D594">
        <v>0.50017580650900584</v>
      </c>
      <c r="E594">
        <v>1</v>
      </c>
      <c r="F594">
        <v>0.83283458572268687</v>
      </c>
      <c r="G594">
        <v>0.7062690068719929</v>
      </c>
    </row>
    <row r="595" spans="1:7" x14ac:dyDescent="0.45">
      <c r="A595" s="3">
        <v>43231</v>
      </c>
      <c r="B595">
        <v>5541.94</v>
      </c>
      <c r="C595">
        <v>-7.230501537157652E-4</v>
      </c>
      <c r="D595">
        <v>0.50083193981827068</v>
      </c>
      <c r="E595">
        <v>1</v>
      </c>
      <c r="F595">
        <v>0.83270654189087279</v>
      </c>
      <c r="G595">
        <v>0.70612502306500657</v>
      </c>
    </row>
    <row r="596" spans="1:7" x14ac:dyDescent="0.45">
      <c r="A596" s="3">
        <v>43234</v>
      </c>
      <c r="B596">
        <v>5540.68</v>
      </c>
      <c r="C596">
        <v>-2.2735720704292195E-4</v>
      </c>
      <c r="D596">
        <v>0.50021053789483294</v>
      </c>
      <c r="E596">
        <v>1</v>
      </c>
      <c r="F596">
        <v>0.83275175154614633</v>
      </c>
      <c r="G596">
        <v>0.70599713777084505</v>
      </c>
    </row>
    <row r="597" spans="1:7" x14ac:dyDescent="0.45">
      <c r="A597" s="3">
        <v>43235</v>
      </c>
      <c r="B597">
        <v>5553.16</v>
      </c>
      <c r="C597">
        <v>2.2524311095388772E-3</v>
      </c>
      <c r="D597">
        <v>0.49982504914429482</v>
      </c>
      <c r="E597">
        <v>-1</v>
      </c>
      <c r="F597">
        <v>0.83273753675040429</v>
      </c>
      <c r="G597">
        <v>0.70595193132949208</v>
      </c>
    </row>
    <row r="598" spans="1:7" x14ac:dyDescent="0.45">
      <c r="A598" s="3">
        <v>43236</v>
      </c>
      <c r="B598">
        <v>5567.54</v>
      </c>
      <c r="C598">
        <v>2.5895165995577507E-3</v>
      </c>
      <c r="D598">
        <v>0.50042879506349025</v>
      </c>
      <c r="E598">
        <v>1</v>
      </c>
      <c r="F598">
        <v>0.83287819286238574</v>
      </c>
      <c r="G598">
        <v>0.70593773370069968</v>
      </c>
    </row>
    <row r="599" spans="1:7" x14ac:dyDescent="0.45">
      <c r="A599" s="3">
        <v>43237</v>
      </c>
      <c r="B599">
        <v>5621.92</v>
      </c>
      <c r="C599">
        <v>9.7673299159053428E-3</v>
      </c>
      <c r="D599">
        <v>0.50093670590880712</v>
      </c>
      <c r="E599">
        <v>1</v>
      </c>
      <c r="F599">
        <v>0.83303973388096264</v>
      </c>
      <c r="G599">
        <v>0.70607824641869943</v>
      </c>
    </row>
    <row r="600" spans="1:7" x14ac:dyDescent="0.45">
      <c r="A600" s="3">
        <v>43238</v>
      </c>
      <c r="B600">
        <v>5614.51</v>
      </c>
      <c r="C600">
        <v>-1.3180550416939107E-3</v>
      </c>
      <c r="D600">
        <v>0.50249122319840056</v>
      </c>
      <c r="E600">
        <v>1</v>
      </c>
      <c r="F600">
        <v>0.83242624941634957</v>
      </c>
      <c r="G600">
        <v>0.7059155992860271</v>
      </c>
    </row>
    <row r="601" spans="1:7" x14ac:dyDescent="0.45">
      <c r="A601" s="3">
        <v>43241</v>
      </c>
      <c r="B601">
        <v>5637.51</v>
      </c>
      <c r="C601">
        <v>4.0965284592957563E-3</v>
      </c>
      <c r="D601">
        <v>0.50144942767398981</v>
      </c>
      <c r="E601">
        <v>1</v>
      </c>
      <c r="F601">
        <v>0.83234411046967449</v>
      </c>
      <c r="G601">
        <v>0.70652428266095613</v>
      </c>
    </row>
    <row r="602" spans="1:7" x14ac:dyDescent="0.45">
      <c r="A602" s="3">
        <v>43242</v>
      </c>
      <c r="B602">
        <v>5640.1</v>
      </c>
      <c r="C602">
        <v>4.5942268838539135E-4</v>
      </c>
      <c r="D602">
        <v>0.50061962054371856</v>
      </c>
      <c r="E602">
        <v>1</v>
      </c>
      <c r="F602">
        <v>0.83259982581902414</v>
      </c>
      <c r="G602">
        <v>0.70644200643395128</v>
      </c>
    </row>
    <row r="603" spans="1:7" x14ac:dyDescent="0.45">
      <c r="A603" s="3">
        <v>43243</v>
      </c>
      <c r="B603">
        <v>5565.85</v>
      </c>
      <c r="C603">
        <v>-1.3164660201060219E-2</v>
      </c>
      <c r="D603">
        <v>0.50081911802584256</v>
      </c>
      <c r="E603">
        <v>1</v>
      </c>
      <c r="F603">
        <v>0.83257106493801347</v>
      </c>
      <c r="G603">
        <v>0.70618555465097888</v>
      </c>
    </row>
    <row r="604" spans="1:7" x14ac:dyDescent="0.45">
      <c r="A604" s="3">
        <v>43244</v>
      </c>
      <c r="B604">
        <v>5548.45</v>
      </c>
      <c r="C604">
        <v>-3.1262071381730205E-3</v>
      </c>
      <c r="D604">
        <v>0.49734100569248552</v>
      </c>
      <c r="E604">
        <v>-1</v>
      </c>
      <c r="F604">
        <v>0.83338945746039694</v>
      </c>
      <c r="G604">
        <v>0.70615699424098377</v>
      </c>
    </row>
    <row r="605" spans="1:7" x14ac:dyDescent="0.45">
      <c r="A605" s="3">
        <v>43245</v>
      </c>
      <c r="B605">
        <v>5542.55</v>
      </c>
      <c r="C605">
        <v>-1.0633600374878593E-3</v>
      </c>
      <c r="D605">
        <v>0.49702461888457578</v>
      </c>
      <c r="E605">
        <v>-1</v>
      </c>
      <c r="F605">
        <v>0.83358367582150161</v>
      </c>
      <c r="G605">
        <v>0.70697486030543299</v>
      </c>
    </row>
    <row r="606" spans="1:7" x14ac:dyDescent="0.45">
      <c r="A606" s="3">
        <v>43248</v>
      </c>
      <c r="B606">
        <v>5508.93</v>
      </c>
      <c r="C606">
        <v>-6.0658000378887023E-3</v>
      </c>
      <c r="D606">
        <v>0.49922586326268337</v>
      </c>
      <c r="E606">
        <v>-1</v>
      </c>
      <c r="F606">
        <v>0.83365003276651783</v>
      </c>
      <c r="G606">
        <v>0.70716994526994537</v>
      </c>
    </row>
    <row r="607" spans="1:7" x14ac:dyDescent="0.45">
      <c r="A607" s="3">
        <v>43249</v>
      </c>
      <c r="B607">
        <v>5438.06</v>
      </c>
      <c r="C607">
        <v>-1.286456716640072E-2</v>
      </c>
      <c r="D607">
        <v>0.49854782141824</v>
      </c>
      <c r="E607">
        <v>-1</v>
      </c>
      <c r="F607">
        <v>0.83402804100213768</v>
      </c>
      <c r="G607">
        <v>0.70723621168972328</v>
      </c>
    </row>
    <row r="608" spans="1:7" x14ac:dyDescent="0.45">
      <c r="A608" s="3">
        <v>43250</v>
      </c>
      <c r="B608">
        <v>5427.35</v>
      </c>
      <c r="C608">
        <v>-1.9694523414600651E-3</v>
      </c>
      <c r="D608">
        <v>0.49624522978560492</v>
      </c>
      <c r="E608">
        <v>-1</v>
      </c>
      <c r="F608">
        <v>0.83482599351170428</v>
      </c>
      <c r="G608">
        <v>0.70761245601261069</v>
      </c>
    </row>
    <row r="609" spans="1:7" x14ac:dyDescent="0.45">
      <c r="A609" s="3">
        <v>43251</v>
      </c>
      <c r="B609">
        <v>5398.4</v>
      </c>
      <c r="C609">
        <v>-5.3340949081965849E-3</v>
      </c>
      <c r="D609">
        <v>0.49731320636728354</v>
      </c>
      <c r="E609">
        <v>-1</v>
      </c>
      <c r="F609">
        <v>0.83494841930884334</v>
      </c>
      <c r="G609">
        <v>0.70841214781374739</v>
      </c>
    </row>
    <row r="610" spans="1:7" x14ac:dyDescent="0.45">
      <c r="A610" s="3">
        <v>43252</v>
      </c>
      <c r="B610">
        <v>5465.53</v>
      </c>
      <c r="C610">
        <v>1.2435165975103857E-2</v>
      </c>
      <c r="D610">
        <v>0.49853778464963555</v>
      </c>
      <c r="E610">
        <v>-1</v>
      </c>
      <c r="F610">
        <v>0.83461406628715928</v>
      </c>
      <c r="G610">
        <v>0.70828869812776263</v>
      </c>
    </row>
    <row r="611" spans="1:7" x14ac:dyDescent="0.45">
      <c r="A611" s="3">
        <v>43255</v>
      </c>
      <c r="B611">
        <v>5472.91</v>
      </c>
      <c r="C611">
        <v>1.3502807595970889E-3</v>
      </c>
      <c r="D611">
        <v>0.50165011533450987</v>
      </c>
      <c r="E611">
        <v>1</v>
      </c>
      <c r="F611">
        <v>0.83538869079141331</v>
      </c>
      <c r="G611">
        <v>0.70795642104901846</v>
      </c>
    </row>
    <row r="612" spans="1:7" x14ac:dyDescent="0.45">
      <c r="A612" s="3">
        <v>43256</v>
      </c>
      <c r="B612">
        <v>5460.95</v>
      </c>
      <c r="C612">
        <v>-2.1853090951614584E-3</v>
      </c>
      <c r="D612">
        <v>0.50248287081037846</v>
      </c>
      <c r="E612">
        <v>1</v>
      </c>
      <c r="F612">
        <v>0.83530388126368793</v>
      </c>
      <c r="G612">
        <v>0.70717538307151684</v>
      </c>
    </row>
    <row r="613" spans="1:7" x14ac:dyDescent="0.45">
      <c r="A613" s="3">
        <v>43257</v>
      </c>
      <c r="B613">
        <v>5457.56</v>
      </c>
      <c r="C613">
        <v>-6.2077111125347084E-4</v>
      </c>
      <c r="D613">
        <v>0.49978237204986131</v>
      </c>
      <c r="E613">
        <v>-1</v>
      </c>
      <c r="F613">
        <v>0.83544040360822935</v>
      </c>
      <c r="G613">
        <v>0.70709102727237727</v>
      </c>
    </row>
    <row r="614" spans="1:7" x14ac:dyDescent="0.45">
      <c r="A614" s="3">
        <v>43258</v>
      </c>
      <c r="B614">
        <v>5448.36</v>
      </c>
      <c r="C614">
        <v>-1.6857350171139984E-3</v>
      </c>
      <c r="D614">
        <v>0.49948404275295388</v>
      </c>
      <c r="E614">
        <v>-1</v>
      </c>
      <c r="F614">
        <v>0.83547916172499193</v>
      </c>
      <c r="G614">
        <v>0.70722746800477809</v>
      </c>
    </row>
    <row r="615" spans="1:7" x14ac:dyDescent="0.45">
      <c r="A615" s="3">
        <v>43259</v>
      </c>
      <c r="B615">
        <v>5450.22</v>
      </c>
      <c r="C615">
        <v>3.4138713300890799E-4</v>
      </c>
      <c r="D615">
        <v>0.49953814441630551</v>
      </c>
      <c r="E615">
        <v>-1</v>
      </c>
      <c r="F615">
        <v>0.83537370605563532</v>
      </c>
      <c r="G615">
        <v>0.7071886340051341</v>
      </c>
    </row>
    <row r="616" spans="1:7" x14ac:dyDescent="0.45">
      <c r="A616" s="3">
        <v>43262</v>
      </c>
      <c r="B616">
        <v>5473.91</v>
      </c>
      <c r="C616">
        <v>4.346613531196919E-3</v>
      </c>
      <c r="D616">
        <v>0.49977326331315541</v>
      </c>
      <c r="E616">
        <v>-1</v>
      </c>
      <c r="F616">
        <v>0.83539505242268219</v>
      </c>
      <c r="G616">
        <v>0.70708322781099342</v>
      </c>
    </row>
    <row r="617" spans="1:7" x14ac:dyDescent="0.45">
      <c r="A617" s="3">
        <v>43263</v>
      </c>
      <c r="B617">
        <v>5453.37</v>
      </c>
      <c r="C617">
        <v>-3.7523452157598447E-3</v>
      </c>
      <c r="D617">
        <v>0.500968130928795</v>
      </c>
      <c r="E617">
        <v>1</v>
      </c>
      <c r="F617">
        <v>0.83512286408607583</v>
      </c>
      <c r="G617">
        <v>0.70706184988189857</v>
      </c>
    </row>
    <row r="618" spans="1:7" x14ac:dyDescent="0.45">
      <c r="A618" s="3">
        <v>43264</v>
      </c>
      <c r="B618">
        <v>5452.73</v>
      </c>
      <c r="C618">
        <v>-1.1735862411688114E-4</v>
      </c>
      <c r="D618">
        <v>0.49998491383012067</v>
      </c>
      <c r="E618">
        <v>-1</v>
      </c>
      <c r="F618">
        <v>0.83535737858578263</v>
      </c>
      <c r="G618">
        <v>0.70679019473316484</v>
      </c>
    </row>
    <row r="619" spans="1:7" x14ac:dyDescent="0.45">
      <c r="A619" s="3">
        <v>43265</v>
      </c>
      <c r="B619">
        <v>5528.46</v>
      </c>
      <c r="C619">
        <v>1.3888455874397021E-2</v>
      </c>
      <c r="D619">
        <v>0.49931246113375483</v>
      </c>
      <c r="E619">
        <v>-1</v>
      </c>
      <c r="F619">
        <v>0.83535003359958659</v>
      </c>
      <c r="G619">
        <v>0.70655535111583523</v>
      </c>
    </row>
    <row r="620" spans="1:7" x14ac:dyDescent="0.45">
      <c r="A620" s="3">
        <v>43266</v>
      </c>
      <c r="B620">
        <v>5501.88</v>
      </c>
      <c r="C620">
        <v>-4.8078488403642261E-3</v>
      </c>
      <c r="D620">
        <v>0.50287966858922817</v>
      </c>
      <c r="E620">
        <v>1</v>
      </c>
      <c r="F620">
        <v>0.83447703479697</v>
      </c>
      <c r="G620">
        <v>0.70656272802938536</v>
      </c>
    </row>
    <row r="621" spans="1:7" x14ac:dyDescent="0.45">
      <c r="A621" s="3">
        <v>43269</v>
      </c>
      <c r="B621">
        <v>5450.48</v>
      </c>
      <c r="C621">
        <v>-9.3422611907203468E-3</v>
      </c>
      <c r="D621">
        <v>0.50145025238969076</v>
      </c>
      <c r="E621">
        <v>1</v>
      </c>
      <c r="F621">
        <v>0.83477839438843859</v>
      </c>
      <c r="G621">
        <v>0.70569218914028797</v>
      </c>
    </row>
    <row r="622" spans="1:7" x14ac:dyDescent="0.45">
      <c r="A622" s="3">
        <v>43270</v>
      </c>
      <c r="B622">
        <v>5390.63</v>
      </c>
      <c r="C622">
        <v>-1.09806842700092E-2</v>
      </c>
      <c r="D622">
        <v>0.49720213441050803</v>
      </c>
      <c r="E622">
        <v>-1</v>
      </c>
      <c r="F622">
        <v>0.83535900023334952</v>
      </c>
      <c r="G622">
        <v>0.70599098887208489</v>
      </c>
    </row>
    <row r="623" spans="1:7" x14ac:dyDescent="0.45">
      <c r="A623" s="3">
        <v>43271</v>
      </c>
      <c r="B623">
        <v>5372.31</v>
      </c>
      <c r="C623">
        <v>-3.3984896014008781E-3</v>
      </c>
      <c r="D623">
        <v>0.49605799026604575</v>
      </c>
      <c r="E623">
        <v>-1</v>
      </c>
      <c r="F623">
        <v>0.83603983993258713</v>
      </c>
      <c r="G623">
        <v>0.70657024077869524</v>
      </c>
    </row>
    <row r="624" spans="1:7" x14ac:dyDescent="0.45">
      <c r="A624" s="3">
        <v>43272</v>
      </c>
      <c r="B624">
        <v>5316.01</v>
      </c>
      <c r="C624">
        <v>-1.0479663310568488E-2</v>
      </c>
      <c r="D624">
        <v>0.49735005045409852</v>
      </c>
      <c r="E624">
        <v>-1</v>
      </c>
      <c r="F624">
        <v>0.83625111386980211</v>
      </c>
      <c r="G624">
        <v>0.70725287708809659</v>
      </c>
    </row>
    <row r="625" spans="1:7" x14ac:dyDescent="0.45">
      <c r="A625" s="3">
        <v>43273</v>
      </c>
      <c r="B625">
        <v>5387.38</v>
      </c>
      <c r="C625">
        <v>1.3425482645818887E-2</v>
      </c>
      <c r="D625">
        <v>0.49720822359654371</v>
      </c>
      <c r="E625">
        <v>-1</v>
      </c>
      <c r="F625">
        <v>0.83559249833697702</v>
      </c>
      <c r="G625">
        <v>0.70703929216906869</v>
      </c>
    </row>
    <row r="626" spans="1:7" x14ac:dyDescent="0.45">
      <c r="A626" s="3">
        <v>43276</v>
      </c>
      <c r="B626">
        <v>5283.86</v>
      </c>
      <c r="C626">
        <v>-1.9215277184828294E-2</v>
      </c>
      <c r="D626">
        <v>0.50095217356299748</v>
      </c>
      <c r="E626">
        <v>1</v>
      </c>
      <c r="F626">
        <v>0.83475181079670391</v>
      </c>
      <c r="G626">
        <v>0.70769551605344394</v>
      </c>
    </row>
    <row r="627" spans="1:7" x14ac:dyDescent="0.45">
      <c r="A627" s="3">
        <v>43277</v>
      </c>
      <c r="B627">
        <v>5281.29</v>
      </c>
      <c r="C627">
        <v>-4.8638684598001358E-4</v>
      </c>
      <c r="D627">
        <v>0.49836529743556379</v>
      </c>
      <c r="E627">
        <v>-1</v>
      </c>
      <c r="F627">
        <v>0.83594882641784574</v>
      </c>
      <c r="G627">
        <v>0.70685917566169032</v>
      </c>
    </row>
    <row r="628" spans="1:7" x14ac:dyDescent="0.45">
      <c r="A628" s="3">
        <v>43278</v>
      </c>
      <c r="B628">
        <v>5327.2</v>
      </c>
      <c r="C628">
        <v>8.6929519113700948E-3</v>
      </c>
      <c r="D628">
        <v>0.49650278465598591</v>
      </c>
      <c r="E628">
        <v>-1</v>
      </c>
      <c r="F628">
        <v>0.83591821611262185</v>
      </c>
      <c r="G628">
        <v>0.70564988000649209</v>
      </c>
    </row>
    <row r="629" spans="1:7" x14ac:dyDescent="0.45">
      <c r="A629" s="3">
        <v>43279</v>
      </c>
      <c r="B629">
        <v>5275.64</v>
      </c>
      <c r="C629">
        <v>-9.6786304249886213E-3</v>
      </c>
      <c r="D629">
        <v>0.50173083759504611</v>
      </c>
      <c r="E629">
        <v>1</v>
      </c>
      <c r="F629">
        <v>0.83537303239028493</v>
      </c>
      <c r="G629">
        <v>0.70568038405090538</v>
      </c>
    </row>
    <row r="630" spans="1:7" x14ac:dyDescent="0.45">
      <c r="A630" s="3">
        <v>43280</v>
      </c>
      <c r="B630">
        <v>5323.53</v>
      </c>
      <c r="C630">
        <v>9.077571631119552E-3</v>
      </c>
      <c r="D630">
        <v>0.49951229485363274</v>
      </c>
      <c r="E630">
        <v>-1</v>
      </c>
      <c r="F630">
        <v>0.83476752852508185</v>
      </c>
      <c r="G630">
        <v>0.70622422297761644</v>
      </c>
    </row>
    <row r="631" spans="1:7" x14ac:dyDescent="0.45">
      <c r="A631" s="3">
        <v>43283</v>
      </c>
      <c r="B631">
        <v>5276.76</v>
      </c>
      <c r="C631">
        <v>-8.7855238911022093E-3</v>
      </c>
      <c r="D631">
        <v>0.50018559468751211</v>
      </c>
      <c r="E631">
        <v>1</v>
      </c>
      <c r="F631">
        <v>0.83419996978270228</v>
      </c>
      <c r="G631">
        <v>0.7068293618335999</v>
      </c>
    </row>
    <row r="632" spans="1:7" x14ac:dyDescent="0.45">
      <c r="A632" s="3">
        <v>43284</v>
      </c>
      <c r="B632">
        <v>5316.77</v>
      </c>
      <c r="C632">
        <v>7.5823042927858353E-3</v>
      </c>
      <c r="D632">
        <v>0.49977185261546891</v>
      </c>
      <c r="E632">
        <v>-1</v>
      </c>
      <c r="F632">
        <v>0.83365062410459767</v>
      </c>
      <c r="G632">
        <v>0.70739696882039449</v>
      </c>
    </row>
    <row r="633" spans="1:7" x14ac:dyDescent="0.45">
      <c r="A633" s="3">
        <v>43285</v>
      </c>
      <c r="B633">
        <v>5320.5</v>
      </c>
      <c r="C633">
        <v>7.0155376290492732E-4</v>
      </c>
      <c r="D633">
        <v>0.5000265349339168</v>
      </c>
      <c r="E633">
        <v>1</v>
      </c>
      <c r="F633">
        <v>0.83412449297206925</v>
      </c>
      <c r="G633">
        <v>0.70684790271915898</v>
      </c>
    </row>
    <row r="634" spans="1:7" x14ac:dyDescent="0.45">
      <c r="A634" s="3">
        <v>43286</v>
      </c>
      <c r="B634">
        <v>5366.32</v>
      </c>
      <c r="C634">
        <v>8.6119725589699492E-3</v>
      </c>
      <c r="D634">
        <v>0.50148617538923257</v>
      </c>
      <c r="E634">
        <v>1</v>
      </c>
      <c r="F634">
        <v>0.83416820936702674</v>
      </c>
      <c r="G634">
        <v>0.70732038398385688</v>
      </c>
    </row>
    <row r="635" spans="1:7" x14ac:dyDescent="0.45">
      <c r="A635" s="3">
        <v>43287</v>
      </c>
      <c r="B635">
        <v>5375.77</v>
      </c>
      <c r="C635">
        <v>1.7609833181773116E-3</v>
      </c>
      <c r="D635">
        <v>0.50192000481406074</v>
      </c>
      <c r="E635">
        <v>1</v>
      </c>
      <c r="F635">
        <v>0.83470438286700965</v>
      </c>
      <c r="G635">
        <v>0.70736406207664082</v>
      </c>
    </row>
    <row r="636" spans="1:7" x14ac:dyDescent="0.45">
      <c r="A636" s="3">
        <v>43290</v>
      </c>
      <c r="B636">
        <v>5398.11</v>
      </c>
      <c r="C636">
        <v>4.1556837439100658E-3</v>
      </c>
      <c r="D636">
        <v>0.50189041608869511</v>
      </c>
      <c r="E636">
        <v>1</v>
      </c>
      <c r="F636">
        <v>0.83481402663314985</v>
      </c>
      <c r="G636">
        <v>0.70790026767013803</v>
      </c>
    </row>
    <row r="637" spans="1:7" x14ac:dyDescent="0.45">
      <c r="A637" s="3">
        <v>43291</v>
      </c>
      <c r="B637">
        <v>5434.36</v>
      </c>
      <c r="C637">
        <v>6.715313322625871E-3</v>
      </c>
      <c r="D637">
        <v>0.50117895372559751</v>
      </c>
      <c r="E637">
        <v>1</v>
      </c>
      <c r="F637">
        <v>0.8350731430066658</v>
      </c>
      <c r="G637">
        <v>0.70801006900232477</v>
      </c>
    </row>
    <row r="638" spans="1:7" x14ac:dyDescent="0.45">
      <c r="A638" s="3">
        <v>43292</v>
      </c>
      <c r="B638">
        <v>5353.93</v>
      </c>
      <c r="C638">
        <v>-1.4800270869062659E-2</v>
      </c>
      <c r="D638">
        <v>0.50213749791273188</v>
      </c>
      <c r="E638">
        <v>1</v>
      </c>
      <c r="F638">
        <v>0.83465164938116054</v>
      </c>
      <c r="G638">
        <v>0.70774923318967964</v>
      </c>
    </row>
    <row r="639" spans="1:7" x14ac:dyDescent="0.45">
      <c r="A639" s="3">
        <v>43293</v>
      </c>
      <c r="B639">
        <v>5405.9</v>
      </c>
      <c r="C639">
        <v>9.7068882110897814E-3</v>
      </c>
      <c r="D639">
        <v>0.49809993098705058</v>
      </c>
      <c r="E639">
        <v>-1</v>
      </c>
      <c r="F639">
        <v>0.83372313066881432</v>
      </c>
      <c r="G639">
        <v>0.70817052913314504</v>
      </c>
    </row>
    <row r="640" spans="1:7" x14ac:dyDescent="0.45">
      <c r="A640" s="3">
        <v>43294</v>
      </c>
      <c r="B640">
        <v>5429.2</v>
      </c>
      <c r="C640">
        <v>4.3101056253354031E-3</v>
      </c>
      <c r="D640">
        <v>0.49940293567772953</v>
      </c>
      <c r="E640">
        <v>-1</v>
      </c>
      <c r="F640">
        <v>0.83433053477046137</v>
      </c>
      <c r="G640">
        <v>0.70724440893521334</v>
      </c>
    </row>
    <row r="641" spans="1:7" x14ac:dyDescent="0.45">
      <c r="A641" s="3">
        <v>43297</v>
      </c>
      <c r="B641">
        <v>5409.43</v>
      </c>
      <c r="C641">
        <v>-3.6414204671036954E-3</v>
      </c>
      <c r="D641">
        <v>0.5026152749361652</v>
      </c>
      <c r="E641">
        <v>1</v>
      </c>
      <c r="F641">
        <v>0.83405975156344236</v>
      </c>
      <c r="G641">
        <v>0.70663457183411693</v>
      </c>
    </row>
    <row r="642" spans="1:7" x14ac:dyDescent="0.45">
      <c r="A642" s="3">
        <v>43298</v>
      </c>
      <c r="B642">
        <v>5422.54</v>
      </c>
      <c r="C642">
        <v>2.4235455491612434E-3</v>
      </c>
      <c r="D642">
        <v>0.50000212684824696</v>
      </c>
      <c r="E642">
        <v>1</v>
      </c>
      <c r="F642">
        <v>0.83383216375234614</v>
      </c>
      <c r="G642">
        <v>0.70690395228982794</v>
      </c>
    </row>
    <row r="643" spans="1:7" x14ac:dyDescent="0.45">
      <c r="A643" s="3">
        <v>43299</v>
      </c>
      <c r="B643">
        <v>5447.44</v>
      </c>
      <c r="C643">
        <v>4.591943996724801E-3</v>
      </c>
      <c r="D643">
        <v>0.49986167393079523</v>
      </c>
      <c r="E643">
        <v>-1</v>
      </c>
      <c r="F643">
        <v>0.83398367724251354</v>
      </c>
      <c r="G643">
        <v>0.7066763005651352</v>
      </c>
    </row>
    <row r="644" spans="1:7" x14ac:dyDescent="0.45">
      <c r="A644" s="3">
        <v>43300</v>
      </c>
      <c r="B644">
        <v>5417.07</v>
      </c>
      <c r="C644">
        <v>-5.575095824827736E-3</v>
      </c>
      <c r="D644">
        <v>0.50138556358908859</v>
      </c>
      <c r="E644">
        <v>1</v>
      </c>
      <c r="F644">
        <v>0.83369588764891289</v>
      </c>
      <c r="G644">
        <v>0.70652441038764968</v>
      </c>
    </row>
    <row r="645" spans="1:7" x14ac:dyDescent="0.45">
      <c r="A645" s="3">
        <v>43301</v>
      </c>
      <c r="B645">
        <v>5398.32</v>
      </c>
      <c r="C645">
        <v>-3.4612807292503378E-3</v>
      </c>
      <c r="D645">
        <v>0.49964909657321349</v>
      </c>
      <c r="E645">
        <v>-1</v>
      </c>
      <c r="F645">
        <v>0.83404408642643646</v>
      </c>
      <c r="G645">
        <v>0.7062376154452209</v>
      </c>
    </row>
    <row r="646" spans="1:7" x14ac:dyDescent="0.45">
      <c r="A646" s="3">
        <v>43304</v>
      </c>
      <c r="B646">
        <v>5378.25</v>
      </c>
      <c r="C646">
        <v>-3.7178233228114532E-3</v>
      </c>
      <c r="D646">
        <v>0.49829395584460762</v>
      </c>
      <c r="E646">
        <v>-1</v>
      </c>
      <c r="F646">
        <v>0.8342596758247991</v>
      </c>
      <c r="G646">
        <v>0.70658486597145864</v>
      </c>
    </row>
    <row r="647" spans="1:7" x14ac:dyDescent="0.45">
      <c r="A647" s="3">
        <v>43305</v>
      </c>
      <c r="B647">
        <v>5434.19</v>
      </c>
      <c r="C647">
        <v>1.0401152791335466E-2</v>
      </c>
      <c r="D647">
        <v>0.49861317389131132</v>
      </c>
      <c r="E647">
        <v>-1</v>
      </c>
      <c r="F647">
        <v>0.83402666916288515</v>
      </c>
      <c r="G647">
        <v>0.70636793757044469</v>
      </c>
    </row>
    <row r="648" spans="1:7" x14ac:dyDescent="0.45">
      <c r="A648" s="3">
        <v>43306</v>
      </c>
      <c r="B648">
        <v>5426.41</v>
      </c>
      <c r="C648">
        <v>-1.431676109962976E-3</v>
      </c>
      <c r="D648">
        <v>0.50151216729588499</v>
      </c>
      <c r="E648">
        <v>1</v>
      </c>
      <c r="F648">
        <v>0.83337463704197168</v>
      </c>
      <c r="G648">
        <v>0.7066010021427076</v>
      </c>
    </row>
    <row r="649" spans="1:7" x14ac:dyDescent="0.45">
      <c r="A649" s="3">
        <v>43307</v>
      </c>
      <c r="B649">
        <v>5480.55</v>
      </c>
      <c r="C649">
        <v>9.9771303679596635E-3</v>
      </c>
      <c r="D649">
        <v>0.50153908074582598</v>
      </c>
      <c r="E649">
        <v>1</v>
      </c>
      <c r="F649">
        <v>0.83328543356345885</v>
      </c>
      <c r="G649">
        <v>0.70724906702489299</v>
      </c>
    </row>
    <row r="650" spans="1:7" x14ac:dyDescent="0.45">
      <c r="A650" s="3">
        <v>43308</v>
      </c>
      <c r="B650">
        <v>5511.76</v>
      </c>
      <c r="C650">
        <v>5.6946839277078887E-3</v>
      </c>
      <c r="D650">
        <v>0.50182530334420516</v>
      </c>
      <c r="E650">
        <v>1</v>
      </c>
      <c r="F650">
        <v>0.83390671952033379</v>
      </c>
      <c r="G650">
        <v>0.70715991511155629</v>
      </c>
    </row>
    <row r="651" spans="1:7" x14ac:dyDescent="0.45">
      <c r="A651" s="3">
        <v>43311</v>
      </c>
      <c r="B651">
        <v>5491.22</v>
      </c>
      <c r="C651">
        <v>-3.7265773546018011E-3</v>
      </c>
      <c r="D651">
        <v>0.50295103119777274</v>
      </c>
      <c r="E651">
        <v>1</v>
      </c>
      <c r="F651">
        <v>0.8335487135974452</v>
      </c>
      <c r="G651">
        <v>0.70653268596056129</v>
      </c>
    </row>
    <row r="652" spans="1:7" x14ac:dyDescent="0.45">
      <c r="A652" s="3">
        <v>43312</v>
      </c>
      <c r="B652">
        <v>5511.3</v>
      </c>
      <c r="C652">
        <v>3.6567465881898187E-3</v>
      </c>
      <c r="D652">
        <v>0.50022929912669778</v>
      </c>
      <c r="E652">
        <v>1</v>
      </c>
      <c r="F652">
        <v>0.83331590937436084</v>
      </c>
      <c r="G652">
        <v>0.70688844040796706</v>
      </c>
    </row>
    <row r="653" spans="1:7" x14ac:dyDescent="0.45">
      <c r="A653" s="3">
        <v>43313</v>
      </c>
      <c r="B653">
        <v>5498.37</v>
      </c>
      <c r="C653">
        <v>-2.3460889445321431E-3</v>
      </c>
      <c r="D653">
        <v>0.50010323766209164</v>
      </c>
      <c r="E653">
        <v>1</v>
      </c>
      <c r="F653">
        <v>0.83308731553309834</v>
      </c>
      <c r="G653">
        <v>0.70712139957308984</v>
      </c>
    </row>
    <row r="654" spans="1:7" x14ac:dyDescent="0.45">
      <c r="A654" s="3">
        <v>43314</v>
      </c>
      <c r="B654">
        <v>5460.98</v>
      </c>
      <c r="C654">
        <v>-6.800197149336995E-3</v>
      </c>
      <c r="D654">
        <v>0.50015781670088988</v>
      </c>
      <c r="E654">
        <v>1</v>
      </c>
      <c r="F654">
        <v>0.83323399235902118</v>
      </c>
      <c r="G654">
        <v>0.70689278079714368</v>
      </c>
    </row>
    <row r="655" spans="1:7" x14ac:dyDescent="0.45">
      <c r="A655" s="3">
        <v>43315</v>
      </c>
      <c r="B655">
        <v>5478.98</v>
      </c>
      <c r="C655">
        <v>3.296111686913239E-3</v>
      </c>
      <c r="D655">
        <v>0.49816886099725688</v>
      </c>
      <c r="E655">
        <v>-1</v>
      </c>
      <c r="F655">
        <v>0.83280742924517004</v>
      </c>
      <c r="G655">
        <v>0.70674561521009172</v>
      </c>
    </row>
    <row r="656" spans="1:7" x14ac:dyDescent="0.45">
      <c r="A656" s="3">
        <v>43318</v>
      </c>
      <c r="B656">
        <v>5477.18</v>
      </c>
      <c r="C656">
        <v>-3.2852830271312694E-4</v>
      </c>
      <c r="D656">
        <v>0.49948475437803824</v>
      </c>
      <c r="E656">
        <v>-1</v>
      </c>
      <c r="F656">
        <v>0.83260163477166338</v>
      </c>
      <c r="G656">
        <v>0.7071701891095884</v>
      </c>
    </row>
    <row r="657" spans="1:7" x14ac:dyDescent="0.45">
      <c r="A657" s="3">
        <v>43319</v>
      </c>
      <c r="B657">
        <v>5521.31</v>
      </c>
      <c r="C657">
        <v>8.0570658623597691E-3</v>
      </c>
      <c r="D657">
        <v>0.50051434449933652</v>
      </c>
      <c r="E657">
        <v>1</v>
      </c>
      <c r="F657">
        <v>0.83258112289654018</v>
      </c>
      <c r="G657">
        <v>0.70737598395513346</v>
      </c>
    </row>
    <row r="658" spans="1:7" x14ac:dyDescent="0.45">
      <c r="A658" s="3">
        <v>43320</v>
      </c>
      <c r="B658">
        <v>5501.9</v>
      </c>
      <c r="C658">
        <v>-3.5154700605473099E-3</v>
      </c>
      <c r="D658">
        <v>0.50161893632030574</v>
      </c>
      <c r="E658">
        <v>1</v>
      </c>
      <c r="F658">
        <v>0.83207593109196787</v>
      </c>
      <c r="G658">
        <v>0.70739658324139176</v>
      </c>
    </row>
    <row r="659" spans="1:7" x14ac:dyDescent="0.45">
      <c r="A659" s="3">
        <v>43321</v>
      </c>
      <c r="B659">
        <v>5502.25</v>
      </c>
      <c r="C659">
        <v>6.3614387757038315E-5</v>
      </c>
      <c r="D659">
        <v>0.50069360026462739</v>
      </c>
      <c r="E659">
        <v>1</v>
      </c>
      <c r="F659">
        <v>0.83185651942677441</v>
      </c>
      <c r="G659">
        <v>0.70789945034223067</v>
      </c>
    </row>
    <row r="660" spans="1:7" x14ac:dyDescent="0.45">
      <c r="A660" s="3">
        <v>43322</v>
      </c>
      <c r="B660">
        <v>5414.68</v>
      </c>
      <c r="C660">
        <v>-1.5915307374255949E-2</v>
      </c>
      <c r="D660">
        <v>0.49939107998094423</v>
      </c>
      <c r="E660">
        <v>-1</v>
      </c>
      <c r="F660">
        <v>0.83185254837543843</v>
      </c>
      <c r="G660">
        <v>0.70811889931553007</v>
      </c>
    </row>
    <row r="661" spans="1:7" x14ac:dyDescent="0.45">
      <c r="A661" s="3">
        <v>43325</v>
      </c>
      <c r="B661">
        <v>5412.32</v>
      </c>
      <c r="C661">
        <v>-4.3585216485564349E-4</v>
      </c>
      <c r="D661">
        <v>0.49670151223960307</v>
      </c>
      <c r="E661">
        <v>-1</v>
      </c>
      <c r="F661">
        <v>0.83284065002636687</v>
      </c>
      <c r="G661">
        <v>0.70811494981709522</v>
      </c>
    </row>
    <row r="662" spans="1:7" x14ac:dyDescent="0.45">
      <c r="A662" s="3">
        <v>43326</v>
      </c>
      <c r="B662">
        <v>5403.41</v>
      </c>
      <c r="C662">
        <v>-1.646244124515861E-3</v>
      </c>
      <c r="D662">
        <v>0.49709181717464546</v>
      </c>
      <c r="E662">
        <v>-1</v>
      </c>
      <c r="F662">
        <v>0.83286773142824999</v>
      </c>
      <c r="G662">
        <v>0.70910383749473038</v>
      </c>
    </row>
    <row r="663" spans="1:7" x14ac:dyDescent="0.45">
      <c r="A663" s="3">
        <v>43327</v>
      </c>
      <c r="B663">
        <v>5305.22</v>
      </c>
      <c r="C663">
        <v>-1.8171858141432851E-2</v>
      </c>
      <c r="D663">
        <v>0.49957995808580313</v>
      </c>
      <c r="E663">
        <v>-1</v>
      </c>
      <c r="F663">
        <v>0.83297053517703767</v>
      </c>
      <c r="G663">
        <v>0.70913105535130294</v>
      </c>
    </row>
    <row r="664" spans="1:7" x14ac:dyDescent="0.45">
      <c r="A664" s="3">
        <v>43328</v>
      </c>
      <c r="B664">
        <v>5349.02</v>
      </c>
      <c r="C664">
        <v>8.2560195430161354E-3</v>
      </c>
      <c r="D664">
        <v>0.49592408397970023</v>
      </c>
      <c r="E664">
        <v>-1</v>
      </c>
      <c r="F664">
        <v>0.83182561176015923</v>
      </c>
      <c r="G664">
        <v>0.70902733324245826</v>
      </c>
    </row>
    <row r="665" spans="1:7" x14ac:dyDescent="0.45">
      <c r="A665" s="3">
        <v>43329</v>
      </c>
      <c r="B665">
        <v>5344.93</v>
      </c>
      <c r="C665">
        <v>-7.6462604364913034E-4</v>
      </c>
      <c r="D665">
        <v>0.49849581063508247</v>
      </c>
      <c r="E665">
        <v>-1</v>
      </c>
      <c r="F665">
        <v>0.8313111675217586</v>
      </c>
      <c r="G665">
        <v>0.71015964738890447</v>
      </c>
    </row>
    <row r="666" spans="1:7" x14ac:dyDescent="0.45">
      <c r="A666" s="3">
        <v>43332</v>
      </c>
      <c r="B666">
        <v>5379.65</v>
      </c>
      <c r="C666">
        <v>6.4958755306430138E-3</v>
      </c>
      <c r="D666">
        <v>0.5013068594636495</v>
      </c>
      <c r="E666">
        <v>1</v>
      </c>
      <c r="F666">
        <v>0.83126350362699764</v>
      </c>
      <c r="G666">
        <v>0.71067429641232149</v>
      </c>
    </row>
    <row r="667" spans="1:7" x14ac:dyDescent="0.45">
      <c r="A667" s="3">
        <v>43333</v>
      </c>
      <c r="B667">
        <v>5408.6</v>
      </c>
      <c r="C667">
        <v>5.3813909826849748E-3</v>
      </c>
      <c r="D667">
        <v>0.50121409365813951</v>
      </c>
      <c r="E667">
        <v>1</v>
      </c>
      <c r="F667">
        <v>0.83166850763454647</v>
      </c>
      <c r="G667">
        <v>0.7106266236066322</v>
      </c>
    </row>
    <row r="668" spans="1:7" x14ac:dyDescent="0.45">
      <c r="A668" s="3">
        <v>43334</v>
      </c>
      <c r="B668">
        <v>5420.61</v>
      </c>
      <c r="C668">
        <v>2.2205376622415063E-3</v>
      </c>
      <c r="D668">
        <v>0.50227290321959794</v>
      </c>
      <c r="E668">
        <v>1</v>
      </c>
      <c r="F668">
        <v>0.83200330872976092</v>
      </c>
      <c r="G668">
        <v>0.71103076191381598</v>
      </c>
    </row>
    <row r="669" spans="1:7" x14ac:dyDescent="0.45">
      <c r="A669" s="3">
        <v>43335</v>
      </c>
      <c r="B669">
        <v>5419.33</v>
      </c>
      <c r="C669">
        <v>-2.3613578545578218E-4</v>
      </c>
      <c r="D669">
        <v>0.50141845349790382</v>
      </c>
      <c r="E669">
        <v>1</v>
      </c>
      <c r="F669">
        <v>0.83186413252979885</v>
      </c>
      <c r="G669">
        <v>0.71069347353532297</v>
      </c>
    </row>
    <row r="670" spans="1:7" x14ac:dyDescent="0.45">
      <c r="A670" s="3">
        <v>43336</v>
      </c>
      <c r="B670">
        <v>5432.5</v>
      </c>
      <c r="C670">
        <v>2.4301897097980252E-3</v>
      </c>
      <c r="D670">
        <v>0.50034542212853905</v>
      </c>
      <c r="E670">
        <v>1</v>
      </c>
      <c r="F670">
        <v>0.83184938424606247</v>
      </c>
      <c r="G670">
        <v>0.71083216119516646</v>
      </c>
    </row>
    <row r="671" spans="1:7" x14ac:dyDescent="0.45">
      <c r="A671" s="3">
        <v>43339</v>
      </c>
      <c r="B671">
        <v>5479.1</v>
      </c>
      <c r="C671">
        <v>8.5780027611597198E-3</v>
      </c>
      <c r="D671">
        <v>0.50046342459304471</v>
      </c>
      <c r="E671">
        <v>1</v>
      </c>
      <c r="F671">
        <v>0.8320011301963578</v>
      </c>
      <c r="G671">
        <v>0.7108174164001333</v>
      </c>
    </row>
    <row r="672" spans="1:7" x14ac:dyDescent="0.45">
      <c r="A672" s="3">
        <v>43340</v>
      </c>
      <c r="B672">
        <v>5484.99</v>
      </c>
      <c r="C672">
        <v>1.0749940683687509E-3</v>
      </c>
      <c r="D672">
        <v>0.50221606777989425</v>
      </c>
      <c r="E672">
        <v>1</v>
      </c>
      <c r="F672">
        <v>0.83253486870461624</v>
      </c>
      <c r="G672">
        <v>0.71096862710344122</v>
      </c>
    </row>
    <row r="673" spans="1:7" x14ac:dyDescent="0.45">
      <c r="A673" s="3">
        <v>43341</v>
      </c>
      <c r="B673">
        <v>5501.33</v>
      </c>
      <c r="C673">
        <v>2.9790391595974075E-3</v>
      </c>
      <c r="D673">
        <v>0.50174840809658716</v>
      </c>
      <c r="E673">
        <v>1</v>
      </c>
      <c r="F673">
        <v>0.83260182007417483</v>
      </c>
      <c r="G673">
        <v>0.71150287101216203</v>
      </c>
    </row>
    <row r="674" spans="1:7" x14ac:dyDescent="0.45">
      <c r="A674" s="3">
        <v>43342</v>
      </c>
      <c r="B674">
        <v>5478.06</v>
      </c>
      <c r="C674">
        <v>-4.2298862275121918E-3</v>
      </c>
      <c r="D674">
        <v>0.50081130298606535</v>
      </c>
      <c r="E674">
        <v>1</v>
      </c>
      <c r="F674">
        <v>0.83241532850478495</v>
      </c>
      <c r="G674">
        <v>0.71143557504183241</v>
      </c>
    </row>
    <row r="675" spans="1:7" x14ac:dyDescent="0.45">
      <c r="A675" s="3">
        <v>43343</v>
      </c>
      <c r="B675">
        <v>5406.85</v>
      </c>
      <c r="C675">
        <v>-1.2999127428323209E-2</v>
      </c>
      <c r="D675">
        <v>0.49964959313335822</v>
      </c>
      <c r="E675">
        <v>-1</v>
      </c>
      <c r="F675">
        <v>0.83267951099160642</v>
      </c>
      <c r="G675">
        <v>0.711249515670211</v>
      </c>
    </row>
    <row r="676" spans="1:7" x14ac:dyDescent="0.45">
      <c r="A676" s="3">
        <v>43346</v>
      </c>
      <c r="B676">
        <v>5413.8</v>
      </c>
      <c r="C676">
        <v>1.2854064751195438E-3</v>
      </c>
      <c r="D676">
        <v>0.49654190223927464</v>
      </c>
      <c r="E676">
        <v>-1</v>
      </c>
      <c r="F676">
        <v>0.83186148562675599</v>
      </c>
      <c r="G676">
        <v>0.71098333209415054</v>
      </c>
    </row>
    <row r="677" spans="1:7" x14ac:dyDescent="0.45">
      <c r="A677" s="3">
        <v>43347</v>
      </c>
      <c r="B677">
        <v>5342.7</v>
      </c>
      <c r="C677">
        <v>-1.3133104289039244E-2</v>
      </c>
      <c r="D677">
        <v>0.4979567906748541</v>
      </c>
      <c r="E677">
        <v>-1</v>
      </c>
      <c r="F677">
        <v>0.83178147735243901</v>
      </c>
      <c r="G677">
        <v>0.71179244405468467</v>
      </c>
    </row>
    <row r="678" spans="1:7" x14ac:dyDescent="0.45">
      <c r="A678" s="3">
        <v>43348</v>
      </c>
      <c r="B678">
        <v>5260.22</v>
      </c>
      <c r="C678">
        <v>-1.5437887210586365E-2</v>
      </c>
      <c r="D678">
        <v>0.49749778832118019</v>
      </c>
      <c r="E678">
        <v>-1</v>
      </c>
      <c r="F678">
        <v>0.83259816819071319</v>
      </c>
      <c r="G678">
        <v>0.71171251019681037</v>
      </c>
    </row>
    <row r="679" spans="1:7" x14ac:dyDescent="0.45">
      <c r="A679" s="3">
        <v>43349</v>
      </c>
      <c r="B679">
        <v>5243.84</v>
      </c>
      <c r="C679">
        <v>-3.1139382003034788E-3</v>
      </c>
      <c r="D679">
        <v>0.49445009013612085</v>
      </c>
      <c r="E679">
        <v>-1</v>
      </c>
      <c r="F679">
        <v>0.83355220872306168</v>
      </c>
      <c r="G679">
        <v>0.71252411826444229</v>
      </c>
    </row>
    <row r="680" spans="1:7" x14ac:dyDescent="0.45">
      <c r="A680" s="3">
        <v>43350</v>
      </c>
      <c r="B680">
        <v>5252.22</v>
      </c>
      <c r="C680">
        <v>1.5980655397571653E-3</v>
      </c>
      <c r="D680">
        <v>0.49660117809300891</v>
      </c>
      <c r="E680">
        <v>-1</v>
      </c>
      <c r="F680">
        <v>0.83335627367454868</v>
      </c>
      <c r="G680">
        <v>0.71155273637277561</v>
      </c>
    </row>
    <row r="681" spans="1:7" x14ac:dyDescent="0.45">
      <c r="A681" s="3">
        <v>43353</v>
      </c>
      <c r="B681">
        <v>5269.63</v>
      </c>
      <c r="C681">
        <v>3.3147887940718768E-3</v>
      </c>
      <c r="D681">
        <v>0.4997790066883851</v>
      </c>
      <c r="E681">
        <v>-1</v>
      </c>
      <c r="F681">
        <v>0.83345619689648776</v>
      </c>
      <c r="G681">
        <v>0.71135802925335367</v>
      </c>
    </row>
    <row r="682" spans="1:7" x14ac:dyDescent="0.45">
      <c r="A682" s="3">
        <v>43354</v>
      </c>
      <c r="B682">
        <v>5283.79</v>
      </c>
      <c r="C682">
        <v>2.6870956784441624E-3</v>
      </c>
      <c r="D682">
        <v>0.5009748807683384</v>
      </c>
      <c r="E682">
        <v>1</v>
      </c>
      <c r="F682">
        <v>0.83366296646958449</v>
      </c>
      <c r="G682">
        <v>0.71145771323021123</v>
      </c>
    </row>
    <row r="683" spans="1:7" x14ac:dyDescent="0.45">
      <c r="A683" s="3">
        <v>43355</v>
      </c>
      <c r="B683">
        <v>5332.13</v>
      </c>
      <c r="C683">
        <v>9.1487360398501139E-3</v>
      </c>
      <c r="D683">
        <v>0.50114961402663905</v>
      </c>
      <c r="E683">
        <v>1</v>
      </c>
      <c r="F683">
        <v>0.83383052292334348</v>
      </c>
      <c r="G683">
        <v>0.71166441009618076</v>
      </c>
    </row>
    <row r="684" spans="1:7" x14ac:dyDescent="0.45">
      <c r="A684" s="3">
        <v>43356</v>
      </c>
      <c r="B684">
        <v>5328.12</v>
      </c>
      <c r="C684">
        <v>-7.5204468008094327E-4</v>
      </c>
      <c r="D684">
        <v>0.50238518333629267</v>
      </c>
      <c r="E684">
        <v>1</v>
      </c>
      <c r="F684">
        <v>0.83325601231834867</v>
      </c>
      <c r="G684">
        <v>0.71149566930431862</v>
      </c>
    </row>
    <row r="685" spans="1:7" x14ac:dyDescent="0.45">
      <c r="A685" s="3">
        <v>43357</v>
      </c>
      <c r="B685">
        <v>5352.57</v>
      </c>
      <c r="C685">
        <v>4.588860611247414E-3</v>
      </c>
      <c r="D685">
        <v>0.50147065583913064</v>
      </c>
      <c r="E685">
        <v>1</v>
      </c>
      <c r="F685">
        <v>0.833209148181146</v>
      </c>
      <c r="G685">
        <v>0.71206577854431263</v>
      </c>
    </row>
    <row r="686" spans="1:7" x14ac:dyDescent="0.45">
      <c r="A686" s="3">
        <v>43360</v>
      </c>
      <c r="B686">
        <v>5348.87</v>
      </c>
      <c r="C686">
        <v>-6.9125672340575317E-4</v>
      </c>
      <c r="D686">
        <v>0.50082199309956721</v>
      </c>
      <c r="E686">
        <v>1</v>
      </c>
      <c r="F686">
        <v>0.83292187366788961</v>
      </c>
      <c r="G686">
        <v>0.71211285848151706</v>
      </c>
    </row>
    <row r="687" spans="1:7" x14ac:dyDescent="0.45">
      <c r="A687" s="3">
        <v>43361</v>
      </c>
      <c r="B687">
        <v>5363.79</v>
      </c>
      <c r="C687">
        <v>2.7893742042712777E-3</v>
      </c>
      <c r="D687">
        <v>0.50067300554401228</v>
      </c>
      <c r="E687">
        <v>1</v>
      </c>
      <c r="F687">
        <v>0.83287872835329613</v>
      </c>
      <c r="G687">
        <v>0.71239927570972483</v>
      </c>
    </row>
    <row r="688" spans="1:7" x14ac:dyDescent="0.45">
      <c r="A688" s="3">
        <v>43362</v>
      </c>
      <c r="B688">
        <v>5393.74</v>
      </c>
      <c r="C688">
        <v>5.583738364104418E-3</v>
      </c>
      <c r="D688">
        <v>0.50045768978493199</v>
      </c>
      <c r="E688">
        <v>1</v>
      </c>
      <c r="F688">
        <v>0.83305290451160741</v>
      </c>
      <c r="G688">
        <v>0.71235611174832258</v>
      </c>
    </row>
    <row r="689" spans="1:7" x14ac:dyDescent="0.45">
      <c r="A689" s="3">
        <v>43363</v>
      </c>
      <c r="B689">
        <v>5451.59</v>
      </c>
      <c r="C689">
        <v>1.0725396478139526E-2</v>
      </c>
      <c r="D689">
        <v>0.5016596382110392</v>
      </c>
      <c r="E689">
        <v>1</v>
      </c>
      <c r="F689">
        <v>0.83340072595397185</v>
      </c>
      <c r="G689">
        <v>0.71252986705270094</v>
      </c>
    </row>
    <row r="690" spans="1:7" x14ac:dyDescent="0.45">
      <c r="A690" s="3">
        <v>43364</v>
      </c>
      <c r="B690">
        <v>5494.17</v>
      </c>
      <c r="C690">
        <v>7.8105653579965129E-3</v>
      </c>
      <c r="D690">
        <v>0.50322923849093959</v>
      </c>
      <c r="E690">
        <v>1</v>
      </c>
      <c r="F690">
        <v>0.83406670609549094</v>
      </c>
      <c r="G690">
        <v>0.71287658233483631</v>
      </c>
    </row>
    <row r="691" spans="1:7" x14ac:dyDescent="0.45">
      <c r="A691" s="3">
        <v>43367</v>
      </c>
      <c r="B691">
        <v>5476.17</v>
      </c>
      <c r="C691">
        <v>-3.2762000447746908E-3</v>
      </c>
      <c r="D691">
        <v>0.50354004497341698</v>
      </c>
      <c r="E691">
        <v>1</v>
      </c>
      <c r="F691">
        <v>0.83357511418513097</v>
      </c>
      <c r="G691">
        <v>0.7122015328470731</v>
      </c>
    </row>
    <row r="692" spans="1:7" x14ac:dyDescent="0.45">
      <c r="A692" s="3">
        <v>43368</v>
      </c>
      <c r="B692">
        <v>5479.1</v>
      </c>
      <c r="C692">
        <v>5.3504547886573661E-4</v>
      </c>
      <c r="D692">
        <v>0.50070793397542634</v>
      </c>
      <c r="E692">
        <v>1</v>
      </c>
      <c r="F692">
        <v>0.83337064200890032</v>
      </c>
      <c r="G692">
        <v>0.71268900103415422</v>
      </c>
    </row>
    <row r="693" spans="1:7" x14ac:dyDescent="0.45">
      <c r="A693" s="3">
        <v>43369</v>
      </c>
      <c r="B693">
        <v>5512.73</v>
      </c>
      <c r="C693">
        <v>6.1378693581060073E-3</v>
      </c>
      <c r="D693">
        <v>0.49952774500471481</v>
      </c>
      <c r="E693">
        <v>-1</v>
      </c>
      <c r="F693">
        <v>0.83340411390620661</v>
      </c>
      <c r="G693">
        <v>0.71248404531396725</v>
      </c>
    </row>
    <row r="694" spans="1:7" x14ac:dyDescent="0.45">
      <c r="A694" s="3">
        <v>43370</v>
      </c>
      <c r="B694">
        <v>5540.41</v>
      </c>
      <c r="C694">
        <v>5.0211056953632927E-3</v>
      </c>
      <c r="D694">
        <v>0.5013741307756262</v>
      </c>
      <c r="E694">
        <v>1</v>
      </c>
      <c r="F694">
        <v>0.83378667357221792</v>
      </c>
      <c r="G694">
        <v>0.71251739350171017</v>
      </c>
    </row>
    <row r="695" spans="1:7" x14ac:dyDescent="0.45">
      <c r="A695" s="3">
        <v>43371</v>
      </c>
      <c r="B695">
        <v>5493.49</v>
      </c>
      <c r="C695">
        <v>-8.4686873354138381E-3</v>
      </c>
      <c r="D695">
        <v>0.50213995435658798</v>
      </c>
      <c r="E695">
        <v>1</v>
      </c>
      <c r="F695">
        <v>0.83347151712215317</v>
      </c>
      <c r="G695">
        <v>0.71213214187881602</v>
      </c>
    </row>
    <row r="696" spans="1:7" x14ac:dyDescent="0.45">
      <c r="A696" s="3">
        <v>43374</v>
      </c>
      <c r="B696">
        <v>5506.82</v>
      </c>
      <c r="C696">
        <v>2.4265084672949744E-3</v>
      </c>
      <c r="D696">
        <v>0.49912932114805214</v>
      </c>
      <c r="E696">
        <v>-1</v>
      </c>
      <c r="F696">
        <v>0.83294130408310296</v>
      </c>
      <c r="G696">
        <v>0.71244650650283492</v>
      </c>
    </row>
    <row r="697" spans="1:7" x14ac:dyDescent="0.45">
      <c r="A697" s="3">
        <v>43375</v>
      </c>
      <c r="B697">
        <v>5467.89</v>
      </c>
      <c r="C697">
        <v>-7.069415742660845E-3</v>
      </c>
      <c r="D697">
        <v>0.49899691445080108</v>
      </c>
      <c r="E697">
        <v>-1</v>
      </c>
      <c r="F697">
        <v>0.83278995216249629</v>
      </c>
      <c r="G697">
        <v>0.71297473548307877</v>
      </c>
    </row>
    <row r="698" spans="1:7" x14ac:dyDescent="0.45">
      <c r="A698" s="3">
        <v>43376</v>
      </c>
      <c r="B698">
        <v>5491.4</v>
      </c>
      <c r="C698">
        <v>4.299647578864807E-3</v>
      </c>
      <c r="D698">
        <v>0.49896067670551419</v>
      </c>
      <c r="E698">
        <v>-1</v>
      </c>
      <c r="F698">
        <v>0.83234719716557404</v>
      </c>
      <c r="G698">
        <v>0.71312670684649515</v>
      </c>
    </row>
    <row r="699" spans="1:7" x14ac:dyDescent="0.45">
      <c r="A699" s="3">
        <v>43377</v>
      </c>
      <c r="B699">
        <v>5410.85</v>
      </c>
      <c r="C699">
        <v>-1.4668390574352541E-2</v>
      </c>
      <c r="D699">
        <v>0.49963435267597561</v>
      </c>
      <c r="E699">
        <v>-1</v>
      </c>
      <c r="F699">
        <v>0.83207866585483237</v>
      </c>
      <c r="G699">
        <v>0.713568221980174</v>
      </c>
    </row>
    <row r="700" spans="1:7" x14ac:dyDescent="0.45">
      <c r="A700" s="3">
        <v>43378</v>
      </c>
      <c r="B700">
        <v>5359.36</v>
      </c>
      <c r="C700">
        <v>-9.5160649435857003E-3</v>
      </c>
      <c r="D700">
        <v>0.49771572514705309</v>
      </c>
      <c r="E700">
        <v>-1</v>
      </c>
      <c r="F700">
        <v>0.83299123288909016</v>
      </c>
      <c r="G700">
        <v>0.7133007272867713</v>
      </c>
    </row>
    <row r="701" spans="1:7" x14ac:dyDescent="0.45">
      <c r="A701" s="3">
        <v>43381</v>
      </c>
      <c r="B701">
        <v>5300.25</v>
      </c>
      <c r="C701">
        <v>-1.1029302006209663E-2</v>
      </c>
      <c r="D701">
        <v>0.4954026864770491</v>
      </c>
      <c r="E701">
        <v>-1</v>
      </c>
      <c r="F701">
        <v>0.83358046858742296</v>
      </c>
      <c r="G701">
        <v>0.71420899550632799</v>
      </c>
    </row>
    <row r="702" spans="1:7" x14ac:dyDescent="0.45">
      <c r="A702" s="3">
        <v>43382</v>
      </c>
      <c r="B702">
        <v>5318.55</v>
      </c>
      <c r="C702">
        <v>3.4526673270129926E-3</v>
      </c>
      <c r="D702">
        <v>0.49600251769580384</v>
      </c>
      <c r="E702">
        <v>-1</v>
      </c>
      <c r="F702">
        <v>0.83288567044604545</v>
      </c>
      <c r="G702">
        <v>0.71360952472999883</v>
      </c>
    </row>
    <row r="703" spans="1:7" x14ac:dyDescent="0.45">
      <c r="A703" s="3">
        <v>43383</v>
      </c>
      <c r="B703">
        <v>5206.22</v>
      </c>
      <c r="C703">
        <v>-2.112041815908472E-2</v>
      </c>
      <c r="D703">
        <v>0.4987512681409414</v>
      </c>
      <c r="E703">
        <v>-1</v>
      </c>
      <c r="F703">
        <v>0.83267041901266992</v>
      </c>
      <c r="G703">
        <v>0.71429713023644137</v>
      </c>
    </row>
    <row r="704" spans="1:7" x14ac:dyDescent="0.45">
      <c r="A704" s="3">
        <v>43384</v>
      </c>
      <c r="B704">
        <v>5106.37</v>
      </c>
      <c r="C704">
        <v>-1.9178982063762229E-2</v>
      </c>
      <c r="D704">
        <v>0.49622004274483716</v>
      </c>
      <c r="E704">
        <v>-1</v>
      </c>
      <c r="F704">
        <v>0.83398039099068089</v>
      </c>
      <c r="G704">
        <v>0.71408298213512478</v>
      </c>
    </row>
    <row r="705" spans="1:7" x14ac:dyDescent="0.45">
      <c r="A705" s="3">
        <v>43385</v>
      </c>
      <c r="B705">
        <v>5095.9799999999996</v>
      </c>
      <c r="C705">
        <v>-2.0347135048969234E-3</v>
      </c>
      <c r="D705">
        <v>0.4922314686633677</v>
      </c>
      <c r="E705">
        <v>-1</v>
      </c>
      <c r="F705">
        <v>0.83516016843685414</v>
      </c>
      <c r="G705">
        <v>0.71538218523751029</v>
      </c>
    </row>
    <row r="706" spans="1:7" x14ac:dyDescent="0.45">
      <c r="A706" s="3">
        <v>43388</v>
      </c>
      <c r="B706">
        <v>5095.07</v>
      </c>
      <c r="C706">
        <v>-1.7857212940397549E-4</v>
      </c>
      <c r="D706">
        <v>0.49614517293489391</v>
      </c>
      <c r="E706">
        <v>-1</v>
      </c>
      <c r="F706">
        <v>0.83528635009679608</v>
      </c>
      <c r="G706">
        <v>0.71657155945996354</v>
      </c>
    </row>
    <row r="707" spans="1:7" x14ac:dyDescent="0.45">
      <c r="A707" s="3">
        <v>43389</v>
      </c>
      <c r="B707">
        <v>5173.05</v>
      </c>
      <c r="C707">
        <v>1.5304990902970994E-2</v>
      </c>
      <c r="D707">
        <v>0.49959820591362253</v>
      </c>
      <c r="E707">
        <v>-1</v>
      </c>
      <c r="F707">
        <v>0.835275180377268</v>
      </c>
      <c r="G707">
        <v>0.71644428775611202</v>
      </c>
    </row>
    <row r="708" spans="1:7" x14ac:dyDescent="0.45">
      <c r="A708" s="3">
        <v>43390</v>
      </c>
      <c r="B708">
        <v>5144.95</v>
      </c>
      <c r="C708">
        <v>-5.431998530847415E-3</v>
      </c>
      <c r="D708">
        <v>0.50316394328239511</v>
      </c>
      <c r="E708">
        <v>1</v>
      </c>
      <c r="F708">
        <v>0.83431260397560847</v>
      </c>
      <c r="G708">
        <v>0.71645551868848223</v>
      </c>
    </row>
    <row r="709" spans="1:7" x14ac:dyDescent="0.45">
      <c r="A709" s="3">
        <v>43391</v>
      </c>
      <c r="B709">
        <v>5116.79</v>
      </c>
      <c r="C709">
        <v>-5.4733282150457585E-3</v>
      </c>
      <c r="D709">
        <v>0.50160833454205311</v>
      </c>
      <c r="E709">
        <v>1</v>
      </c>
      <c r="F709">
        <v>0.83465319241855362</v>
      </c>
      <c r="G709">
        <v>0.71549588974319966</v>
      </c>
    </row>
    <row r="710" spans="1:7" x14ac:dyDescent="0.45">
      <c r="A710" s="3">
        <v>43392</v>
      </c>
      <c r="B710">
        <v>5084.66</v>
      </c>
      <c r="C710">
        <v>-6.2793274689796341E-3</v>
      </c>
      <c r="D710">
        <v>0.49788628671918161</v>
      </c>
      <c r="E710">
        <v>-1</v>
      </c>
      <c r="F710">
        <v>0.83499382321360882</v>
      </c>
      <c r="G710">
        <v>0.71583394839884817</v>
      </c>
    </row>
    <row r="711" spans="1:7" x14ac:dyDescent="0.45">
      <c r="A711" s="3">
        <v>43395</v>
      </c>
      <c r="B711">
        <v>5053.3100000000004</v>
      </c>
      <c r="C711">
        <v>-6.1656039931872186E-3</v>
      </c>
      <c r="D711">
        <v>0.49770971756871396</v>
      </c>
      <c r="E711">
        <v>-1</v>
      </c>
      <c r="F711">
        <v>0.83538447530457938</v>
      </c>
      <c r="G711">
        <v>0.71617445733429363</v>
      </c>
    </row>
    <row r="712" spans="1:7" x14ac:dyDescent="0.45">
      <c r="A712" s="3">
        <v>43396</v>
      </c>
      <c r="B712">
        <v>4967.6899999999996</v>
      </c>
      <c r="C712">
        <v>-1.694335000227587E-2</v>
      </c>
      <c r="D712">
        <v>0.4975880827583738</v>
      </c>
      <c r="E712">
        <v>-1</v>
      </c>
      <c r="F712">
        <v>0.83576795776472512</v>
      </c>
      <c r="G712">
        <v>0.71656501306063058</v>
      </c>
    </row>
    <row r="713" spans="1:7" x14ac:dyDescent="0.45">
      <c r="A713" s="3">
        <v>43397</v>
      </c>
      <c r="B713">
        <v>4953.09</v>
      </c>
      <c r="C713">
        <v>-2.9389917647839603E-3</v>
      </c>
      <c r="D713">
        <v>0.49535544231251183</v>
      </c>
      <c r="E713">
        <v>-1</v>
      </c>
      <c r="F713">
        <v>0.83681698981771713</v>
      </c>
      <c r="G713">
        <v>0.71694675080517578</v>
      </c>
    </row>
    <row r="714" spans="1:7" x14ac:dyDescent="0.45">
      <c r="A714" s="3">
        <v>43398</v>
      </c>
      <c r="B714">
        <v>5032.3</v>
      </c>
      <c r="C714">
        <v>1.5992037293891315E-2</v>
      </c>
      <c r="D714">
        <v>0.49634834543305839</v>
      </c>
      <c r="E714">
        <v>-1</v>
      </c>
      <c r="F714">
        <v>0.83663197117869115</v>
      </c>
      <c r="G714">
        <v>0.71588011441798893</v>
      </c>
    </row>
    <row r="715" spans="1:7" x14ac:dyDescent="0.45">
      <c r="A715" s="3">
        <v>43402</v>
      </c>
      <c r="B715">
        <v>4989.3500000000004</v>
      </c>
      <c r="C715">
        <v>-8.5348647735628003E-3</v>
      </c>
      <c r="D715">
        <v>0.50281884111613107</v>
      </c>
      <c r="E715">
        <v>1</v>
      </c>
      <c r="F715">
        <v>0.83562686591803026</v>
      </c>
      <c r="G715">
        <v>0.71606483110101915</v>
      </c>
    </row>
    <row r="716" spans="1:7" x14ac:dyDescent="0.45">
      <c r="A716" s="3">
        <v>43403</v>
      </c>
      <c r="B716">
        <v>4978.53</v>
      </c>
      <c r="C716">
        <v>-2.1686191588083936E-3</v>
      </c>
      <c r="D716">
        <v>0.50107984161662944</v>
      </c>
      <c r="E716">
        <v>1</v>
      </c>
      <c r="F716">
        <v>0.8361614445107397</v>
      </c>
      <c r="G716">
        <v>0.71506317483370407</v>
      </c>
    </row>
    <row r="717" spans="1:7" x14ac:dyDescent="0.45">
      <c r="A717" s="3">
        <v>43404</v>
      </c>
      <c r="B717">
        <v>5093.4399999999996</v>
      </c>
      <c r="C717">
        <v>2.3081110287574758E-2</v>
      </c>
      <c r="D717">
        <v>0.49802093952768112</v>
      </c>
      <c r="E717">
        <v>-1</v>
      </c>
      <c r="F717">
        <v>0.83602537146660894</v>
      </c>
      <c r="G717">
        <v>0.7145276427988303</v>
      </c>
    </row>
    <row r="718" spans="1:7" x14ac:dyDescent="0.45">
      <c r="A718" s="3">
        <v>43405</v>
      </c>
      <c r="B718">
        <v>5085.78</v>
      </c>
      <c r="C718">
        <v>-1.5038952063830546E-3</v>
      </c>
      <c r="D718">
        <v>0.50443659742467961</v>
      </c>
      <c r="E718">
        <v>1</v>
      </c>
      <c r="F718">
        <v>0.83457011646079615</v>
      </c>
      <c r="G718">
        <v>0.71466437339139011</v>
      </c>
    </row>
    <row r="719" spans="1:7" x14ac:dyDescent="0.45">
      <c r="A719" s="3">
        <v>43409</v>
      </c>
      <c r="B719">
        <v>5101.3900000000003</v>
      </c>
      <c r="C719">
        <v>3.0693423624301719E-3</v>
      </c>
      <c r="D719">
        <v>0.50380996156370261</v>
      </c>
      <c r="E719">
        <v>1</v>
      </c>
      <c r="F719">
        <v>0.83447684464924066</v>
      </c>
      <c r="G719">
        <v>0.71609586739449349</v>
      </c>
    </row>
    <row r="720" spans="1:7" x14ac:dyDescent="0.45">
      <c r="A720" s="3">
        <v>43410</v>
      </c>
      <c r="B720">
        <v>5075.1899999999996</v>
      </c>
      <c r="C720">
        <v>-5.1358551296805111E-3</v>
      </c>
      <c r="D720">
        <v>0.50037109042872974</v>
      </c>
      <c r="E720">
        <v>1</v>
      </c>
      <c r="F720">
        <v>0.83428486848188887</v>
      </c>
      <c r="G720">
        <v>0.716189930553219</v>
      </c>
    </row>
    <row r="721" spans="1:7" x14ac:dyDescent="0.45">
      <c r="A721" s="3">
        <v>43411</v>
      </c>
      <c r="B721">
        <v>5137.9399999999996</v>
      </c>
      <c r="C721">
        <v>1.2364069128446342E-2</v>
      </c>
      <c r="D721">
        <v>0.49947836665724593</v>
      </c>
      <c r="E721">
        <v>-1</v>
      </c>
      <c r="F721">
        <v>0.83396354300685671</v>
      </c>
      <c r="G721">
        <v>0.71638196437577462</v>
      </c>
    </row>
    <row r="722" spans="1:7" x14ac:dyDescent="0.45">
      <c r="A722" s="3">
        <v>43412</v>
      </c>
      <c r="B722">
        <v>5131.45</v>
      </c>
      <c r="C722">
        <v>-1.2631521582578964E-3</v>
      </c>
      <c r="D722">
        <v>0.50165798115057181</v>
      </c>
      <c r="E722">
        <v>1</v>
      </c>
      <c r="F722">
        <v>0.83318823478721138</v>
      </c>
      <c r="G722">
        <v>0.71670401617406065</v>
      </c>
    </row>
    <row r="723" spans="1:7" x14ac:dyDescent="0.45">
      <c r="A723" s="3">
        <v>43413</v>
      </c>
      <c r="B723">
        <v>5106.75</v>
      </c>
      <c r="C723">
        <v>-4.813454286800023E-3</v>
      </c>
      <c r="D723">
        <v>0.50195222370044934</v>
      </c>
      <c r="E723">
        <v>1</v>
      </c>
      <c r="F723">
        <v>0.8332674888333268</v>
      </c>
      <c r="G723">
        <v>0.71592825650134562</v>
      </c>
    </row>
    <row r="724" spans="1:7" x14ac:dyDescent="0.45">
      <c r="A724" s="3">
        <v>43416</v>
      </c>
      <c r="B724">
        <v>5059.09</v>
      </c>
      <c r="C724">
        <v>-9.3327458755568804E-3</v>
      </c>
      <c r="D724">
        <v>0.49877119715179391</v>
      </c>
      <c r="E724">
        <v>-1</v>
      </c>
      <c r="F724">
        <v>0.83356758856539859</v>
      </c>
      <c r="G724">
        <v>0.71600700901496117</v>
      </c>
    </row>
    <row r="725" spans="1:7" x14ac:dyDescent="0.45">
      <c r="A725" s="3">
        <v>43417</v>
      </c>
      <c r="B725">
        <v>5101.8500000000004</v>
      </c>
      <c r="C725">
        <v>8.4521129294004016E-3</v>
      </c>
      <c r="D725">
        <v>0.49719354410253874</v>
      </c>
      <c r="E725">
        <v>-1</v>
      </c>
      <c r="F725">
        <v>0.83298103643549082</v>
      </c>
      <c r="G725">
        <v>0.71570448905976447</v>
      </c>
    </row>
    <row r="726" spans="1:7" x14ac:dyDescent="0.45">
      <c r="A726" s="3">
        <v>43418</v>
      </c>
      <c r="B726">
        <v>5068.8500000000004</v>
      </c>
      <c r="C726">
        <v>-6.4682419122474855E-3</v>
      </c>
      <c r="D726">
        <v>0.50009024041642314</v>
      </c>
      <c r="E726">
        <v>1</v>
      </c>
      <c r="F726">
        <v>0.8324526840543397</v>
      </c>
      <c r="G726">
        <v>0.71628789093184275</v>
      </c>
    </row>
    <row r="727" spans="1:7" x14ac:dyDescent="0.45">
      <c r="A727" s="3">
        <v>43420</v>
      </c>
      <c r="B727">
        <v>5025.2</v>
      </c>
      <c r="C727">
        <v>-8.6114207364590412E-3</v>
      </c>
      <c r="D727">
        <v>0.50016741019453292</v>
      </c>
      <c r="E727">
        <v>1</v>
      </c>
      <c r="F727">
        <v>0.83285708448472462</v>
      </c>
      <c r="G727">
        <v>0.71575945706176147</v>
      </c>
    </row>
    <row r="728" spans="1:7" x14ac:dyDescent="0.45">
      <c r="A728" s="3">
        <v>43423</v>
      </c>
      <c r="B728">
        <v>4985.45</v>
      </c>
      <c r="C728">
        <v>-7.9101329300326206E-3</v>
      </c>
      <c r="D728">
        <v>0.49704958722314635</v>
      </c>
      <c r="E728">
        <v>-1</v>
      </c>
      <c r="F728">
        <v>0.83339210374515094</v>
      </c>
      <c r="G728">
        <v>0.71616132268998445</v>
      </c>
    </row>
    <row r="729" spans="1:7" x14ac:dyDescent="0.45">
      <c r="A729" s="3">
        <v>43424</v>
      </c>
      <c r="B729">
        <v>4924.8900000000003</v>
      </c>
      <c r="C729">
        <v>-1.2147348784964151E-2</v>
      </c>
      <c r="D729">
        <v>0.49681019107854335</v>
      </c>
      <c r="E729">
        <v>-1</v>
      </c>
      <c r="F729">
        <v>0.83388331308390429</v>
      </c>
      <c r="G729">
        <v>0.71669608112237726</v>
      </c>
    </row>
    <row r="730" spans="1:7" x14ac:dyDescent="0.45">
      <c r="A730" s="3">
        <v>43425</v>
      </c>
      <c r="B730">
        <v>4975.5</v>
      </c>
      <c r="C730">
        <v>1.0276371655001393E-2</v>
      </c>
      <c r="D730">
        <v>0.4960504239692593</v>
      </c>
      <c r="E730">
        <v>-1</v>
      </c>
      <c r="F730">
        <v>0.83311815442142501</v>
      </c>
      <c r="G730">
        <v>0.7161978236968336</v>
      </c>
    </row>
    <row r="731" spans="1:7" x14ac:dyDescent="0.45">
      <c r="A731" s="3">
        <v>43426</v>
      </c>
      <c r="B731">
        <v>4938.1400000000003</v>
      </c>
      <c r="C731">
        <v>-7.5087930861219565E-3</v>
      </c>
      <c r="D731">
        <v>0.49996538175602667</v>
      </c>
      <c r="E731">
        <v>-1</v>
      </c>
      <c r="F731">
        <v>0.83247592566480866</v>
      </c>
      <c r="G731">
        <v>0.71695698042726919</v>
      </c>
    </row>
    <row r="732" spans="1:7" x14ac:dyDescent="0.45">
      <c r="A732" s="3">
        <v>43427</v>
      </c>
      <c r="B732">
        <v>4946.95</v>
      </c>
      <c r="C732">
        <v>1.7840725455331441E-3</v>
      </c>
      <c r="D732">
        <v>0.50027920670010961</v>
      </c>
      <c r="E732">
        <v>1</v>
      </c>
      <c r="F732">
        <v>0.83200688830635128</v>
      </c>
      <c r="G732">
        <v>0.71759889480156402</v>
      </c>
    </row>
    <row r="733" spans="1:7" x14ac:dyDescent="0.45">
      <c r="A733" s="3">
        <v>43430</v>
      </c>
      <c r="B733">
        <v>4994.9799999999996</v>
      </c>
      <c r="C733">
        <v>9.7090126239398611E-3</v>
      </c>
      <c r="D733">
        <v>0.49902401599636753</v>
      </c>
      <c r="E733">
        <v>-1</v>
      </c>
      <c r="F733">
        <v>0.83211861006804877</v>
      </c>
      <c r="G733">
        <v>0.71712868096754478</v>
      </c>
    </row>
    <row r="734" spans="1:7" x14ac:dyDescent="0.45">
      <c r="A734" s="3">
        <v>43431</v>
      </c>
      <c r="B734">
        <v>4983.1499999999996</v>
      </c>
      <c r="C734">
        <v>-2.3683778513627907E-3</v>
      </c>
      <c r="D734">
        <v>0.50233959784498394</v>
      </c>
      <c r="E734">
        <v>1</v>
      </c>
      <c r="F734">
        <v>0.83150897072919383</v>
      </c>
      <c r="G734">
        <v>0.71701665713471485</v>
      </c>
    </row>
    <row r="735" spans="1:7" x14ac:dyDescent="0.45">
      <c r="A735" s="3">
        <v>43432</v>
      </c>
      <c r="B735">
        <v>4983.24</v>
      </c>
      <c r="C735">
        <v>1.8060865115465674E-5</v>
      </c>
      <c r="D735">
        <v>0.50124804649456689</v>
      </c>
      <c r="E735">
        <v>1</v>
      </c>
      <c r="F735">
        <v>0.83136131751414921</v>
      </c>
      <c r="G735">
        <v>0.71762195199001355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LearnAndPredict">
                <anchor moveWithCells="1">
                  <from>
                    <xdr:col>12</xdr:col>
                    <xdr:colOff>447675</xdr:colOff>
                    <xdr:row>4</xdr:row>
                    <xdr:rowOff>161925</xdr:rowOff>
                  </from>
                  <to>
                    <xdr:col>13</xdr:col>
                    <xdr:colOff>657225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L735"/>
  <sheetViews>
    <sheetView workbookViewId="0">
      <selection activeCell="F10" sqref="F10"/>
    </sheetView>
  </sheetViews>
  <sheetFormatPr defaultColWidth="10.6640625" defaultRowHeight="14.25" x14ac:dyDescent="0.45"/>
  <cols>
    <col min="1" max="1" width="11.3984375" style="3"/>
    <col min="8" max="8" width="12" bestFit="1" customWidth="1"/>
  </cols>
  <sheetData>
    <row r="1" spans="1:12" x14ac:dyDescent="0.45">
      <c r="A1" s="3" t="s">
        <v>12</v>
      </c>
      <c r="B1" t="s">
        <v>7</v>
      </c>
      <c r="C1" t="s">
        <v>50</v>
      </c>
      <c r="D1" t="s">
        <v>13</v>
      </c>
      <c r="E1" t="s">
        <v>25</v>
      </c>
      <c r="F1" t="s">
        <v>49</v>
      </c>
    </row>
    <row r="2" spans="1:12" x14ac:dyDescent="0.45">
      <c r="A2" s="3">
        <v>42373</v>
      </c>
      <c r="B2">
        <v>4522.45</v>
      </c>
    </row>
    <row r="3" spans="1:12" x14ac:dyDescent="0.45">
      <c r="A3" s="3">
        <v>42374</v>
      </c>
      <c r="B3">
        <v>4537.63</v>
      </c>
      <c r="C3">
        <v>3.356587690300783E-3</v>
      </c>
      <c r="J3" t="s">
        <v>23</v>
      </c>
      <c r="K3">
        <v>10</v>
      </c>
    </row>
    <row r="4" spans="1:12" x14ac:dyDescent="0.45">
      <c r="A4" s="3">
        <v>42375</v>
      </c>
      <c r="B4">
        <v>4480.47</v>
      </c>
      <c r="C4">
        <v>-1.2596884276593667E-2</v>
      </c>
      <c r="J4" t="s">
        <v>24</v>
      </c>
      <c r="K4">
        <v>10</v>
      </c>
    </row>
    <row r="5" spans="1:12" x14ac:dyDescent="0.45">
      <c r="A5" s="3">
        <v>42376</v>
      </c>
      <c r="B5">
        <v>4403.58</v>
      </c>
      <c r="C5">
        <v>-1.7161146040482467E-2</v>
      </c>
      <c r="J5" t="s">
        <v>16</v>
      </c>
      <c r="K5">
        <v>0.5</v>
      </c>
    </row>
    <row r="6" spans="1:12" x14ac:dyDescent="0.45">
      <c r="A6" s="3">
        <v>42377</v>
      </c>
      <c r="B6">
        <v>4333.76</v>
      </c>
      <c r="C6">
        <v>-1.58552813846915E-2</v>
      </c>
      <c r="J6" t="s">
        <v>26</v>
      </c>
      <c r="K6" t="s">
        <v>27</v>
      </c>
    </row>
    <row r="7" spans="1:12" x14ac:dyDescent="0.45">
      <c r="A7" s="3">
        <v>42380</v>
      </c>
      <c r="B7">
        <v>4312.74</v>
      </c>
      <c r="C7">
        <v>-4.8502916635901894E-3</v>
      </c>
    </row>
    <row r="8" spans="1:12" x14ac:dyDescent="0.45">
      <c r="A8" s="3">
        <v>42381</v>
      </c>
      <c r="B8">
        <v>4378.75</v>
      </c>
      <c r="C8">
        <v>1.5305814864795986E-2</v>
      </c>
      <c r="J8" t="s">
        <v>21</v>
      </c>
      <c r="K8" s="3">
        <v>42736</v>
      </c>
    </row>
    <row r="9" spans="1:12" x14ac:dyDescent="0.45">
      <c r="A9" s="3">
        <v>42382</v>
      </c>
      <c r="B9">
        <v>4391.9399999999996</v>
      </c>
      <c r="C9">
        <v>3.0122751926919822E-3</v>
      </c>
    </row>
    <row r="10" spans="1:12" x14ac:dyDescent="0.45">
      <c r="A10" s="3">
        <v>42383</v>
      </c>
      <c r="B10">
        <v>4312.8900000000003</v>
      </c>
      <c r="C10">
        <v>-1.7998879766116804E-2</v>
      </c>
    </row>
    <row r="11" spans="1:12" x14ac:dyDescent="0.45">
      <c r="A11" s="3">
        <v>42384</v>
      </c>
      <c r="B11">
        <v>4210.16</v>
      </c>
      <c r="C11">
        <v>-2.3819295182580746E-2</v>
      </c>
      <c r="J11" t="s">
        <v>18</v>
      </c>
      <c r="K11">
        <f>SUMPRODUCT(($A$3:$A$735&gt;=$K$8)*(F3:F735)*1)</f>
        <v>263</v>
      </c>
      <c r="L11">
        <f>K11/K12</f>
        <v>0.54906054279749483</v>
      </c>
    </row>
    <row r="12" spans="1:12" x14ac:dyDescent="0.45">
      <c r="A12" s="3">
        <v>42387</v>
      </c>
      <c r="B12">
        <v>4189.57</v>
      </c>
      <c r="C12">
        <v>-4.8905504778916642E-3</v>
      </c>
      <c r="J12" t="s">
        <v>20</v>
      </c>
      <c r="K12">
        <f>SUMPRODUCT(($A$3:$A$735&gt;=$K$8)*1)</f>
        <v>479</v>
      </c>
    </row>
    <row r="13" spans="1:12" x14ac:dyDescent="0.45">
      <c r="A13" s="3">
        <v>42388</v>
      </c>
      <c r="B13">
        <v>4272.26</v>
      </c>
      <c r="C13">
        <v>1.9737109058925117E-2</v>
      </c>
      <c r="D13">
        <v>0.99616196437720117</v>
      </c>
      <c r="E13">
        <v>1</v>
      </c>
      <c r="F13" t="b">
        <f>$C$13*$E$13&gt;0</f>
        <v>1</v>
      </c>
    </row>
    <row r="14" spans="1:12" x14ac:dyDescent="0.45">
      <c r="A14" s="3">
        <v>42389</v>
      </c>
      <c r="B14">
        <v>4124.95</v>
      </c>
      <c r="C14">
        <v>-3.4480579365488095E-2</v>
      </c>
      <c r="D14" s="5">
        <v>0.99616226528853691</v>
      </c>
      <c r="E14">
        <v>1</v>
      </c>
      <c r="F14" t="b">
        <f>$C$14*$E$14&gt;0</f>
        <v>0</v>
      </c>
    </row>
    <row r="15" spans="1:12" x14ac:dyDescent="0.45">
      <c r="A15" s="3">
        <v>42390</v>
      </c>
      <c r="B15">
        <v>4206.3999999999996</v>
      </c>
      <c r="C15">
        <v>1.974569388719849E-2</v>
      </c>
      <c r="D15">
        <v>0.9960832035695274</v>
      </c>
      <c r="E15">
        <v>1</v>
      </c>
      <c r="F15" t="b">
        <f>$C$15*$E$15&gt;0</f>
        <v>1</v>
      </c>
    </row>
    <row r="16" spans="1:12" x14ac:dyDescent="0.45">
      <c r="A16" s="3">
        <v>42391</v>
      </c>
      <c r="B16">
        <v>4336.6899999999996</v>
      </c>
      <c r="C16">
        <v>3.0974229745150295E-2</v>
      </c>
      <c r="D16">
        <v>0.99608352351378104</v>
      </c>
      <c r="E16">
        <v>1</v>
      </c>
      <c r="F16" t="b">
        <f>$C$16*$E$16&gt;0</f>
        <v>1</v>
      </c>
    </row>
    <row r="17" spans="1:6" x14ac:dyDescent="0.45">
      <c r="A17" s="3">
        <v>42394</v>
      </c>
      <c r="B17">
        <v>4311.33</v>
      </c>
      <c r="C17">
        <v>-5.8477779135699404E-3</v>
      </c>
      <c r="D17">
        <v>0.99608384337917222</v>
      </c>
      <c r="E17">
        <v>1</v>
      </c>
      <c r="F17" t="b">
        <f>$C$17*$E$17&gt;0</f>
        <v>0</v>
      </c>
    </row>
    <row r="18" spans="1:6" x14ac:dyDescent="0.45">
      <c r="A18" s="3">
        <v>42395</v>
      </c>
      <c r="B18">
        <v>4356.8100000000004</v>
      </c>
      <c r="C18">
        <v>1.0548948932232127E-2</v>
      </c>
      <c r="D18">
        <v>0.99600146961442892</v>
      </c>
      <c r="E18">
        <v>1</v>
      </c>
      <c r="F18" t="b">
        <f>$C$18*$E$18&gt;0</f>
        <v>1</v>
      </c>
    </row>
    <row r="19" spans="1:6" x14ac:dyDescent="0.45">
      <c r="A19" s="3">
        <v>42396</v>
      </c>
      <c r="B19">
        <v>4380.3599999999997</v>
      </c>
      <c r="C19">
        <v>5.405330964627586E-3</v>
      </c>
      <c r="D19">
        <v>0.99600181013826494</v>
      </c>
      <c r="E19">
        <v>1</v>
      </c>
      <c r="F19" t="b">
        <f>$C$19*$E$19&gt;0</f>
        <v>1</v>
      </c>
    </row>
    <row r="20" spans="1:6" x14ac:dyDescent="0.45">
      <c r="A20" s="3">
        <v>42397</v>
      </c>
      <c r="B20">
        <v>4322.16</v>
      </c>
      <c r="C20">
        <v>-1.3286579185272429E-2</v>
      </c>
      <c r="D20">
        <v>0.99600215057461827</v>
      </c>
      <c r="E20">
        <v>1</v>
      </c>
      <c r="F20" t="b">
        <f>$C$20*$E$20&gt;0</f>
        <v>0</v>
      </c>
    </row>
    <row r="21" spans="1:6" x14ac:dyDescent="0.45">
      <c r="A21" s="3">
        <v>42398</v>
      </c>
      <c r="B21">
        <v>4417.0200000000004</v>
      </c>
      <c r="C21">
        <v>2.1947359653506693E-2</v>
      </c>
      <c r="D21">
        <v>0.9959162544867578</v>
      </c>
      <c r="E21">
        <v>1</v>
      </c>
      <c r="F21" t="b">
        <f>$C$21*$E$21&gt;0</f>
        <v>1</v>
      </c>
    </row>
    <row r="22" spans="1:6" x14ac:dyDescent="0.45">
      <c r="A22" s="3">
        <v>42401</v>
      </c>
      <c r="B22">
        <v>4392.33</v>
      </c>
      <c r="C22">
        <v>-5.5897414999254158E-3</v>
      </c>
      <c r="D22">
        <v>0.99591661738314163</v>
      </c>
      <c r="E22">
        <v>1</v>
      </c>
      <c r="F22" t="b">
        <f>$C$22*$E$22&gt;0</f>
        <v>0</v>
      </c>
    </row>
    <row r="23" spans="1:6" x14ac:dyDescent="0.45">
      <c r="A23" s="3">
        <v>42402</v>
      </c>
      <c r="B23">
        <v>4283.99</v>
      </c>
      <c r="C23">
        <v>-2.4665724114536047E-2</v>
      </c>
      <c r="D23">
        <v>0.99582695458819892</v>
      </c>
      <c r="E23">
        <v>1</v>
      </c>
      <c r="F23" t="b">
        <f>$C$23*$E$23&gt;0</f>
        <v>0</v>
      </c>
    </row>
    <row r="24" spans="1:6" x14ac:dyDescent="0.45">
      <c r="A24" s="3">
        <v>42404</v>
      </c>
      <c r="B24">
        <v>4228.53</v>
      </c>
      <c r="C24">
        <v>-1.294587522379842E-2</v>
      </c>
      <c r="D24">
        <v>0.99573325677315339</v>
      </c>
      <c r="E24">
        <v>1</v>
      </c>
      <c r="F24" t="b">
        <f>$C$24*$E$24&gt;0</f>
        <v>0</v>
      </c>
    </row>
    <row r="25" spans="1:6" x14ac:dyDescent="0.45">
      <c r="A25" s="3">
        <v>42405</v>
      </c>
      <c r="B25">
        <v>4200.67</v>
      </c>
      <c r="C25">
        <v>-6.5885780637714442E-3</v>
      </c>
      <c r="D25">
        <v>0.99563524788977797</v>
      </c>
      <c r="E25">
        <v>1</v>
      </c>
      <c r="F25" t="b">
        <f>$C$25*$E$25&gt;0</f>
        <v>0</v>
      </c>
    </row>
    <row r="26" spans="1:6" x14ac:dyDescent="0.45">
      <c r="A26" s="3">
        <v>42408</v>
      </c>
      <c r="B26">
        <v>4066.31</v>
      </c>
      <c r="C26">
        <v>-3.1985373761804659E-2</v>
      </c>
      <c r="D26">
        <v>0.99553262639453066</v>
      </c>
      <c r="E26">
        <v>1</v>
      </c>
      <c r="F26" t="b">
        <f>$C$26*$E$26&gt;0</f>
        <v>0</v>
      </c>
    </row>
    <row r="27" spans="1:6" x14ac:dyDescent="0.45">
      <c r="A27" s="3">
        <v>42409</v>
      </c>
      <c r="B27">
        <v>3997.54</v>
      </c>
      <c r="C27">
        <v>-1.6912139015471062E-2</v>
      </c>
      <c r="D27">
        <v>0.99542506226500049</v>
      </c>
      <c r="E27">
        <v>1</v>
      </c>
      <c r="F27" t="b">
        <f>$C$27*$E$27&gt;0</f>
        <v>0</v>
      </c>
    </row>
    <row r="28" spans="1:6" x14ac:dyDescent="0.45">
      <c r="A28" s="3">
        <v>42410</v>
      </c>
      <c r="B28">
        <v>4061.2</v>
      </c>
      <c r="C28">
        <v>1.5924793748155031E-2</v>
      </c>
      <c r="D28">
        <v>0.99531219359105927</v>
      </c>
      <c r="E28">
        <v>1</v>
      </c>
      <c r="F28" t="b">
        <f>$C$28*$E$28&gt;0</f>
        <v>1</v>
      </c>
    </row>
    <row r="29" spans="1:6" x14ac:dyDescent="0.45">
      <c r="A29" s="3">
        <v>42411</v>
      </c>
      <c r="B29">
        <v>3896.71</v>
      </c>
      <c r="C29">
        <v>-4.0502807052102741E-2</v>
      </c>
      <c r="D29">
        <v>0.9953127435688589</v>
      </c>
      <c r="E29">
        <v>1</v>
      </c>
      <c r="F29" t="b">
        <f>$C$29*$E$29&gt;0</f>
        <v>0</v>
      </c>
    </row>
    <row r="30" spans="1:6" x14ac:dyDescent="0.45">
      <c r="A30" s="3">
        <v>42412</v>
      </c>
      <c r="B30">
        <v>3995.06</v>
      </c>
      <c r="C30">
        <v>2.5239240282186826E-2</v>
      </c>
      <c r="D30">
        <v>0.99519420075307152</v>
      </c>
      <c r="E30">
        <v>1</v>
      </c>
      <c r="F30" t="b">
        <f>$C$30*$E$30&gt;0</f>
        <v>1</v>
      </c>
    </row>
    <row r="31" spans="1:6" x14ac:dyDescent="0.45">
      <c r="A31" s="3">
        <v>42415</v>
      </c>
      <c r="B31">
        <v>4115.25</v>
      </c>
      <c r="C31">
        <v>3.0084654548367284E-2</v>
      </c>
      <c r="D31">
        <v>0.99519479345915873</v>
      </c>
      <c r="E31">
        <v>1</v>
      </c>
      <c r="F31" t="b">
        <f>$C$31*$E$31&gt;0</f>
        <v>1</v>
      </c>
    </row>
    <row r="32" spans="1:6" x14ac:dyDescent="0.45">
      <c r="A32" s="3">
        <v>42416</v>
      </c>
      <c r="B32">
        <v>4110.66</v>
      </c>
      <c r="C32">
        <v>-1.1153635866594236E-3</v>
      </c>
      <c r="D32">
        <v>0.99519538594538681</v>
      </c>
      <c r="E32">
        <v>1</v>
      </c>
      <c r="F32" t="b">
        <f>$C$32*$E$32&gt;0</f>
        <v>0</v>
      </c>
    </row>
    <row r="33" spans="1:6" x14ac:dyDescent="0.45">
      <c r="A33" s="3">
        <v>42417</v>
      </c>
      <c r="B33">
        <v>4233.47</v>
      </c>
      <c r="C33">
        <v>2.9875980986021844E-2</v>
      </c>
      <c r="D33">
        <v>0.99507076716908405</v>
      </c>
      <c r="E33">
        <v>1</v>
      </c>
      <c r="F33" t="b">
        <f>$C$33*$E$33&gt;0</f>
        <v>1</v>
      </c>
    </row>
    <row r="34" spans="1:6" x14ac:dyDescent="0.45">
      <c r="A34" s="3">
        <v>42418</v>
      </c>
      <c r="B34">
        <v>4239.76</v>
      </c>
      <c r="C34">
        <v>1.485778805566218E-3</v>
      </c>
      <c r="D34">
        <v>0.99507140686651163</v>
      </c>
      <c r="E34">
        <v>1</v>
      </c>
      <c r="F34" t="b">
        <f>$C$34*$E$34&gt;0</f>
        <v>1</v>
      </c>
    </row>
    <row r="35" spans="1:6" x14ac:dyDescent="0.45">
      <c r="A35" s="3">
        <v>42419</v>
      </c>
      <c r="B35">
        <v>4223.04</v>
      </c>
      <c r="C35">
        <v>-3.9436194501576427E-3</v>
      </c>
      <c r="D35">
        <v>0.99507204631436241</v>
      </c>
      <c r="E35">
        <v>1</v>
      </c>
      <c r="F35" t="b">
        <f>$C$35*$E$35&gt;0</f>
        <v>0</v>
      </c>
    </row>
    <row r="36" spans="1:6" x14ac:dyDescent="0.45">
      <c r="A36" s="3">
        <v>42422</v>
      </c>
      <c r="B36">
        <v>4298.7</v>
      </c>
      <c r="C36">
        <v>1.7916003637190148E-2</v>
      </c>
      <c r="D36">
        <v>0.99494087994958869</v>
      </c>
      <c r="E36">
        <v>1</v>
      </c>
      <c r="F36" t="b">
        <f>$C$36*$E$36&gt;0</f>
        <v>1</v>
      </c>
    </row>
    <row r="37" spans="1:6" x14ac:dyDescent="0.45">
      <c r="A37" s="3">
        <v>42423</v>
      </c>
      <c r="B37">
        <v>4238.42</v>
      </c>
      <c r="C37">
        <v>-1.4022844115662791E-2</v>
      </c>
      <c r="D37">
        <v>0.99494157168899533</v>
      </c>
      <c r="E37">
        <v>1</v>
      </c>
      <c r="F37" t="b">
        <f>$C$37*$E$37&gt;0</f>
        <v>0</v>
      </c>
    </row>
    <row r="38" spans="1:6" x14ac:dyDescent="0.45">
      <c r="A38" s="3">
        <v>42424</v>
      </c>
      <c r="B38">
        <v>4155.34</v>
      </c>
      <c r="C38">
        <v>-1.9601644008852337E-2</v>
      </c>
      <c r="D38">
        <v>0.99480329867165695</v>
      </c>
      <c r="E38">
        <v>1</v>
      </c>
      <c r="F38" t="b">
        <f>$C$38*$E$38&gt;0</f>
        <v>0</v>
      </c>
    </row>
    <row r="39" spans="1:6" x14ac:dyDescent="0.45">
      <c r="A39" s="3">
        <v>42425</v>
      </c>
      <c r="B39">
        <v>4248.45</v>
      </c>
      <c r="C39">
        <v>2.2407312037041383E-2</v>
      </c>
      <c r="D39">
        <v>0.99465729229147493</v>
      </c>
      <c r="E39">
        <v>1</v>
      </c>
      <c r="F39" t="b">
        <f>$C$39*$E$39&gt;0</f>
        <v>1</v>
      </c>
    </row>
    <row r="40" spans="1:6" x14ac:dyDescent="0.45">
      <c r="A40" s="3">
        <v>42426</v>
      </c>
      <c r="B40">
        <v>4314.57</v>
      </c>
      <c r="C40">
        <v>1.5563323094304859E-2</v>
      </c>
      <c r="D40">
        <v>0.99465810721820602</v>
      </c>
      <c r="E40">
        <v>1</v>
      </c>
      <c r="F40" t="b">
        <f>$C$40*$E$40&gt;0</f>
        <v>1</v>
      </c>
    </row>
    <row r="41" spans="1:6" x14ac:dyDescent="0.45">
      <c r="A41" s="3">
        <v>42429</v>
      </c>
      <c r="B41">
        <v>4353.55</v>
      </c>
      <c r="C41">
        <v>9.0345040177817193E-3</v>
      </c>
      <c r="D41">
        <v>0.99465892177181703</v>
      </c>
      <c r="E41">
        <v>1</v>
      </c>
      <c r="F41" t="b">
        <f>$C$41*$E$41&gt;0</f>
        <v>1</v>
      </c>
    </row>
    <row r="42" spans="1:6" x14ac:dyDescent="0.45">
      <c r="A42" s="3">
        <v>42430</v>
      </c>
      <c r="B42">
        <v>4406.84</v>
      </c>
      <c r="C42">
        <v>1.2240585269492676E-2</v>
      </c>
      <c r="D42">
        <v>0.99465973595259483</v>
      </c>
      <c r="E42">
        <v>1</v>
      </c>
      <c r="F42" t="b">
        <f>$C$42*$E$42&gt;0</f>
        <v>1</v>
      </c>
    </row>
    <row r="43" spans="1:6" x14ac:dyDescent="0.45">
      <c r="A43" s="3">
        <v>42431</v>
      </c>
      <c r="B43">
        <v>4424.8900000000003</v>
      </c>
      <c r="C43">
        <v>4.0959054560638641E-3</v>
      </c>
      <c r="D43">
        <v>0.99466054976082641</v>
      </c>
      <c r="E43">
        <v>1</v>
      </c>
      <c r="F43" t="b">
        <f>$C$43*$E$43&gt;0</f>
        <v>1</v>
      </c>
    </row>
    <row r="44" spans="1:6" x14ac:dyDescent="0.45">
      <c r="A44" s="3">
        <v>42432</v>
      </c>
      <c r="B44">
        <v>4416.08</v>
      </c>
      <c r="C44">
        <v>-1.9910099460100916E-3</v>
      </c>
      <c r="D44">
        <v>0.99466136319678888</v>
      </c>
      <c r="E44">
        <v>1</v>
      </c>
      <c r="F44" t="b">
        <f>$C$44*$E$44&gt;0</f>
        <v>0</v>
      </c>
    </row>
    <row r="45" spans="1:6" x14ac:dyDescent="0.45">
      <c r="A45" s="3">
        <v>42433</v>
      </c>
      <c r="B45">
        <v>4456.62</v>
      </c>
      <c r="C45">
        <v>9.1800873172587227E-3</v>
      </c>
      <c r="D45">
        <v>0.99450720271387116</v>
      </c>
      <c r="E45">
        <v>1</v>
      </c>
      <c r="F45" t="b">
        <f>$C$45*$E$45&gt;0</f>
        <v>1</v>
      </c>
    </row>
    <row r="46" spans="1:6" x14ac:dyDescent="0.45">
      <c r="A46" s="3">
        <v>42436</v>
      </c>
      <c r="B46">
        <v>4442.29</v>
      </c>
      <c r="C46">
        <v>-3.2154412985625491E-3</v>
      </c>
      <c r="D46">
        <v>0.9945080883319245</v>
      </c>
      <c r="E46">
        <v>1</v>
      </c>
      <c r="F46" t="b">
        <f>$C$46*$E$46&gt;0</f>
        <v>0</v>
      </c>
    </row>
    <row r="47" spans="1:6" x14ac:dyDescent="0.45">
      <c r="A47" s="3">
        <v>42437</v>
      </c>
      <c r="B47">
        <v>4404.0200000000004</v>
      </c>
      <c r="C47">
        <v>-8.6149260854198051E-3</v>
      </c>
      <c r="D47">
        <v>0.99434487745965039</v>
      </c>
      <c r="E47">
        <v>1</v>
      </c>
      <c r="F47" t="b">
        <f>$C$47*$E$47&gt;0</f>
        <v>0</v>
      </c>
    </row>
    <row r="48" spans="1:6" x14ac:dyDescent="0.45">
      <c r="A48" s="3">
        <v>42438</v>
      </c>
      <c r="B48">
        <v>4425.6499999999996</v>
      </c>
      <c r="C48">
        <v>4.9114218373211838E-3</v>
      </c>
      <c r="D48">
        <v>0.99417175050394924</v>
      </c>
      <c r="E48">
        <v>1</v>
      </c>
      <c r="F48" t="b">
        <f>$C$48*$E$48&gt;0</f>
        <v>1</v>
      </c>
    </row>
    <row r="49" spans="1:6" x14ac:dyDescent="0.45">
      <c r="A49" s="3">
        <v>42439</v>
      </c>
      <c r="B49">
        <v>4350.3500000000004</v>
      </c>
      <c r="C49">
        <v>-1.7014449854823477E-2</v>
      </c>
      <c r="D49">
        <v>0.99417280849064382</v>
      </c>
      <c r="E49">
        <v>1</v>
      </c>
      <c r="F49" t="b">
        <f>$C$49*$E$49&gt;0</f>
        <v>0</v>
      </c>
    </row>
    <row r="50" spans="1:6" x14ac:dyDescent="0.45">
      <c r="A50" s="3">
        <v>42440</v>
      </c>
      <c r="B50">
        <v>4492.79</v>
      </c>
      <c r="C50">
        <v>3.2742193156872323E-2</v>
      </c>
      <c r="D50">
        <v>0.99398891629531727</v>
      </c>
      <c r="E50">
        <v>1</v>
      </c>
      <c r="F50" t="b">
        <f>$C$50*$E$50&gt;0</f>
        <v>1</v>
      </c>
    </row>
    <row r="51" spans="1:6" x14ac:dyDescent="0.45">
      <c r="A51" s="3">
        <v>42443</v>
      </c>
      <c r="B51">
        <v>4506.59</v>
      </c>
      <c r="C51">
        <v>3.0715880332712331E-3</v>
      </c>
      <c r="D51">
        <v>0.99399007690780961</v>
      </c>
      <c r="E51">
        <v>1</v>
      </c>
      <c r="F51" t="b">
        <f>$C$51*$E$51&gt;0</f>
        <v>1</v>
      </c>
    </row>
    <row r="52" spans="1:6" x14ac:dyDescent="0.45">
      <c r="A52" s="3">
        <v>42444</v>
      </c>
      <c r="B52">
        <v>4472.63</v>
      </c>
      <c r="C52">
        <v>-7.5356311534885423E-3</v>
      </c>
      <c r="D52">
        <v>0.99399123684928203</v>
      </c>
      <c r="E52">
        <v>1</v>
      </c>
      <c r="F52" t="b">
        <f>$C$52*$E$52&gt;0</f>
        <v>0</v>
      </c>
    </row>
    <row r="53" spans="1:6" x14ac:dyDescent="0.45">
      <c r="A53" s="3">
        <v>42445</v>
      </c>
      <c r="B53">
        <v>4463</v>
      </c>
      <c r="C53">
        <v>-2.1530956059410133E-3</v>
      </c>
      <c r="D53">
        <v>0.99379563963228357</v>
      </c>
      <c r="E53">
        <v>1</v>
      </c>
      <c r="F53" t="b">
        <f>$C$53*$E$53&gt;0</f>
        <v>0</v>
      </c>
    </row>
    <row r="54" spans="1:6" x14ac:dyDescent="0.45">
      <c r="A54" s="3">
        <v>42446</v>
      </c>
      <c r="B54">
        <v>4442.8900000000003</v>
      </c>
      <c r="C54">
        <v>-4.5059377100604703E-3</v>
      </c>
      <c r="D54">
        <v>0.99358703778571267</v>
      </c>
      <c r="E54">
        <v>1</v>
      </c>
      <c r="F54" t="b">
        <f>$C$54*$E$54&gt;0</f>
        <v>0</v>
      </c>
    </row>
    <row r="55" spans="1:6" x14ac:dyDescent="0.45">
      <c r="A55" s="3">
        <v>42447</v>
      </c>
      <c r="B55">
        <v>4462.51</v>
      </c>
      <c r="C55">
        <v>4.4160445115679625E-3</v>
      </c>
      <c r="D55">
        <v>0.99336411588233997</v>
      </c>
      <c r="E55">
        <v>1</v>
      </c>
      <c r="F55" t="b">
        <f>$C$55*$E$55&gt;0</f>
        <v>1</v>
      </c>
    </row>
    <row r="56" spans="1:6" x14ac:dyDescent="0.45">
      <c r="A56" s="3">
        <v>42450</v>
      </c>
      <c r="B56">
        <v>4427.8</v>
      </c>
      <c r="C56">
        <v>-7.7781338305124015E-3</v>
      </c>
      <c r="D56">
        <v>0.9933656762569979</v>
      </c>
      <c r="E56">
        <v>1</v>
      </c>
      <c r="F56" t="b">
        <f>$C$56*$E$56&gt;0</f>
        <v>0</v>
      </c>
    </row>
    <row r="57" spans="1:6" x14ac:dyDescent="0.45">
      <c r="A57" s="3">
        <v>42451</v>
      </c>
      <c r="B57">
        <v>4431.97</v>
      </c>
      <c r="C57">
        <v>9.4177695469532807E-4</v>
      </c>
      <c r="D57">
        <v>0.99312705100085708</v>
      </c>
      <c r="E57">
        <v>1</v>
      </c>
      <c r="F57" t="b">
        <f>$C$57*$E$57&gt;0</f>
        <v>1</v>
      </c>
    </row>
    <row r="58" spans="1:6" x14ac:dyDescent="0.45">
      <c r="A58" s="3">
        <v>42452</v>
      </c>
      <c r="B58">
        <v>4423.9799999999996</v>
      </c>
      <c r="C58">
        <v>-1.8028100370717226E-3</v>
      </c>
      <c r="D58">
        <v>0.9931287839625923</v>
      </c>
      <c r="E58">
        <v>1</v>
      </c>
      <c r="F58" t="b">
        <f>$C$58*$E$58&gt;0</f>
        <v>0</v>
      </c>
    </row>
    <row r="59" spans="1:6" x14ac:dyDescent="0.45">
      <c r="A59" s="3">
        <v>42453</v>
      </c>
      <c r="B59">
        <v>4329.68</v>
      </c>
      <c r="C59">
        <v>-2.1315647900758905E-2</v>
      </c>
      <c r="D59">
        <v>0.99287277689032294</v>
      </c>
      <c r="E59">
        <v>1</v>
      </c>
      <c r="F59" t="b">
        <f>$C$59*$E$59&gt;0</f>
        <v>0</v>
      </c>
    </row>
    <row r="60" spans="1:6" x14ac:dyDescent="0.45">
      <c r="A60" s="3">
        <v>42458</v>
      </c>
      <c r="B60">
        <v>4366.67</v>
      </c>
      <c r="C60">
        <v>8.5433565529091648E-3</v>
      </c>
      <c r="D60">
        <v>0.99259731757819947</v>
      </c>
      <c r="E60">
        <v>1</v>
      </c>
      <c r="F60" t="b">
        <f>$C$60*$E$60&gt;0</f>
        <v>1</v>
      </c>
    </row>
    <row r="61" spans="1:6" x14ac:dyDescent="0.45">
      <c r="A61" s="3">
        <v>42459</v>
      </c>
      <c r="B61">
        <v>4444.42</v>
      </c>
      <c r="C61">
        <v>1.7805329919595492E-2</v>
      </c>
      <c r="D61">
        <v>0.99259948049105096</v>
      </c>
      <c r="E61">
        <v>1</v>
      </c>
      <c r="F61" t="b">
        <f>$C$61*$E$61&gt;0</f>
        <v>1</v>
      </c>
    </row>
    <row r="62" spans="1:6" x14ac:dyDescent="0.45">
      <c r="A62" s="3">
        <v>42460</v>
      </c>
      <c r="B62">
        <v>4385.0600000000004</v>
      </c>
      <c r="C62">
        <v>-1.335607345840395E-2</v>
      </c>
      <c r="D62">
        <v>0.99260164152064712</v>
      </c>
      <c r="E62">
        <v>1</v>
      </c>
      <c r="F62" t="b">
        <f>$C$62*$E$62&gt;0</f>
        <v>0</v>
      </c>
    </row>
    <row r="63" spans="1:6" x14ac:dyDescent="0.45">
      <c r="A63" s="3">
        <v>42461</v>
      </c>
      <c r="B63">
        <v>4322.24</v>
      </c>
      <c r="C63">
        <v>-1.432591572293207E-2</v>
      </c>
      <c r="D63">
        <v>0.99230482648764484</v>
      </c>
      <c r="E63">
        <v>1</v>
      </c>
      <c r="F63" t="b">
        <f>$C$63*$E$63&gt;0</f>
        <v>0</v>
      </c>
    </row>
    <row r="64" spans="1:6" x14ac:dyDescent="0.45">
      <c r="A64" s="3">
        <v>42464</v>
      </c>
      <c r="B64">
        <v>4345.22</v>
      </c>
      <c r="C64">
        <v>5.3166876434442845E-3</v>
      </c>
      <c r="D64">
        <v>0.99198374800301359</v>
      </c>
      <c r="E64">
        <v>1</v>
      </c>
      <c r="F64" t="b">
        <f>$C$64*$E$64&gt;0</f>
        <v>1</v>
      </c>
    </row>
    <row r="65" spans="1:6" x14ac:dyDescent="0.45">
      <c r="A65" s="3">
        <v>42466</v>
      </c>
      <c r="B65">
        <v>4284.6400000000003</v>
      </c>
      <c r="C65">
        <v>-1.3941756688959361E-2</v>
      </c>
      <c r="D65">
        <v>0.99198649002968065</v>
      </c>
      <c r="E65">
        <v>1</v>
      </c>
      <c r="F65" t="b">
        <f>$C$65*$E$65&gt;0</f>
        <v>0</v>
      </c>
    </row>
    <row r="66" spans="1:6" x14ac:dyDescent="0.45">
      <c r="A66" s="3">
        <v>42467</v>
      </c>
      <c r="B66">
        <v>4245.91</v>
      </c>
      <c r="C66">
        <v>-9.0392658426380335E-3</v>
      </c>
      <c r="D66">
        <v>0.9916383647009045</v>
      </c>
      <c r="E66">
        <v>1</v>
      </c>
      <c r="F66" t="b">
        <f>$C$66*$E$66&gt;0</f>
        <v>0</v>
      </c>
    </row>
    <row r="67" spans="1:6" x14ac:dyDescent="0.45">
      <c r="A67" s="3">
        <v>42468</v>
      </c>
      <c r="B67">
        <v>4303.12</v>
      </c>
      <c r="C67">
        <v>1.3474143352072865E-2</v>
      </c>
      <c r="D67">
        <v>0.991259454425227</v>
      </c>
      <c r="E67">
        <v>1</v>
      </c>
      <c r="F67" t="b">
        <f>$C$67*$E$67&gt;0</f>
        <v>1</v>
      </c>
    </row>
    <row r="68" spans="1:6" x14ac:dyDescent="0.45">
      <c r="A68" s="3">
        <v>42471</v>
      </c>
      <c r="B68">
        <v>4312.63</v>
      </c>
      <c r="C68">
        <v>2.2100243544218579E-3</v>
      </c>
      <c r="D68">
        <v>0.99126300062909145</v>
      </c>
      <c r="E68">
        <v>1</v>
      </c>
      <c r="F68" t="b">
        <f>$C$68*$E$68&gt;0</f>
        <v>1</v>
      </c>
    </row>
    <row r="69" spans="1:6" x14ac:dyDescent="0.45">
      <c r="A69" s="3">
        <v>42472</v>
      </c>
      <c r="B69">
        <v>4345.91</v>
      </c>
      <c r="C69">
        <v>7.7168688248236972E-3</v>
      </c>
      <c r="D69">
        <v>0.99126654256373459</v>
      </c>
      <c r="E69">
        <v>1</v>
      </c>
      <c r="F69" t="b">
        <f>$C$69*$E$69&gt;0</f>
        <v>1</v>
      </c>
    </row>
    <row r="70" spans="1:6" x14ac:dyDescent="0.45">
      <c r="A70" s="3">
        <v>42473</v>
      </c>
      <c r="B70">
        <v>4490.3100000000004</v>
      </c>
      <c r="C70">
        <v>3.3226642981562193E-2</v>
      </c>
      <c r="D70">
        <v>0.99127008023768315</v>
      </c>
      <c r="E70">
        <v>1</v>
      </c>
      <c r="F70" t="b">
        <f>$C$70*$E$70&gt;0</f>
        <v>1</v>
      </c>
    </row>
    <row r="71" spans="1:6" x14ac:dyDescent="0.45">
      <c r="A71" s="3">
        <v>42474</v>
      </c>
      <c r="B71">
        <v>4511.51</v>
      </c>
      <c r="C71">
        <v>4.7212775955334241E-3</v>
      </c>
      <c r="D71">
        <v>0.99127361365939448</v>
      </c>
      <c r="E71">
        <v>1</v>
      </c>
      <c r="F71" t="b">
        <f>$C$71*$E$71&gt;0</f>
        <v>1</v>
      </c>
    </row>
    <row r="72" spans="1:6" x14ac:dyDescent="0.45">
      <c r="A72" s="3">
        <v>42475</v>
      </c>
      <c r="B72">
        <v>4495.17</v>
      </c>
      <c r="C72">
        <v>-3.621847230749875E-3</v>
      </c>
      <c r="D72">
        <v>0.99127714283729917</v>
      </c>
      <c r="E72">
        <v>1</v>
      </c>
      <c r="F72" t="b">
        <f>$C$72*$E$72&gt;0</f>
        <v>0</v>
      </c>
    </row>
    <row r="73" spans="1:6" x14ac:dyDescent="0.45">
      <c r="A73" s="3">
        <v>42478</v>
      </c>
      <c r="B73">
        <v>4506.84</v>
      </c>
      <c r="C73">
        <v>2.5961198352899562E-3</v>
      </c>
      <c r="D73">
        <v>0.99086496170979355</v>
      </c>
      <c r="E73">
        <v>1</v>
      </c>
      <c r="F73" t="b">
        <f>$C$73*$E$73&gt;0</f>
        <v>1</v>
      </c>
    </row>
    <row r="74" spans="1:6" x14ac:dyDescent="0.45">
      <c r="A74" s="3">
        <v>42479</v>
      </c>
      <c r="B74">
        <v>4566.4799999999996</v>
      </c>
      <c r="C74">
        <v>1.3233218840695393E-2</v>
      </c>
      <c r="D74">
        <v>0.99086900437711356</v>
      </c>
      <c r="E74">
        <v>1</v>
      </c>
      <c r="F74" t="b">
        <f>$C$74*$E$74&gt;0</f>
        <v>1</v>
      </c>
    </row>
    <row r="75" spans="1:6" x14ac:dyDescent="0.45">
      <c r="A75" s="3">
        <v>42480</v>
      </c>
      <c r="B75">
        <v>4591.92</v>
      </c>
      <c r="C75">
        <v>5.5710306406686616E-3</v>
      </c>
      <c r="D75">
        <v>0.9908730417421614</v>
      </c>
      <c r="E75">
        <v>1</v>
      </c>
      <c r="F75" t="b">
        <f>$C$75*$E$75&gt;0</f>
        <v>1</v>
      </c>
    </row>
    <row r="76" spans="1:6" x14ac:dyDescent="0.45">
      <c r="A76" s="3">
        <v>42481</v>
      </c>
      <c r="B76">
        <v>4582.83</v>
      </c>
      <c r="C76">
        <v>-1.9795641039043188E-3</v>
      </c>
      <c r="D76">
        <v>0.99087707381646117</v>
      </c>
      <c r="E76">
        <v>1</v>
      </c>
      <c r="F76" t="b">
        <f>$C$76*$E$76&gt;0</f>
        <v>0</v>
      </c>
    </row>
    <row r="77" spans="1:6" x14ac:dyDescent="0.45">
      <c r="A77" s="3">
        <v>42482</v>
      </c>
      <c r="B77">
        <v>4569.66</v>
      </c>
      <c r="C77">
        <v>-2.8737701376660985E-3</v>
      </c>
      <c r="D77">
        <v>0.99042647605244671</v>
      </c>
      <c r="E77">
        <v>1</v>
      </c>
      <c r="F77" t="b">
        <f>$C$77*$E$77&gt;0</f>
        <v>0</v>
      </c>
    </row>
    <row r="78" spans="1:6" x14ac:dyDescent="0.45">
      <c r="A78" s="3">
        <v>42485</v>
      </c>
      <c r="B78">
        <v>4546.12</v>
      </c>
      <c r="C78">
        <v>-5.1513679354699971E-3</v>
      </c>
      <c r="D78">
        <v>0.98993064886682591</v>
      </c>
      <c r="E78">
        <v>1</v>
      </c>
      <c r="F78" t="b">
        <f>$C$78*$E$78&gt;0</f>
        <v>0</v>
      </c>
    </row>
    <row r="79" spans="1:6" x14ac:dyDescent="0.45">
      <c r="A79" s="3">
        <v>42486</v>
      </c>
      <c r="B79">
        <v>4533.18</v>
      </c>
      <c r="C79">
        <v>-2.8463832894862762E-3</v>
      </c>
      <c r="D79">
        <v>0.98938266663421448</v>
      </c>
      <c r="E79">
        <v>1</v>
      </c>
      <c r="F79" t="b">
        <f>$C$79*$E$79&gt;0</f>
        <v>0</v>
      </c>
    </row>
    <row r="80" spans="1:6" x14ac:dyDescent="0.45">
      <c r="A80" s="3">
        <v>42487</v>
      </c>
      <c r="B80">
        <v>4559.3999999999996</v>
      </c>
      <c r="C80">
        <v>5.7840191653539819E-3</v>
      </c>
      <c r="D80">
        <v>0.98877415668712421</v>
      </c>
      <c r="E80">
        <v>1</v>
      </c>
      <c r="F80" t="b">
        <f>$C$80*$E$80&gt;0</f>
        <v>1</v>
      </c>
    </row>
    <row r="81" spans="1:6" x14ac:dyDescent="0.45">
      <c r="A81" s="3">
        <v>42488</v>
      </c>
      <c r="B81">
        <v>4557.3599999999997</v>
      </c>
      <c r="C81">
        <v>-4.4742729306490592E-4</v>
      </c>
      <c r="D81">
        <v>0.98878159411781907</v>
      </c>
      <c r="E81">
        <v>1</v>
      </c>
      <c r="F81" t="b">
        <f>$C$81*$E$81&gt;0</f>
        <v>0</v>
      </c>
    </row>
    <row r="82" spans="1:6" x14ac:dyDescent="0.45">
      <c r="A82" s="3">
        <v>42489</v>
      </c>
      <c r="B82">
        <v>4428.96</v>
      </c>
      <c r="C82">
        <v>-2.817420611933219E-2</v>
      </c>
      <c r="D82">
        <v>0.98810323418196155</v>
      </c>
      <c r="E82">
        <v>1</v>
      </c>
      <c r="F82" t="b">
        <f>$C$82*$E$82&gt;0</f>
        <v>0</v>
      </c>
    </row>
    <row r="83" spans="1:6" x14ac:dyDescent="0.45">
      <c r="A83" s="3">
        <v>42492</v>
      </c>
      <c r="B83">
        <v>4442.75</v>
      </c>
      <c r="C83">
        <v>3.1135977746468146E-3</v>
      </c>
      <c r="D83">
        <v>0.98734173707374828</v>
      </c>
      <c r="E83">
        <v>1</v>
      </c>
      <c r="F83" t="b">
        <f>$C$83*$E$83&gt;0</f>
        <v>1</v>
      </c>
    </row>
    <row r="84" spans="1:6" x14ac:dyDescent="0.45">
      <c r="A84" s="3">
        <v>42493</v>
      </c>
      <c r="B84">
        <v>4371.9799999999996</v>
      </c>
      <c r="C84">
        <v>-1.5929323054414635E-2</v>
      </c>
      <c r="D84">
        <v>0.98735232868233047</v>
      </c>
      <c r="E84">
        <v>1</v>
      </c>
      <c r="F84" t="b">
        <f>$C$84*$E$84&gt;0</f>
        <v>0</v>
      </c>
    </row>
    <row r="85" spans="1:6" x14ac:dyDescent="0.45">
      <c r="A85" s="3">
        <v>42494</v>
      </c>
      <c r="B85">
        <v>4324.2299999999996</v>
      </c>
      <c r="C85">
        <v>-1.0921824893983967E-2</v>
      </c>
      <c r="D85">
        <v>0.98649352948168822</v>
      </c>
      <c r="E85">
        <v>1</v>
      </c>
      <c r="F85" t="b">
        <f>$C$85*$E$85&gt;0</f>
        <v>0</v>
      </c>
    </row>
    <row r="86" spans="1:6" x14ac:dyDescent="0.45">
      <c r="A86" s="3">
        <v>42495</v>
      </c>
      <c r="B86">
        <v>4319.46</v>
      </c>
      <c r="C86">
        <v>-1.1030865610754947E-3</v>
      </c>
      <c r="D86">
        <v>0.98551673059131017</v>
      </c>
      <c r="E86">
        <v>1</v>
      </c>
      <c r="F86" t="b">
        <f>$C$86*$E$86&gt;0</f>
        <v>0</v>
      </c>
    </row>
    <row r="87" spans="1:6" x14ac:dyDescent="0.45">
      <c r="A87" s="3">
        <v>42496</v>
      </c>
      <c r="B87">
        <v>4301.24</v>
      </c>
      <c r="C87">
        <v>-4.2181198575748091E-3</v>
      </c>
      <c r="D87">
        <v>0.98439711262611418</v>
      </c>
      <c r="E87">
        <v>1</v>
      </c>
      <c r="F87" t="b">
        <f>$C$87*$E$87&gt;0</f>
        <v>0</v>
      </c>
    </row>
    <row r="88" spans="1:6" x14ac:dyDescent="0.45">
      <c r="A88" s="3">
        <v>42499</v>
      </c>
      <c r="B88">
        <v>4322.8100000000004</v>
      </c>
      <c r="C88">
        <v>5.0148329318988605E-3</v>
      </c>
      <c r="D88">
        <v>0.98310268452973448</v>
      </c>
      <c r="E88">
        <v>1</v>
      </c>
      <c r="F88" t="b">
        <f>$C$88*$E$88&gt;0</f>
        <v>1</v>
      </c>
    </row>
    <row r="89" spans="1:6" x14ac:dyDescent="0.45">
      <c r="A89" s="3">
        <v>42500</v>
      </c>
      <c r="B89">
        <v>4338.21</v>
      </c>
      <c r="C89">
        <v>3.5624975421080229E-3</v>
      </c>
      <c r="D89">
        <v>0.98312733803948149</v>
      </c>
      <c r="E89">
        <v>1</v>
      </c>
      <c r="F89" t="b">
        <f>$C$89*$E$89&gt;0</f>
        <v>1</v>
      </c>
    </row>
    <row r="90" spans="1:6" x14ac:dyDescent="0.45">
      <c r="A90" s="3">
        <v>42501</v>
      </c>
      <c r="B90">
        <v>4316.67</v>
      </c>
      <c r="C90">
        <v>-4.9651814919056125E-3</v>
      </c>
      <c r="D90">
        <v>0.98315188701174927</v>
      </c>
      <c r="E90">
        <v>1</v>
      </c>
      <c r="F90" t="b">
        <f>$C$90*$E$90&gt;0</f>
        <v>0</v>
      </c>
    </row>
    <row r="91" spans="1:6" x14ac:dyDescent="0.45">
      <c r="A91" s="3">
        <v>42502</v>
      </c>
      <c r="B91">
        <v>4293.2700000000004</v>
      </c>
      <c r="C91">
        <v>-5.42084523486841E-3</v>
      </c>
      <c r="D91">
        <v>0.98164931348682605</v>
      </c>
      <c r="E91">
        <v>1</v>
      </c>
      <c r="F91" t="b">
        <f>$C$91*$E$91&gt;0</f>
        <v>0</v>
      </c>
    </row>
    <row r="92" spans="1:6" x14ac:dyDescent="0.45">
      <c r="A92" s="3">
        <v>42503</v>
      </c>
      <c r="B92">
        <v>4319.99</v>
      </c>
      <c r="C92">
        <v>6.2236942936269024E-3</v>
      </c>
      <c r="D92">
        <v>0.97987669204207051</v>
      </c>
      <c r="E92">
        <v>1</v>
      </c>
      <c r="F92" t="b">
        <f>$C$92*$E$92&gt;0</f>
        <v>1</v>
      </c>
    </row>
    <row r="93" spans="1:6" x14ac:dyDescent="0.45">
      <c r="A93" s="3">
        <v>42506</v>
      </c>
      <c r="B93">
        <v>4312.28</v>
      </c>
      <c r="C93">
        <v>-1.784726353533217E-3</v>
      </c>
      <c r="D93">
        <v>0.97991762590095166</v>
      </c>
      <c r="E93">
        <v>1</v>
      </c>
      <c r="F93" t="b">
        <f>$C$93*$E$93&gt;0</f>
        <v>0</v>
      </c>
    </row>
    <row r="94" spans="1:6" x14ac:dyDescent="0.45">
      <c r="A94" s="3">
        <v>42507</v>
      </c>
      <c r="B94">
        <v>4297.57</v>
      </c>
      <c r="C94">
        <v>-3.4111885128053077E-3</v>
      </c>
      <c r="D94">
        <v>0.97780868260487452</v>
      </c>
      <c r="E94">
        <v>1</v>
      </c>
      <c r="F94" t="b">
        <f>$C$94*$E$94&gt;0</f>
        <v>0</v>
      </c>
    </row>
    <row r="95" spans="1:6" x14ac:dyDescent="0.45">
      <c r="A95" s="3">
        <v>42508</v>
      </c>
      <c r="B95">
        <v>4319.3</v>
      </c>
      <c r="C95">
        <v>5.0563457954146962E-3</v>
      </c>
      <c r="D95">
        <v>0.9752547527240214</v>
      </c>
      <c r="E95">
        <v>1</v>
      </c>
      <c r="F95" t="b">
        <f>$C$95*$E$95&gt;0</f>
        <v>1</v>
      </c>
    </row>
    <row r="96" spans="1:6" x14ac:dyDescent="0.45">
      <c r="A96" s="3">
        <v>42509</v>
      </c>
      <c r="B96">
        <v>4282.54</v>
      </c>
      <c r="C96">
        <v>-8.5106382978723527E-3</v>
      </c>
      <c r="D96">
        <v>0.97532902170779734</v>
      </c>
      <c r="E96">
        <v>1</v>
      </c>
      <c r="F96" t="b">
        <f>$C$96*$E$96&gt;0</f>
        <v>0</v>
      </c>
    </row>
    <row r="97" spans="1:6" x14ac:dyDescent="0.45">
      <c r="A97" s="3">
        <v>42510</v>
      </c>
      <c r="B97">
        <v>4353.8999999999996</v>
      </c>
      <c r="C97">
        <v>1.666300840155599E-2</v>
      </c>
      <c r="D97">
        <v>0.97220360471224021</v>
      </c>
      <c r="E97">
        <v>1</v>
      </c>
      <c r="F97" t="b">
        <f>$C$97*$E$97&gt;0</f>
        <v>1</v>
      </c>
    </row>
    <row r="98" spans="1:6" x14ac:dyDescent="0.45">
      <c r="A98" s="3">
        <v>42513</v>
      </c>
      <c r="B98">
        <v>4325.1000000000004</v>
      </c>
      <c r="C98">
        <v>-6.6147591814234019E-3</v>
      </c>
      <c r="D98">
        <v>0.97230720651819125</v>
      </c>
      <c r="E98">
        <v>1</v>
      </c>
      <c r="F98" t="b">
        <f>$C$98*$E$98&gt;0</f>
        <v>0</v>
      </c>
    </row>
    <row r="99" spans="1:6" x14ac:dyDescent="0.45">
      <c r="A99" s="3">
        <v>42514</v>
      </c>
      <c r="B99">
        <v>4431.5200000000004</v>
      </c>
      <c r="C99">
        <v>2.4605211440198005E-2</v>
      </c>
      <c r="D99">
        <v>0.96841729933305132</v>
      </c>
      <c r="E99">
        <v>1</v>
      </c>
      <c r="F99" t="b">
        <f>$C$99*$E$99&gt;0</f>
        <v>1</v>
      </c>
    </row>
    <row r="100" spans="1:6" x14ac:dyDescent="0.45">
      <c r="A100" s="3">
        <v>42515</v>
      </c>
      <c r="B100">
        <v>4481.6400000000003</v>
      </c>
      <c r="C100">
        <v>1.1309889157670394E-2</v>
      </c>
      <c r="D100">
        <v>0.96856634069035175</v>
      </c>
      <c r="E100">
        <v>1</v>
      </c>
      <c r="F100" t="b">
        <f>$C$100*$E$100&gt;0</f>
        <v>1</v>
      </c>
    </row>
    <row r="101" spans="1:6" x14ac:dyDescent="0.45">
      <c r="A101" s="3">
        <v>42516</v>
      </c>
      <c r="B101">
        <v>4512.6400000000003</v>
      </c>
      <c r="C101">
        <v>6.9171107005470134E-3</v>
      </c>
      <c r="D101">
        <v>0.96871339216257391</v>
      </c>
      <c r="E101">
        <v>1</v>
      </c>
      <c r="F101" t="b">
        <f>$C$101*$E$101&gt;0</f>
        <v>1</v>
      </c>
    </row>
    <row r="102" spans="1:6" x14ac:dyDescent="0.45">
      <c r="A102" s="3">
        <v>42517</v>
      </c>
      <c r="B102">
        <v>4514.74</v>
      </c>
      <c r="C102">
        <v>4.6535952347181997E-4</v>
      </c>
      <c r="D102">
        <v>0.96885849688623027</v>
      </c>
      <c r="E102">
        <v>1</v>
      </c>
      <c r="F102" t="b">
        <f>$C$102*$E$102&gt;0</f>
        <v>1</v>
      </c>
    </row>
    <row r="103" spans="1:6" x14ac:dyDescent="0.45">
      <c r="A103" s="3">
        <v>42520</v>
      </c>
      <c r="B103">
        <v>4529.3999999999996</v>
      </c>
      <c r="C103">
        <v>3.2471415851189622E-3</v>
      </c>
      <c r="D103">
        <v>0.96900169671227676</v>
      </c>
      <c r="E103">
        <v>1</v>
      </c>
      <c r="F103" t="b">
        <f>$C$103*$E$103&gt;0</f>
        <v>1</v>
      </c>
    </row>
    <row r="104" spans="1:6" x14ac:dyDescent="0.45">
      <c r="A104" s="3">
        <v>42521</v>
      </c>
      <c r="B104">
        <v>4505.62</v>
      </c>
      <c r="C104">
        <v>-5.2501435068661451E-3</v>
      </c>
      <c r="D104">
        <v>0.96914303225327325</v>
      </c>
      <c r="E104">
        <v>1</v>
      </c>
      <c r="F104" t="b">
        <f>$C$104*$E$104&gt;0</f>
        <v>0</v>
      </c>
    </row>
    <row r="105" spans="1:6" x14ac:dyDescent="0.45">
      <c r="A105" s="3">
        <v>42522</v>
      </c>
      <c r="B105">
        <v>4475.3900000000003</v>
      </c>
      <c r="C105">
        <v>-6.7093984845592036E-3</v>
      </c>
      <c r="D105">
        <v>0.96437586337484815</v>
      </c>
      <c r="E105">
        <v>1</v>
      </c>
      <c r="F105" t="b">
        <f>$C$105*$E$105&gt;0</f>
        <v>0</v>
      </c>
    </row>
    <row r="106" spans="1:6" x14ac:dyDescent="0.45">
      <c r="A106" s="3">
        <v>42523</v>
      </c>
      <c r="B106">
        <v>4466</v>
      </c>
      <c r="C106">
        <v>-2.0981411675854433E-3</v>
      </c>
      <c r="D106">
        <v>0.9581460514833543</v>
      </c>
      <c r="E106">
        <v>1</v>
      </c>
      <c r="F106" t="b">
        <f>$C$106*$E$106&gt;0</f>
        <v>0</v>
      </c>
    </row>
    <row r="107" spans="1:6" x14ac:dyDescent="0.45">
      <c r="A107" s="3">
        <v>42524</v>
      </c>
      <c r="B107">
        <v>4421.78</v>
      </c>
      <c r="C107">
        <v>-9.9014778325123842E-3</v>
      </c>
      <c r="D107">
        <v>0.94976709284083716</v>
      </c>
      <c r="E107">
        <v>1</v>
      </c>
      <c r="F107" t="b">
        <f>$C$107*$E$107&gt;0</f>
        <v>0</v>
      </c>
    </row>
    <row r="108" spans="1:6" x14ac:dyDescent="0.45">
      <c r="A108" s="3">
        <v>42527</v>
      </c>
      <c r="B108">
        <v>4423.38</v>
      </c>
      <c r="C108">
        <v>3.6184522974913591E-4</v>
      </c>
      <c r="D108">
        <v>0.93811393694055534</v>
      </c>
      <c r="E108">
        <v>1</v>
      </c>
      <c r="F108" t="b">
        <f>$C$108*$E$108&gt;0</f>
        <v>1</v>
      </c>
    </row>
    <row r="109" spans="1:6" x14ac:dyDescent="0.45">
      <c r="A109" s="3">
        <v>42528</v>
      </c>
      <c r="B109">
        <v>4475.8599999999997</v>
      </c>
      <c r="C109">
        <v>1.1864230520552077E-2</v>
      </c>
      <c r="D109">
        <v>0.93908763932038064</v>
      </c>
      <c r="E109">
        <v>1</v>
      </c>
      <c r="F109" t="b">
        <f>$C$109*$E$109&gt;0</f>
        <v>1</v>
      </c>
    </row>
    <row r="110" spans="1:6" x14ac:dyDescent="0.45">
      <c r="A110" s="3">
        <v>42529</v>
      </c>
      <c r="B110">
        <v>4448.7299999999996</v>
      </c>
      <c r="C110">
        <v>-6.0614049590470565E-3</v>
      </c>
      <c r="D110">
        <v>0.94001991251800554</v>
      </c>
      <c r="E110">
        <v>1</v>
      </c>
      <c r="F110" t="b">
        <f>$C$110*$E$110&gt;0</f>
        <v>0</v>
      </c>
    </row>
    <row r="111" spans="1:6" x14ac:dyDescent="0.45">
      <c r="A111" s="3">
        <v>42530</v>
      </c>
      <c r="B111">
        <v>4405.6099999999997</v>
      </c>
      <c r="C111">
        <v>-9.6926538585169197E-3</v>
      </c>
      <c r="D111">
        <v>0.92407890190106057</v>
      </c>
      <c r="E111">
        <v>1</v>
      </c>
      <c r="F111" t="b">
        <f>$C$111*$E$111&gt;0</f>
        <v>0</v>
      </c>
    </row>
    <row r="112" spans="1:6" x14ac:dyDescent="0.45">
      <c r="A112" s="3">
        <v>42531</v>
      </c>
      <c r="B112">
        <v>4306.72</v>
      </c>
      <c r="C112">
        <v>-2.2446380864397764E-2</v>
      </c>
      <c r="D112">
        <v>0.9002212527044583</v>
      </c>
      <c r="E112">
        <v>1</v>
      </c>
      <c r="F112" t="b">
        <f>$C$112*$E$112&gt;0</f>
        <v>0</v>
      </c>
    </row>
    <row r="113" spans="1:6" x14ac:dyDescent="0.45">
      <c r="A113" s="3">
        <v>42534</v>
      </c>
      <c r="B113">
        <v>4227.0200000000004</v>
      </c>
      <c r="C113">
        <v>-1.8505962774454709E-2</v>
      </c>
      <c r="D113">
        <v>0.86308188994078139</v>
      </c>
      <c r="E113">
        <v>1</v>
      </c>
      <c r="F113" t="b">
        <f>$C$113*$E$113&gt;0</f>
        <v>0</v>
      </c>
    </row>
    <row r="114" spans="1:6" x14ac:dyDescent="0.45">
      <c r="A114" s="3">
        <v>42535</v>
      </c>
      <c r="B114">
        <v>4130.33</v>
      </c>
      <c r="C114">
        <v>-2.287427076285431E-2</v>
      </c>
      <c r="D114">
        <v>0.80385244469100403</v>
      </c>
      <c r="E114">
        <v>1</v>
      </c>
      <c r="F114" t="b">
        <f>$C$114*$E$114&gt;0</f>
        <v>0</v>
      </c>
    </row>
    <row r="115" spans="1:6" x14ac:dyDescent="0.45">
      <c r="A115" s="3">
        <v>42536</v>
      </c>
      <c r="B115">
        <v>4171.58</v>
      </c>
      <c r="C115">
        <v>9.987095462105966E-3</v>
      </c>
      <c r="D115">
        <v>0.71142917206045519</v>
      </c>
      <c r="E115">
        <v>1</v>
      </c>
      <c r="F115" t="b">
        <f>$C$115*$E$115&gt;0</f>
        <v>1</v>
      </c>
    </row>
    <row r="116" spans="1:6" x14ac:dyDescent="0.45">
      <c r="A116" s="3">
        <v>42537</v>
      </c>
      <c r="B116">
        <v>4153.01</v>
      </c>
      <c r="C116">
        <v>-4.4515507313774849E-3</v>
      </c>
      <c r="D116">
        <v>0.75677020490000235</v>
      </c>
      <c r="E116">
        <v>1</v>
      </c>
      <c r="F116" t="b">
        <f>$C$116*$E$116&gt;0</f>
        <v>0</v>
      </c>
    </row>
    <row r="117" spans="1:6" x14ac:dyDescent="0.45">
      <c r="A117" s="3">
        <v>42538</v>
      </c>
      <c r="B117">
        <v>4193.83</v>
      </c>
      <c r="C117">
        <v>9.8290155814697577E-3</v>
      </c>
      <c r="D117">
        <v>0.64341659176852239</v>
      </c>
      <c r="E117">
        <v>1</v>
      </c>
      <c r="F117" t="b">
        <f>$C$117*$E$117&gt;0</f>
        <v>1</v>
      </c>
    </row>
    <row r="118" spans="1:6" x14ac:dyDescent="0.45">
      <c r="A118" s="3">
        <v>42541</v>
      </c>
      <c r="B118">
        <v>4340.76</v>
      </c>
      <c r="C118">
        <v>3.5034801124509185E-2</v>
      </c>
      <c r="D118">
        <v>0.71243283192623885</v>
      </c>
      <c r="E118">
        <v>1</v>
      </c>
      <c r="F118" t="b">
        <f>$C$118*$E$118&gt;0</f>
        <v>1</v>
      </c>
    </row>
    <row r="119" spans="1:6" x14ac:dyDescent="0.45">
      <c r="A119" s="3">
        <v>42542</v>
      </c>
      <c r="B119">
        <v>4367.24</v>
      </c>
      <c r="C119">
        <v>6.1003142306876867E-3</v>
      </c>
      <c r="D119">
        <v>0.75746709978343851</v>
      </c>
      <c r="E119">
        <v>1</v>
      </c>
      <c r="F119" t="b">
        <f>$C$119*$E$119&gt;0</f>
        <v>1</v>
      </c>
    </row>
    <row r="120" spans="1:6" x14ac:dyDescent="0.45">
      <c r="A120" s="3">
        <v>42543</v>
      </c>
      <c r="B120">
        <v>4380.03</v>
      </c>
      <c r="C120">
        <v>2.9286231120799755E-3</v>
      </c>
      <c r="D120">
        <v>0.78858359512990794</v>
      </c>
      <c r="E120">
        <v>1</v>
      </c>
      <c r="F120" t="b">
        <f>$C$120*$E$120&gt;0</f>
        <v>1</v>
      </c>
    </row>
    <row r="121" spans="1:6" x14ac:dyDescent="0.45">
      <c r="A121" s="3">
        <v>42544</v>
      </c>
      <c r="B121">
        <v>4465.8999999999996</v>
      </c>
      <c r="C121">
        <v>1.9604888550991628E-2</v>
      </c>
      <c r="D121">
        <v>0.81132245230789413</v>
      </c>
      <c r="E121">
        <v>1</v>
      </c>
      <c r="F121" t="b">
        <f>$C$121*$E$121&gt;0</f>
        <v>1</v>
      </c>
    </row>
    <row r="122" spans="1:6" x14ac:dyDescent="0.45">
      <c r="A122" s="3">
        <v>42545</v>
      </c>
      <c r="B122">
        <v>4106.7299999999996</v>
      </c>
      <c r="C122">
        <v>-8.0424998320607344E-2</v>
      </c>
      <c r="D122">
        <v>0.82870377906860193</v>
      </c>
      <c r="E122">
        <v>1</v>
      </c>
      <c r="F122" t="b">
        <f>$C$122*$E$122&gt;0</f>
        <v>0</v>
      </c>
    </row>
    <row r="123" spans="1:6" x14ac:dyDescent="0.45">
      <c r="A123" s="3">
        <v>42548</v>
      </c>
      <c r="B123">
        <v>3984.72</v>
      </c>
      <c r="C123">
        <v>-2.9709769086353366E-2</v>
      </c>
      <c r="D123">
        <v>0.74976288516122869</v>
      </c>
      <c r="E123">
        <v>1</v>
      </c>
      <c r="F123" t="b">
        <f>$C$123*$E$123&gt;0</f>
        <v>0</v>
      </c>
    </row>
    <row r="124" spans="1:6" x14ac:dyDescent="0.45">
      <c r="A124" s="3">
        <v>42549</v>
      </c>
      <c r="B124">
        <v>4088.85</v>
      </c>
      <c r="C124">
        <v>2.6132325483346319E-2</v>
      </c>
      <c r="D124">
        <v>0.63415189499131497</v>
      </c>
      <c r="E124">
        <v>1</v>
      </c>
      <c r="F124" t="b">
        <f>$C$124*$E$124&gt;0</f>
        <v>1</v>
      </c>
    </row>
    <row r="125" spans="1:6" x14ac:dyDescent="0.45">
      <c r="A125" s="3">
        <v>42550</v>
      </c>
      <c r="B125">
        <v>4195.32</v>
      </c>
      <c r="C125">
        <v>2.6039106350196128E-2</v>
      </c>
      <c r="D125">
        <v>0.70633305003875646</v>
      </c>
      <c r="E125">
        <v>1</v>
      </c>
      <c r="F125" t="b">
        <f>$C$125*$E$125&gt;0</f>
        <v>1</v>
      </c>
    </row>
    <row r="126" spans="1:6" x14ac:dyDescent="0.45">
      <c r="A126" s="3">
        <v>42551</v>
      </c>
      <c r="B126">
        <v>4237.4799999999996</v>
      </c>
      <c r="C126">
        <v>1.0049293021747951E-2</v>
      </c>
      <c r="D126">
        <v>0.75327910799040099</v>
      </c>
      <c r="E126">
        <v>1</v>
      </c>
      <c r="F126" t="b">
        <f>$C$126*$E$126&gt;0</f>
        <v>1</v>
      </c>
    </row>
    <row r="127" spans="1:6" x14ac:dyDescent="0.45">
      <c r="A127" s="3">
        <v>42552</v>
      </c>
      <c r="B127">
        <v>4273.96</v>
      </c>
      <c r="C127">
        <v>8.6088901894523229E-3</v>
      </c>
      <c r="D127">
        <v>0.7855369833780188</v>
      </c>
      <c r="E127">
        <v>1</v>
      </c>
      <c r="F127" t="b">
        <f>$C$127*$E$127&gt;0</f>
        <v>1</v>
      </c>
    </row>
    <row r="128" spans="1:6" x14ac:dyDescent="0.45">
      <c r="A128" s="3">
        <v>42555</v>
      </c>
      <c r="B128">
        <v>4234.8599999999997</v>
      </c>
      <c r="C128">
        <v>-9.1484244120207947E-3</v>
      </c>
      <c r="D128">
        <v>0.80899513052276129</v>
      </c>
      <c r="E128">
        <v>1</v>
      </c>
      <c r="F128" t="b">
        <f>$C$128*$E$128&gt;0</f>
        <v>0</v>
      </c>
    </row>
    <row r="129" spans="1:6" x14ac:dyDescent="0.45">
      <c r="A129" s="3">
        <v>42556</v>
      </c>
      <c r="B129">
        <v>4163.42</v>
      </c>
      <c r="C129">
        <v>-1.686950690223521E-2</v>
      </c>
      <c r="D129">
        <v>0.71958790622076241</v>
      </c>
      <c r="E129">
        <v>1</v>
      </c>
      <c r="F129" t="b">
        <f>$C$129*$E$129&gt;0</f>
        <v>0</v>
      </c>
    </row>
    <row r="130" spans="1:6" x14ac:dyDescent="0.45">
      <c r="A130" s="3">
        <v>42557</v>
      </c>
      <c r="B130">
        <v>4085.3</v>
      </c>
      <c r="C130">
        <v>-1.8763420457220237E-2</v>
      </c>
      <c r="D130">
        <v>0.59476153974973189</v>
      </c>
      <c r="E130">
        <v>1</v>
      </c>
      <c r="F130" t="b">
        <f>$C$130*$E$130&gt;0</f>
        <v>0</v>
      </c>
    </row>
    <row r="131" spans="1:6" x14ac:dyDescent="0.45">
      <c r="A131" s="3">
        <v>42558</v>
      </c>
      <c r="B131">
        <v>4117.8500000000004</v>
      </c>
      <c r="C131">
        <v>7.9675911193792803E-3</v>
      </c>
      <c r="D131">
        <v>0.46055321467005933</v>
      </c>
      <c r="E131">
        <v>-1</v>
      </c>
      <c r="F131" t="b">
        <f>$C$131*$E$131&gt;0</f>
        <v>0</v>
      </c>
    </row>
    <row r="132" spans="1:6" x14ac:dyDescent="0.45">
      <c r="A132" s="3">
        <v>42559</v>
      </c>
      <c r="B132">
        <v>4190.68</v>
      </c>
      <c r="C132">
        <v>1.7686414026737207E-2</v>
      </c>
      <c r="D132">
        <v>0.58709325885275221</v>
      </c>
      <c r="E132">
        <v>1</v>
      </c>
      <c r="F132" t="b">
        <f>$C$132*$E$132&gt;0</f>
        <v>1</v>
      </c>
    </row>
    <row r="133" spans="1:6" x14ac:dyDescent="0.45">
      <c r="A133" s="3">
        <v>42562</v>
      </c>
      <c r="B133">
        <v>4264.53</v>
      </c>
      <c r="C133">
        <v>1.7622438363224857E-2</v>
      </c>
      <c r="D133">
        <v>0.67651050804957602</v>
      </c>
      <c r="E133">
        <v>1</v>
      </c>
      <c r="F133" t="b">
        <f>$C$133*$E$133&gt;0</f>
        <v>1</v>
      </c>
    </row>
    <row r="134" spans="1:6" x14ac:dyDescent="0.45">
      <c r="A134" s="3">
        <v>42563</v>
      </c>
      <c r="B134">
        <v>4331.38</v>
      </c>
      <c r="C134">
        <v>1.5675818906186745E-2</v>
      </c>
      <c r="D134">
        <v>0.73393636236635984</v>
      </c>
      <c r="E134">
        <v>1</v>
      </c>
      <c r="F134" t="b">
        <f>$C$134*$E$134&gt;0</f>
        <v>1</v>
      </c>
    </row>
    <row r="135" spans="1:6" x14ac:dyDescent="0.45">
      <c r="A135" s="3">
        <v>42564</v>
      </c>
      <c r="B135">
        <v>4335.26</v>
      </c>
      <c r="C135">
        <v>8.9578840923687508E-4</v>
      </c>
      <c r="D135">
        <v>0.77221293932993351</v>
      </c>
      <c r="E135">
        <v>1</v>
      </c>
      <c r="F135" t="b">
        <f>$C$135*$E$135&gt;0</f>
        <v>1</v>
      </c>
    </row>
    <row r="136" spans="1:6" x14ac:dyDescent="0.45">
      <c r="A136" s="3">
        <v>42565</v>
      </c>
      <c r="B136">
        <v>4385.5200000000004</v>
      </c>
      <c r="C136">
        <v>1.1593306975821616E-2</v>
      </c>
      <c r="D136">
        <v>0.7993052331103957</v>
      </c>
      <c r="E136">
        <v>1</v>
      </c>
      <c r="F136" t="b">
        <f>$C$136*$E$136&gt;0</f>
        <v>1</v>
      </c>
    </row>
    <row r="137" spans="1:6" x14ac:dyDescent="0.45">
      <c r="A137" s="3">
        <v>42566</v>
      </c>
      <c r="B137">
        <v>4372.51</v>
      </c>
      <c r="C137">
        <v>-2.9665809299695978E-3</v>
      </c>
      <c r="D137">
        <v>0.81949986690645504</v>
      </c>
      <c r="E137">
        <v>1</v>
      </c>
      <c r="F137" t="b">
        <f>$C$137*$E$137&gt;0</f>
        <v>0</v>
      </c>
    </row>
    <row r="138" spans="1:6" x14ac:dyDescent="0.45">
      <c r="A138" s="3">
        <v>42569</v>
      </c>
      <c r="B138">
        <v>4357.74</v>
      </c>
      <c r="C138">
        <v>-3.377922520474641E-3</v>
      </c>
      <c r="D138">
        <v>0.73515280518366277</v>
      </c>
      <c r="E138">
        <v>1</v>
      </c>
      <c r="F138" t="b">
        <f>$C$138*$E$138&gt;0</f>
        <v>0</v>
      </c>
    </row>
    <row r="139" spans="1:6" x14ac:dyDescent="0.45">
      <c r="A139" s="3">
        <v>42570</v>
      </c>
      <c r="B139">
        <v>4330.13</v>
      </c>
      <c r="C139">
        <v>-6.3358529880166436E-3</v>
      </c>
      <c r="D139">
        <v>0.61416443049954272</v>
      </c>
      <c r="E139">
        <v>1</v>
      </c>
      <c r="F139" t="b">
        <f>$C$139*$E$139&gt;0</f>
        <v>0</v>
      </c>
    </row>
    <row r="140" spans="1:6" x14ac:dyDescent="0.45">
      <c r="A140" s="3">
        <v>42571</v>
      </c>
      <c r="B140">
        <v>4379.76</v>
      </c>
      <c r="C140">
        <v>1.1461549653243752E-2</v>
      </c>
      <c r="D140">
        <v>0.47787143525743325</v>
      </c>
      <c r="E140">
        <v>-1</v>
      </c>
      <c r="F140" t="b">
        <f>$C$140*$E$140&gt;0</f>
        <v>0</v>
      </c>
    </row>
    <row r="141" spans="1:6" x14ac:dyDescent="0.45">
      <c r="A141" s="3">
        <v>42572</v>
      </c>
      <c r="B141">
        <v>4376.25</v>
      </c>
      <c r="C141">
        <v>-8.0141377609732611E-4</v>
      </c>
      <c r="D141">
        <v>0.60109641044471329</v>
      </c>
      <c r="E141">
        <v>1</v>
      </c>
      <c r="F141" t="b">
        <f>$C$141*$E$141&gt;0</f>
        <v>0</v>
      </c>
    </row>
    <row r="142" spans="1:6" x14ac:dyDescent="0.45">
      <c r="A142" s="3">
        <v>42573</v>
      </c>
      <c r="B142">
        <v>4381.1000000000004</v>
      </c>
      <c r="C142">
        <v>1.1082547843475066E-3</v>
      </c>
      <c r="D142">
        <v>0.46497894573161386</v>
      </c>
      <c r="E142">
        <v>-1</v>
      </c>
      <c r="F142" t="b">
        <f>$C$142*$E$142&gt;0</f>
        <v>0</v>
      </c>
    </row>
    <row r="143" spans="1:6" x14ac:dyDescent="0.45">
      <c r="A143" s="3">
        <v>42576</v>
      </c>
      <c r="B143">
        <v>4388</v>
      </c>
      <c r="C143">
        <v>1.5749469311359121E-3</v>
      </c>
      <c r="D143">
        <v>0.5918196317336295</v>
      </c>
      <c r="E143">
        <v>1</v>
      </c>
      <c r="F143" t="b">
        <f>$C$143*$E$143&gt;0</f>
        <v>1</v>
      </c>
    </row>
    <row r="144" spans="1:6" x14ac:dyDescent="0.45">
      <c r="A144" s="3">
        <v>42577</v>
      </c>
      <c r="B144">
        <v>4394.7700000000004</v>
      </c>
      <c r="C144">
        <v>1.542844120328235E-3</v>
      </c>
      <c r="D144">
        <v>0.68040309498437745</v>
      </c>
      <c r="E144">
        <v>1</v>
      </c>
      <c r="F144" t="b">
        <f>$C$144*$E$144&gt;0</f>
        <v>1</v>
      </c>
    </row>
    <row r="145" spans="1:6" x14ac:dyDescent="0.45">
      <c r="A145" s="3">
        <v>42578</v>
      </c>
      <c r="B145">
        <v>4446.96</v>
      </c>
      <c r="C145">
        <v>1.1875479262851041E-2</v>
      </c>
      <c r="D145">
        <v>0.73699689362031806</v>
      </c>
      <c r="E145">
        <v>1</v>
      </c>
      <c r="F145" t="b">
        <f>$C$145*$E$145&gt;0</f>
        <v>1</v>
      </c>
    </row>
    <row r="146" spans="1:6" x14ac:dyDescent="0.45">
      <c r="A146" s="3">
        <v>42579</v>
      </c>
      <c r="B146">
        <v>4420.58</v>
      </c>
      <c r="C146">
        <v>-5.9321424073974782E-3</v>
      </c>
      <c r="D146">
        <v>0.77467773105474025</v>
      </c>
      <c r="E146">
        <v>1</v>
      </c>
      <c r="F146" t="b">
        <f>$C$146*$E$146&gt;0</f>
        <v>0</v>
      </c>
    </row>
    <row r="147" spans="1:6" x14ac:dyDescent="0.45">
      <c r="A147" s="3">
        <v>42580</v>
      </c>
      <c r="B147">
        <v>4439.8100000000004</v>
      </c>
      <c r="C147">
        <v>4.3501079043928303E-3</v>
      </c>
      <c r="D147">
        <v>0.66704385037992564</v>
      </c>
      <c r="E147">
        <v>1</v>
      </c>
      <c r="F147" t="b">
        <f>$C$147*$E$147&gt;0</f>
        <v>1</v>
      </c>
    </row>
    <row r="148" spans="1:6" x14ac:dyDescent="0.45">
      <c r="A148" s="3">
        <v>42583</v>
      </c>
      <c r="B148">
        <v>4409.17</v>
      </c>
      <c r="C148">
        <v>-6.9011962223609613E-3</v>
      </c>
      <c r="D148">
        <v>0.72836354413466031</v>
      </c>
      <c r="E148">
        <v>1</v>
      </c>
      <c r="F148" t="b">
        <f>$C$148*$E$148&gt;0</f>
        <v>0</v>
      </c>
    </row>
    <row r="149" spans="1:6" x14ac:dyDescent="0.45">
      <c r="A149" s="3">
        <v>42584</v>
      </c>
      <c r="B149">
        <v>4327.99</v>
      </c>
      <c r="C149">
        <v>-1.8411628492437382E-2</v>
      </c>
      <c r="D149">
        <v>0.60367525394916988</v>
      </c>
      <c r="E149">
        <v>1</v>
      </c>
      <c r="F149" t="b">
        <f>$C$149*$E$149&gt;0</f>
        <v>0</v>
      </c>
    </row>
    <row r="150" spans="1:6" x14ac:dyDescent="0.45">
      <c r="A150" s="3">
        <v>42585</v>
      </c>
      <c r="B150">
        <v>4321.08</v>
      </c>
      <c r="C150">
        <v>-1.5965840956193578E-3</v>
      </c>
      <c r="D150">
        <v>0.46632433246143307</v>
      </c>
      <c r="E150">
        <v>-1</v>
      </c>
      <c r="F150" t="b">
        <f>$C$150*$E$150&gt;0</f>
        <v>1</v>
      </c>
    </row>
    <row r="151" spans="1:6" x14ac:dyDescent="0.45">
      <c r="A151" s="3">
        <v>42586</v>
      </c>
      <c r="B151">
        <v>4345.63</v>
      </c>
      <c r="C151">
        <v>5.6814500078683494E-3</v>
      </c>
      <c r="D151">
        <v>0.35880132452999092</v>
      </c>
      <c r="E151">
        <v>-1</v>
      </c>
      <c r="F151" t="b">
        <f>$C$151*$E$151&gt;0</f>
        <v>0</v>
      </c>
    </row>
    <row r="152" spans="1:6" x14ac:dyDescent="0.45">
      <c r="A152" s="3">
        <v>42587</v>
      </c>
      <c r="B152">
        <v>4410.55</v>
      </c>
      <c r="C152">
        <v>1.4939145762524753E-2</v>
      </c>
      <c r="D152">
        <v>0.49749773560551486</v>
      </c>
      <c r="E152">
        <v>-1</v>
      </c>
      <c r="F152" t="b">
        <f>$C$152*$E$152&gt;0</f>
        <v>0</v>
      </c>
    </row>
    <row r="153" spans="1:6" x14ac:dyDescent="0.45">
      <c r="A153" s="3">
        <v>42590</v>
      </c>
      <c r="B153">
        <v>4415.46</v>
      </c>
      <c r="C153">
        <v>1.113239845370817E-3</v>
      </c>
      <c r="D153">
        <v>0.61781750827191306</v>
      </c>
      <c r="E153">
        <v>1</v>
      </c>
      <c r="F153" t="b">
        <f>$C$153*$E$153&gt;0</f>
        <v>1</v>
      </c>
    </row>
    <row r="154" spans="1:6" x14ac:dyDescent="0.45">
      <c r="A154" s="3">
        <v>42591</v>
      </c>
      <c r="B154">
        <v>4468.07</v>
      </c>
      <c r="C154">
        <v>1.1914953368391989E-2</v>
      </c>
      <c r="D154">
        <v>0.69792187760242053</v>
      </c>
      <c r="E154">
        <v>1</v>
      </c>
      <c r="F154" t="b">
        <f>$C$154*$E$154&gt;0</f>
        <v>1</v>
      </c>
    </row>
    <row r="155" spans="1:6" x14ac:dyDescent="0.45">
      <c r="A155" s="3">
        <v>42592</v>
      </c>
      <c r="B155">
        <v>4452.01</v>
      </c>
      <c r="C155">
        <v>-3.5943931048527666E-3</v>
      </c>
      <c r="D155">
        <v>0.74899406814411462</v>
      </c>
      <c r="E155">
        <v>1</v>
      </c>
      <c r="F155" t="b">
        <f>$C$155*$E$155&gt;0</f>
        <v>0</v>
      </c>
    </row>
    <row r="156" spans="1:6" x14ac:dyDescent="0.45">
      <c r="A156" s="3">
        <v>42593</v>
      </c>
      <c r="B156">
        <v>4503.95</v>
      </c>
      <c r="C156">
        <v>1.1666640461274635E-2</v>
      </c>
      <c r="D156">
        <v>0.62953374240305826</v>
      </c>
      <c r="E156">
        <v>1</v>
      </c>
      <c r="F156" t="b">
        <f>$C$156*$E$156&gt;0</f>
        <v>1</v>
      </c>
    </row>
    <row r="157" spans="1:6" x14ac:dyDescent="0.45">
      <c r="A157" s="3">
        <v>42594</v>
      </c>
      <c r="B157">
        <v>4500.1899999999996</v>
      </c>
      <c r="C157">
        <v>-8.3482276668267463E-4</v>
      </c>
      <c r="D157">
        <v>0.70540489646068205</v>
      </c>
      <c r="E157">
        <v>1</v>
      </c>
      <c r="F157" t="b">
        <f>$C$157*$E$157&gt;0</f>
        <v>0</v>
      </c>
    </row>
    <row r="158" spans="1:6" x14ac:dyDescent="0.45">
      <c r="A158" s="3">
        <v>42597</v>
      </c>
      <c r="B158">
        <v>4497.8599999999997</v>
      </c>
      <c r="C158">
        <v>-5.1775591697234002E-4</v>
      </c>
      <c r="D158">
        <v>0.57291325772439783</v>
      </c>
      <c r="E158">
        <v>1</v>
      </c>
      <c r="F158" t="b">
        <f>$C$158*$E$158&gt;0</f>
        <v>0</v>
      </c>
    </row>
    <row r="159" spans="1:6" x14ac:dyDescent="0.45">
      <c r="A159" s="3">
        <v>42598</v>
      </c>
      <c r="B159">
        <v>4460.4399999999996</v>
      </c>
      <c r="C159">
        <v>-8.3195119456808131E-3</v>
      </c>
      <c r="D159">
        <v>0.43727365667345236</v>
      </c>
      <c r="E159">
        <v>-1</v>
      </c>
      <c r="F159" t="b">
        <f>$C$159*$E$159&gt;0</f>
        <v>1</v>
      </c>
    </row>
    <row r="160" spans="1:6" x14ac:dyDescent="0.45">
      <c r="A160" s="3">
        <v>42599</v>
      </c>
      <c r="B160">
        <v>4417.68</v>
      </c>
      <c r="C160">
        <v>-9.5864981930032789E-3</v>
      </c>
      <c r="D160">
        <v>0.33815389693234932</v>
      </c>
      <c r="E160">
        <v>-1</v>
      </c>
      <c r="F160" t="b">
        <f>$C$160*$E$160&gt;0</f>
        <v>1</v>
      </c>
    </row>
    <row r="161" spans="1:6" x14ac:dyDescent="0.45">
      <c r="A161" s="3">
        <v>42600</v>
      </c>
      <c r="B161">
        <v>4437.0600000000004</v>
      </c>
      <c r="C161">
        <v>4.386918020318431E-3</v>
      </c>
      <c r="D161">
        <v>0.27525581549403721</v>
      </c>
      <c r="E161">
        <v>-1</v>
      </c>
      <c r="F161" t="b">
        <f>$C$161*$E$161&gt;0</f>
        <v>0</v>
      </c>
    </row>
    <row r="162" spans="1:6" x14ac:dyDescent="0.45">
      <c r="A162" s="3">
        <v>42601</v>
      </c>
      <c r="B162">
        <v>4400.5200000000004</v>
      </c>
      <c r="C162">
        <v>-8.2351827561493174E-3</v>
      </c>
      <c r="D162">
        <v>0.40136154388531819</v>
      </c>
      <c r="E162">
        <v>-1</v>
      </c>
      <c r="F162" t="b">
        <f>$C$162*$E$162&gt;0</f>
        <v>1</v>
      </c>
    </row>
    <row r="163" spans="1:6" x14ac:dyDescent="0.45">
      <c r="A163" s="3">
        <v>42604</v>
      </c>
      <c r="B163">
        <v>4389.9399999999996</v>
      </c>
      <c r="C163">
        <v>-2.4042613145720537E-3</v>
      </c>
      <c r="D163">
        <v>0.31484374750483912</v>
      </c>
      <c r="E163">
        <v>-1</v>
      </c>
      <c r="F163" t="b">
        <f>$C$163*$E$163&gt;0</f>
        <v>1</v>
      </c>
    </row>
    <row r="164" spans="1:6" x14ac:dyDescent="0.45">
      <c r="A164" s="3">
        <v>42605</v>
      </c>
      <c r="B164">
        <v>4421.45</v>
      </c>
      <c r="C164">
        <v>7.1777746392889252E-3</v>
      </c>
      <c r="D164">
        <v>0.26012646338646689</v>
      </c>
      <c r="E164">
        <v>-1</v>
      </c>
      <c r="F164" t="b">
        <f>$C$164*$E$164&gt;0</f>
        <v>0</v>
      </c>
    </row>
    <row r="165" spans="1:6" x14ac:dyDescent="0.45">
      <c r="A165" s="3">
        <v>42606</v>
      </c>
      <c r="B165">
        <v>4435.47</v>
      </c>
      <c r="C165">
        <v>3.1709054721869023E-3</v>
      </c>
      <c r="D165">
        <v>0.38158517237059641</v>
      </c>
      <c r="E165">
        <v>-1</v>
      </c>
      <c r="F165" t="b">
        <f>$C$165*$E$165&gt;0</f>
        <v>0</v>
      </c>
    </row>
    <row r="166" spans="1:6" x14ac:dyDescent="0.45">
      <c r="A166" s="3">
        <v>42607</v>
      </c>
      <c r="B166">
        <v>4406.6099999999997</v>
      </c>
      <c r="C166">
        <v>-6.5066385298515605E-3</v>
      </c>
      <c r="D166">
        <v>0.52336773617297105</v>
      </c>
      <c r="E166">
        <v>1</v>
      </c>
      <c r="F166" t="b">
        <f>$C$166*$E$166&gt;0</f>
        <v>0</v>
      </c>
    </row>
    <row r="167" spans="1:6" x14ac:dyDescent="0.45">
      <c r="A167" s="3">
        <v>42608</v>
      </c>
      <c r="B167">
        <v>4441.87</v>
      </c>
      <c r="C167">
        <v>8.0016157545141908E-3</v>
      </c>
      <c r="D167">
        <v>0.39622806487372897</v>
      </c>
      <c r="E167">
        <v>-1</v>
      </c>
      <c r="F167" t="b">
        <f>$C$167*$E$167&gt;0</f>
        <v>0</v>
      </c>
    </row>
    <row r="168" spans="1:6" x14ac:dyDescent="0.45">
      <c r="A168" s="3">
        <v>42611</v>
      </c>
      <c r="B168">
        <v>4424.25</v>
      </c>
      <c r="C168">
        <v>-3.9667977676068888E-3</v>
      </c>
      <c r="D168">
        <v>0.53817365797256056</v>
      </c>
      <c r="E168">
        <v>1</v>
      </c>
      <c r="F168" t="b">
        <f>$C$168*$E$168&gt;0</f>
        <v>0</v>
      </c>
    </row>
    <row r="169" spans="1:6" x14ac:dyDescent="0.45">
      <c r="A169" s="3">
        <v>42612</v>
      </c>
      <c r="B169">
        <v>4457.49</v>
      </c>
      <c r="C169">
        <v>7.5131378199695398E-3</v>
      </c>
      <c r="D169">
        <v>0.40666046527060151</v>
      </c>
      <c r="E169">
        <v>-1</v>
      </c>
      <c r="F169" t="b">
        <f>$C$169*$E$169&gt;0</f>
        <v>0</v>
      </c>
    </row>
    <row r="170" spans="1:6" x14ac:dyDescent="0.45">
      <c r="A170" s="3">
        <v>42613</v>
      </c>
      <c r="B170">
        <v>4438.22</v>
      </c>
      <c r="C170">
        <v>-4.3230607359746598E-3</v>
      </c>
      <c r="D170">
        <v>0.54861493626382607</v>
      </c>
      <c r="E170">
        <v>1</v>
      </c>
      <c r="F170" t="b">
        <f>$C$170*$E$170&gt;0</f>
        <v>0</v>
      </c>
    </row>
    <row r="171" spans="1:6" x14ac:dyDescent="0.45">
      <c r="A171" s="3">
        <v>42614</v>
      </c>
      <c r="B171">
        <v>4439.67</v>
      </c>
      <c r="C171">
        <v>3.2670755392927298E-4</v>
      </c>
      <c r="D171">
        <v>0.413981577488923</v>
      </c>
      <c r="E171">
        <v>-1</v>
      </c>
      <c r="F171" t="b">
        <f>$C$171*$E$171&gt;0</f>
        <v>0</v>
      </c>
    </row>
    <row r="172" spans="1:6" x14ac:dyDescent="0.45">
      <c r="A172" s="3">
        <v>42615</v>
      </c>
      <c r="B172">
        <v>4542.17</v>
      </c>
      <c r="C172">
        <v>2.3087301533672555E-2</v>
      </c>
      <c r="D172">
        <v>0.55602801511379885</v>
      </c>
      <c r="E172">
        <v>1</v>
      </c>
      <c r="F172" t="b">
        <f>$C$172*$E$172&gt;0</f>
        <v>1</v>
      </c>
    </row>
    <row r="173" spans="1:6" x14ac:dyDescent="0.45">
      <c r="A173" s="3">
        <v>42618</v>
      </c>
      <c r="B173">
        <v>4541.08</v>
      </c>
      <c r="C173">
        <v>-2.3997340478232321E-4</v>
      </c>
      <c r="D173">
        <v>0.66186617473094633</v>
      </c>
      <c r="E173">
        <v>1</v>
      </c>
      <c r="F173" t="b">
        <f>$C$173*$E$173&gt;0</f>
        <v>0</v>
      </c>
    </row>
    <row r="174" spans="1:6" x14ac:dyDescent="0.45">
      <c r="A174" s="3">
        <v>42619</v>
      </c>
      <c r="B174">
        <v>4529.96</v>
      </c>
      <c r="C174">
        <v>-2.4487566834321406E-3</v>
      </c>
      <c r="D174">
        <v>0.51753553464552504</v>
      </c>
      <c r="E174">
        <v>1</v>
      </c>
      <c r="F174" t="b">
        <f>$C$174*$E$174&gt;0</f>
        <v>0</v>
      </c>
    </row>
    <row r="175" spans="1:6" x14ac:dyDescent="0.45">
      <c r="A175" s="3">
        <v>42620</v>
      </c>
      <c r="B175">
        <v>4557.66</v>
      </c>
      <c r="C175">
        <v>6.114844281185583E-3</v>
      </c>
      <c r="D175">
        <v>0.38912405774635345</v>
      </c>
      <c r="E175">
        <v>-1</v>
      </c>
      <c r="F175" t="b">
        <f>$C$175*$E$175&gt;0</f>
        <v>0</v>
      </c>
    </row>
    <row r="176" spans="1:6" x14ac:dyDescent="0.45">
      <c r="A176" s="3">
        <v>42621</v>
      </c>
      <c r="B176">
        <v>4542.2</v>
      </c>
      <c r="C176">
        <v>-3.392091555754484E-3</v>
      </c>
      <c r="D176">
        <v>0.53481178086573233</v>
      </c>
      <c r="E176">
        <v>1</v>
      </c>
      <c r="F176" t="b">
        <f>$C$176*$E$176&gt;0</f>
        <v>0</v>
      </c>
    </row>
    <row r="177" spans="1:6" x14ac:dyDescent="0.45">
      <c r="A177" s="3">
        <v>42622</v>
      </c>
      <c r="B177">
        <v>4491.3999999999996</v>
      </c>
      <c r="C177">
        <v>-1.1184007749548752E-2</v>
      </c>
      <c r="D177">
        <v>0.40116842428612853</v>
      </c>
      <c r="E177">
        <v>-1</v>
      </c>
      <c r="F177" t="b">
        <f>$C$177*$E$177&gt;0</f>
        <v>1</v>
      </c>
    </row>
    <row r="178" spans="1:6" x14ac:dyDescent="0.45">
      <c r="A178" s="3">
        <v>42625</v>
      </c>
      <c r="B178">
        <v>4439.8</v>
      </c>
      <c r="C178">
        <v>-1.1488622701162132E-2</v>
      </c>
      <c r="D178">
        <v>0.311527129919344</v>
      </c>
      <c r="E178">
        <v>-1</v>
      </c>
      <c r="F178" t="b">
        <f>$C$178*$E$178&gt;0</f>
        <v>1</v>
      </c>
    </row>
    <row r="179" spans="1:6" x14ac:dyDescent="0.45">
      <c r="A179" s="3">
        <v>42626</v>
      </c>
      <c r="B179">
        <v>4387.18</v>
      </c>
      <c r="C179">
        <v>-1.1851885220054981E-2</v>
      </c>
      <c r="D179">
        <v>0.25601785102603425</v>
      </c>
      <c r="E179">
        <v>-1</v>
      </c>
      <c r="F179" t="b">
        <f>$C$179*$E$179&gt;0</f>
        <v>1</v>
      </c>
    </row>
    <row r="180" spans="1:6" x14ac:dyDescent="0.45">
      <c r="A180" s="3">
        <v>42627</v>
      </c>
      <c r="B180">
        <v>4370.26</v>
      </c>
      <c r="C180">
        <v>-3.8566915421751613E-3</v>
      </c>
      <c r="D180">
        <v>0.21960119278581514</v>
      </c>
      <c r="E180">
        <v>-1</v>
      </c>
      <c r="F180" t="b">
        <f>$C$180*$E$180&gt;0</f>
        <v>1</v>
      </c>
    </row>
    <row r="181" spans="1:6" x14ac:dyDescent="0.45">
      <c r="A181" s="3">
        <v>42628</v>
      </c>
      <c r="B181">
        <v>4373.22</v>
      </c>
      <c r="C181">
        <v>6.7730524042053375E-4</v>
      </c>
      <c r="D181">
        <v>0.19397958271357876</v>
      </c>
      <c r="E181">
        <v>-1</v>
      </c>
      <c r="F181" t="b">
        <f>$C$181*$E$181&gt;0</f>
        <v>0</v>
      </c>
    </row>
    <row r="182" spans="1:6" x14ac:dyDescent="0.45">
      <c r="A182" s="3">
        <v>42629</v>
      </c>
      <c r="B182">
        <v>4332.45</v>
      </c>
      <c r="C182">
        <v>-9.3226501296528319E-3</v>
      </c>
      <c r="D182">
        <v>0.28862887013496669</v>
      </c>
      <c r="E182">
        <v>-1</v>
      </c>
      <c r="F182" t="b">
        <f>$C$182*$E$182&gt;0</f>
        <v>1</v>
      </c>
    </row>
    <row r="183" spans="1:6" x14ac:dyDescent="0.45">
      <c r="A183" s="3">
        <v>42632</v>
      </c>
      <c r="B183">
        <v>4394.1899999999996</v>
      </c>
      <c r="C183">
        <v>1.4250597237128959E-2</v>
      </c>
      <c r="D183">
        <v>0.24134233736652491</v>
      </c>
      <c r="E183">
        <v>-1</v>
      </c>
      <c r="F183" t="b">
        <f>$C$183*$E$183&gt;0</f>
        <v>0</v>
      </c>
    </row>
    <row r="184" spans="1:6" x14ac:dyDescent="0.45">
      <c r="A184" s="3">
        <v>42633</v>
      </c>
      <c r="B184">
        <v>4388.6000000000004</v>
      </c>
      <c r="C184">
        <v>-1.2721343410274644E-3</v>
      </c>
      <c r="D184">
        <v>0.36017243579083924</v>
      </c>
      <c r="E184">
        <v>-1</v>
      </c>
      <c r="F184" t="b">
        <f>$C$184*$E$184&gt;0</f>
        <v>1</v>
      </c>
    </row>
    <row r="185" spans="1:6" x14ac:dyDescent="0.45">
      <c r="A185" s="3">
        <v>42634</v>
      </c>
      <c r="B185">
        <v>4409.55</v>
      </c>
      <c r="C185">
        <v>4.7737319418492685E-3</v>
      </c>
      <c r="D185">
        <v>0.28620970717956645</v>
      </c>
      <c r="E185">
        <v>-1</v>
      </c>
      <c r="F185" t="b">
        <f>$C$185*$E$185&gt;0</f>
        <v>0</v>
      </c>
    </row>
    <row r="186" spans="1:6" x14ac:dyDescent="0.45">
      <c r="A186" s="3">
        <v>42635</v>
      </c>
      <c r="B186">
        <v>4509.82</v>
      </c>
      <c r="C186">
        <v>2.2739281786123167E-2</v>
      </c>
      <c r="D186">
        <v>0.42178594764874705</v>
      </c>
      <c r="E186">
        <v>-1</v>
      </c>
      <c r="F186" t="b">
        <f>$C$186*$E$186&gt;0</f>
        <v>0</v>
      </c>
    </row>
    <row r="187" spans="1:6" x14ac:dyDescent="0.45">
      <c r="A187" s="3">
        <v>42636</v>
      </c>
      <c r="B187">
        <v>4488.6899999999996</v>
      </c>
      <c r="C187">
        <v>-4.685331121862979E-3</v>
      </c>
      <c r="D187">
        <v>0.5659376259824046</v>
      </c>
      <c r="E187">
        <v>1</v>
      </c>
      <c r="F187" t="b">
        <f>$C$187*$E$187&gt;0</f>
        <v>0</v>
      </c>
    </row>
    <row r="188" spans="1:6" x14ac:dyDescent="0.45">
      <c r="A188" s="3">
        <v>42639</v>
      </c>
      <c r="B188">
        <v>4407.8500000000004</v>
      </c>
      <c r="C188">
        <v>-1.8009708846010608E-2</v>
      </c>
      <c r="D188">
        <v>0.42407098690113848</v>
      </c>
      <c r="E188">
        <v>-1</v>
      </c>
      <c r="F188" t="b">
        <f>$C$188*$E$188&gt;0</f>
        <v>1</v>
      </c>
    </row>
    <row r="189" spans="1:6" x14ac:dyDescent="0.45">
      <c r="A189" s="3">
        <v>42640</v>
      </c>
      <c r="B189">
        <v>4398.68</v>
      </c>
      <c r="C189">
        <v>-2.08037932325289E-3</v>
      </c>
      <c r="D189">
        <v>0.32464232373957175</v>
      </c>
      <c r="E189">
        <v>-1</v>
      </c>
      <c r="F189" t="b">
        <f>$C$189*$E$189&gt;0</f>
        <v>1</v>
      </c>
    </row>
    <row r="190" spans="1:6" x14ac:dyDescent="0.45">
      <c r="A190" s="3">
        <v>42641</v>
      </c>
      <c r="B190">
        <v>4432.45</v>
      </c>
      <c r="C190">
        <v>7.6773031909571632E-3</v>
      </c>
      <c r="D190">
        <v>0.2636004081295919</v>
      </c>
      <c r="E190">
        <v>-1</v>
      </c>
      <c r="F190" t="b">
        <f>$C$190*$E$190&gt;0</f>
        <v>0</v>
      </c>
    </row>
    <row r="191" spans="1:6" x14ac:dyDescent="0.45">
      <c r="A191" s="3">
        <v>42642</v>
      </c>
      <c r="B191">
        <v>4443.84</v>
      </c>
      <c r="C191">
        <v>2.5696849372243147E-3</v>
      </c>
      <c r="D191">
        <v>0.39322786390927122</v>
      </c>
      <c r="E191">
        <v>-1</v>
      </c>
      <c r="F191" t="b">
        <f>$C$191*$E$191&gt;0</f>
        <v>0</v>
      </c>
    </row>
    <row r="192" spans="1:6" x14ac:dyDescent="0.45">
      <c r="A192" s="3">
        <v>42643</v>
      </c>
      <c r="B192">
        <v>4448.26</v>
      </c>
      <c r="C192">
        <v>9.9463527039689303E-4</v>
      </c>
      <c r="D192">
        <v>0.54189293857588283</v>
      </c>
      <c r="E192">
        <v>1</v>
      </c>
      <c r="F192" t="b">
        <f>$C$192*$E$192&gt;0</f>
        <v>1</v>
      </c>
    </row>
    <row r="193" spans="1:6" x14ac:dyDescent="0.45">
      <c r="A193" s="3">
        <v>42646</v>
      </c>
      <c r="B193">
        <v>4453.5600000000004</v>
      </c>
      <c r="C193">
        <v>1.1914771168952676E-3</v>
      </c>
      <c r="D193">
        <v>0.65601546297715629</v>
      </c>
      <c r="E193">
        <v>1</v>
      </c>
      <c r="F193" t="b">
        <f>$C$193*$E$193&gt;0</f>
        <v>1</v>
      </c>
    </row>
    <row r="194" spans="1:6" x14ac:dyDescent="0.45">
      <c r="A194" s="3">
        <v>42647</v>
      </c>
      <c r="B194">
        <v>4503.09</v>
      </c>
      <c r="C194">
        <v>1.112143992671033E-2</v>
      </c>
      <c r="D194">
        <v>0.72632195808184241</v>
      </c>
      <c r="E194">
        <v>1</v>
      </c>
      <c r="F194" t="b">
        <f>$C$194*$E$194&gt;0</f>
        <v>1</v>
      </c>
    </row>
    <row r="195" spans="1:6" x14ac:dyDescent="0.45">
      <c r="A195" s="3">
        <v>42648</v>
      </c>
      <c r="B195">
        <v>4489.95</v>
      </c>
      <c r="C195">
        <v>-2.9179963092010874E-3</v>
      </c>
      <c r="D195">
        <v>0.77043523290917937</v>
      </c>
      <c r="E195">
        <v>1</v>
      </c>
      <c r="F195" t="b">
        <f>$C$195*$E$195&gt;0</f>
        <v>0</v>
      </c>
    </row>
    <row r="196" spans="1:6" x14ac:dyDescent="0.45">
      <c r="A196" s="3">
        <v>42649</v>
      </c>
      <c r="B196">
        <v>4480.1000000000004</v>
      </c>
      <c r="C196">
        <v>-2.1937883495360966E-3</v>
      </c>
      <c r="D196">
        <v>0.65146909926368457</v>
      </c>
      <c r="E196">
        <v>1</v>
      </c>
      <c r="F196" t="b">
        <f>$C$196*$E$196&gt;0</f>
        <v>0</v>
      </c>
    </row>
    <row r="197" spans="1:6" x14ac:dyDescent="0.45">
      <c r="A197" s="3">
        <v>42650</v>
      </c>
      <c r="B197">
        <v>4449.91</v>
      </c>
      <c r="C197">
        <v>-6.7386888685521118E-3</v>
      </c>
      <c r="D197">
        <v>0.50158916565809519</v>
      </c>
      <c r="E197">
        <v>1</v>
      </c>
      <c r="F197" t="b">
        <f>$C$197*$E$197&gt;0</f>
        <v>0</v>
      </c>
    </row>
    <row r="198" spans="1:6" x14ac:dyDescent="0.45">
      <c r="A198" s="3">
        <v>42653</v>
      </c>
      <c r="B198">
        <v>4497.26</v>
      </c>
      <c r="C198">
        <v>1.0640664642655784E-2</v>
      </c>
      <c r="D198">
        <v>0.37374870348853068</v>
      </c>
      <c r="E198">
        <v>-1</v>
      </c>
      <c r="F198" t="b">
        <f>$C$198*$E$198&gt;0</f>
        <v>0</v>
      </c>
    </row>
    <row r="199" spans="1:6" x14ac:dyDescent="0.45">
      <c r="A199" s="3">
        <v>42654</v>
      </c>
      <c r="B199">
        <v>4471.74</v>
      </c>
      <c r="C199">
        <v>-5.6745662914753359E-3</v>
      </c>
      <c r="D199">
        <v>0.52484140463052353</v>
      </c>
      <c r="E199">
        <v>1</v>
      </c>
      <c r="F199" t="b">
        <f>$C$199*$E$199&gt;0</f>
        <v>0</v>
      </c>
    </row>
    <row r="200" spans="1:6" x14ac:dyDescent="0.45">
      <c r="A200" s="3">
        <v>42655</v>
      </c>
      <c r="B200">
        <v>4452.24</v>
      </c>
      <c r="C200">
        <v>-4.3607186464329484E-3</v>
      </c>
      <c r="D200">
        <v>0.38953117396985298</v>
      </c>
      <c r="E200">
        <v>-1</v>
      </c>
      <c r="F200" t="b">
        <f>$C$200*$E$200&gt;0</f>
        <v>1</v>
      </c>
    </row>
    <row r="201" spans="1:6" x14ac:dyDescent="0.45">
      <c r="A201" s="3">
        <v>42656</v>
      </c>
      <c r="B201">
        <v>4405.17</v>
      </c>
      <c r="C201">
        <v>-1.0572206350061952E-2</v>
      </c>
      <c r="D201">
        <v>0.30173431308119503</v>
      </c>
      <c r="E201">
        <v>-1</v>
      </c>
      <c r="F201" t="b">
        <f>$C$201*$E$201&gt;0</f>
        <v>1</v>
      </c>
    </row>
    <row r="202" spans="1:6" x14ac:dyDescent="0.45">
      <c r="A202" s="3">
        <v>42657</v>
      </c>
      <c r="B202">
        <v>4470.92</v>
      </c>
      <c r="C202">
        <v>1.4925644186262854E-2</v>
      </c>
      <c r="D202">
        <v>0.24819862583725968</v>
      </c>
      <c r="E202">
        <v>-1</v>
      </c>
      <c r="F202" t="b">
        <f>$C$202*$E$202&gt;0</f>
        <v>0</v>
      </c>
    </row>
    <row r="203" spans="1:6" x14ac:dyDescent="0.45">
      <c r="A203" s="3">
        <v>42660</v>
      </c>
      <c r="B203">
        <v>4450.2299999999996</v>
      </c>
      <c r="C203">
        <v>-4.6276828930065239E-3</v>
      </c>
      <c r="D203">
        <v>0.37440395867059917</v>
      </c>
      <c r="E203">
        <v>-1</v>
      </c>
      <c r="F203" t="b">
        <f>$C$203*$E$203&gt;0</f>
        <v>1</v>
      </c>
    </row>
    <row r="204" spans="1:6" x14ac:dyDescent="0.45">
      <c r="A204" s="3">
        <v>42661</v>
      </c>
      <c r="B204">
        <v>4508.91</v>
      </c>
      <c r="C204">
        <v>1.3185835338847651E-2</v>
      </c>
      <c r="D204">
        <v>0.29243364319725784</v>
      </c>
      <c r="E204">
        <v>-1</v>
      </c>
      <c r="F204" t="b">
        <f>$C$204*$E$204&gt;0</f>
        <v>0</v>
      </c>
    </row>
    <row r="205" spans="1:6" x14ac:dyDescent="0.45">
      <c r="A205" s="3">
        <v>42662</v>
      </c>
      <c r="B205">
        <v>4520.3</v>
      </c>
      <c r="C205">
        <v>2.5261094144706231E-3</v>
      </c>
      <c r="D205">
        <v>0.43467946626711945</v>
      </c>
      <c r="E205">
        <v>-1</v>
      </c>
      <c r="F205" t="b">
        <f>$C$205*$E$205&gt;0</f>
        <v>0</v>
      </c>
    </row>
    <row r="206" spans="1:6" x14ac:dyDescent="0.45">
      <c r="A206" s="3">
        <v>42663</v>
      </c>
      <c r="B206">
        <v>4540.12</v>
      </c>
      <c r="C206">
        <v>4.3846647346414969E-3</v>
      </c>
      <c r="D206">
        <v>0.58145186036168683</v>
      </c>
      <c r="E206">
        <v>1</v>
      </c>
      <c r="F206" t="b">
        <f>$C$206*$E$206&gt;0</f>
        <v>1</v>
      </c>
    </row>
    <row r="207" spans="1:6" x14ac:dyDescent="0.45">
      <c r="A207" s="3">
        <v>42664</v>
      </c>
      <c r="B207">
        <v>4536.07</v>
      </c>
      <c r="C207">
        <v>-8.92046906249222E-4</v>
      </c>
      <c r="D207">
        <v>0.68294130884458915</v>
      </c>
      <c r="E207">
        <v>1</v>
      </c>
      <c r="F207" t="b">
        <f>$C$207*$E$207&gt;0</f>
        <v>0</v>
      </c>
    </row>
    <row r="208" spans="1:6" x14ac:dyDescent="0.45">
      <c r="A208" s="3">
        <v>42667</v>
      </c>
      <c r="B208">
        <v>4552.58</v>
      </c>
      <c r="C208">
        <v>3.6397145546696041E-3</v>
      </c>
      <c r="D208">
        <v>0.53317132764519626</v>
      </c>
      <c r="E208">
        <v>1</v>
      </c>
      <c r="F208" t="b">
        <f>$C$208*$E$208&gt;0</f>
        <v>1</v>
      </c>
    </row>
    <row r="209" spans="1:6" x14ac:dyDescent="0.45">
      <c r="A209" s="3">
        <v>42668</v>
      </c>
      <c r="B209">
        <v>4540.84</v>
      </c>
      <c r="C209">
        <v>-2.5787575396807316E-3</v>
      </c>
      <c r="D209">
        <v>0.65322340564976733</v>
      </c>
      <c r="E209">
        <v>1</v>
      </c>
      <c r="F209" t="b">
        <f>$C$209*$E$209&gt;0</f>
        <v>0</v>
      </c>
    </row>
    <row r="210" spans="1:6" x14ac:dyDescent="0.45">
      <c r="A210" s="3">
        <v>42669</v>
      </c>
      <c r="B210">
        <v>4534.59</v>
      </c>
      <c r="C210">
        <v>-1.3763973185577649E-3</v>
      </c>
      <c r="D210">
        <v>0.49949790820517104</v>
      </c>
      <c r="E210">
        <v>-1</v>
      </c>
      <c r="F210" t="b">
        <f>$C$210*$E$210&gt;0</f>
        <v>1</v>
      </c>
    </row>
    <row r="211" spans="1:6" x14ac:dyDescent="0.45">
      <c r="A211" s="3">
        <v>42670</v>
      </c>
      <c r="B211">
        <v>4533.57</v>
      </c>
      <c r="C211">
        <v>-2.2493764596143162E-4</v>
      </c>
      <c r="D211">
        <v>0.36909725458768106</v>
      </c>
      <c r="E211">
        <v>-1</v>
      </c>
      <c r="F211" t="b">
        <f>$C$211*$E$211&gt;0</f>
        <v>1</v>
      </c>
    </row>
    <row r="212" spans="1:6" x14ac:dyDescent="0.45">
      <c r="A212" s="3">
        <v>42671</v>
      </c>
      <c r="B212">
        <v>4548.58</v>
      </c>
      <c r="C212">
        <v>3.3108565655763922E-3</v>
      </c>
      <c r="D212">
        <v>0.28796046796455843</v>
      </c>
      <c r="E212">
        <v>-1</v>
      </c>
      <c r="F212" t="b">
        <f>$C$212*$E$212&gt;0</f>
        <v>0</v>
      </c>
    </row>
    <row r="213" spans="1:6" x14ac:dyDescent="0.45">
      <c r="A213" s="3">
        <v>42674</v>
      </c>
      <c r="B213">
        <v>4509.26</v>
      </c>
      <c r="C213">
        <v>-8.6444560720048136E-3</v>
      </c>
      <c r="D213">
        <v>0.43153038272625632</v>
      </c>
      <c r="E213">
        <v>-1</v>
      </c>
      <c r="F213" t="b">
        <f>$C$213*$E$213&gt;0</f>
        <v>1</v>
      </c>
    </row>
    <row r="214" spans="1:6" x14ac:dyDescent="0.45">
      <c r="A214" s="3">
        <v>42675</v>
      </c>
      <c r="B214">
        <v>4470.28</v>
      </c>
      <c r="C214">
        <v>-8.6444338982450963E-3</v>
      </c>
      <c r="D214">
        <v>0.32497272282177886</v>
      </c>
      <c r="E214">
        <v>-1</v>
      </c>
      <c r="F214" t="b">
        <f>$C$214*$E$214&gt;0</f>
        <v>1</v>
      </c>
    </row>
    <row r="215" spans="1:6" x14ac:dyDescent="0.45">
      <c r="A215" s="3">
        <v>42676</v>
      </c>
      <c r="B215">
        <v>4414.67</v>
      </c>
      <c r="C215">
        <v>-1.2439936648263594E-2</v>
      </c>
      <c r="D215">
        <v>0.26126746699482933</v>
      </c>
      <c r="E215">
        <v>-1</v>
      </c>
      <c r="F215" t="b">
        <f>$C$215*$E$215&gt;0</f>
        <v>1</v>
      </c>
    </row>
    <row r="216" spans="1:6" x14ac:dyDescent="0.45">
      <c r="A216" s="3">
        <v>42677</v>
      </c>
      <c r="B216">
        <v>4411.68</v>
      </c>
      <c r="C216">
        <v>-6.7728731705873901E-4</v>
      </c>
      <c r="D216">
        <v>0.22116418308851166</v>
      </c>
      <c r="E216">
        <v>-1</v>
      </c>
      <c r="F216" t="b">
        <f>$C$216*$E$216&gt;0</f>
        <v>1</v>
      </c>
    </row>
    <row r="217" spans="1:6" x14ac:dyDescent="0.45">
      <c r="A217" s="3">
        <v>42678</v>
      </c>
      <c r="B217">
        <v>4377.46</v>
      </c>
      <c r="C217">
        <v>-7.7566822616328412E-3</v>
      </c>
      <c r="D217">
        <v>0.19376482932129435</v>
      </c>
      <c r="E217">
        <v>-1</v>
      </c>
      <c r="F217" t="b">
        <f>$C$217*$E$217&gt;0</f>
        <v>1</v>
      </c>
    </row>
    <row r="218" spans="1:6" x14ac:dyDescent="0.45">
      <c r="A218" s="3">
        <v>42681</v>
      </c>
      <c r="B218">
        <v>4461.21</v>
      </c>
      <c r="C218">
        <v>1.9132099436659722E-2</v>
      </c>
      <c r="D218">
        <v>0.17378455175787666</v>
      </c>
      <c r="E218">
        <v>-1</v>
      </c>
      <c r="F218" t="b">
        <f>$C$218*$E$218&gt;0</f>
        <v>0</v>
      </c>
    </row>
    <row r="219" spans="1:6" x14ac:dyDescent="0.45">
      <c r="A219" s="3">
        <v>42682</v>
      </c>
      <c r="B219">
        <v>4476.8900000000003</v>
      </c>
      <c r="C219">
        <v>3.5147415163152562E-3</v>
      </c>
      <c r="D219">
        <v>0.26150333898308936</v>
      </c>
      <c r="E219">
        <v>-1</v>
      </c>
      <c r="F219" t="b">
        <f>$C$219*$E$219&gt;0</f>
        <v>0</v>
      </c>
    </row>
    <row r="220" spans="1:6" x14ac:dyDescent="0.45">
      <c r="A220" s="3">
        <v>42683</v>
      </c>
      <c r="B220">
        <v>4543.4799999999996</v>
      </c>
      <c r="C220">
        <v>1.4874164877850315E-2</v>
      </c>
      <c r="D220">
        <v>0.39632921416302813</v>
      </c>
      <c r="E220">
        <v>-1</v>
      </c>
      <c r="F220" t="b">
        <f>$C$220*$E$220&gt;0</f>
        <v>0</v>
      </c>
    </row>
    <row r="221" spans="1:6" x14ac:dyDescent="0.45">
      <c r="A221" s="3">
        <v>42684</v>
      </c>
      <c r="B221">
        <v>4530.95</v>
      </c>
      <c r="C221">
        <v>-2.757797987445687E-3</v>
      </c>
      <c r="D221">
        <v>0.55109081081296718</v>
      </c>
      <c r="E221">
        <v>1</v>
      </c>
      <c r="F221" t="b">
        <f>$C$221*$E$221&gt;0</f>
        <v>0</v>
      </c>
    </row>
    <row r="222" spans="1:6" x14ac:dyDescent="0.45">
      <c r="A222" s="3">
        <v>42685</v>
      </c>
      <c r="B222">
        <v>4489.2700000000004</v>
      </c>
      <c r="C222">
        <v>-9.1989538617728295E-3</v>
      </c>
      <c r="D222">
        <v>0.4050061888138729</v>
      </c>
      <c r="E222">
        <v>-1</v>
      </c>
      <c r="F222" t="b">
        <f>$C$222*$E$222&gt;0</f>
        <v>1</v>
      </c>
    </row>
    <row r="223" spans="1:6" x14ac:dyDescent="0.45">
      <c r="A223" s="3">
        <v>42688</v>
      </c>
      <c r="B223">
        <v>4508.55</v>
      </c>
      <c r="C223">
        <v>4.294684881951838E-3</v>
      </c>
      <c r="D223">
        <v>0.30831268408506474</v>
      </c>
      <c r="E223">
        <v>-1</v>
      </c>
      <c r="F223" t="b">
        <f>$C$223*$E$223&gt;0</f>
        <v>0</v>
      </c>
    </row>
    <row r="224" spans="1:6" x14ac:dyDescent="0.45">
      <c r="A224" s="3">
        <v>42689</v>
      </c>
      <c r="B224">
        <v>4536.53</v>
      </c>
      <c r="C224">
        <v>6.2059864036108081E-3</v>
      </c>
      <c r="D224">
        <v>0.45886809185305982</v>
      </c>
      <c r="E224">
        <v>-1</v>
      </c>
      <c r="F224" t="b">
        <f>$C$224*$E$224&gt;0</f>
        <v>0</v>
      </c>
    </row>
    <row r="225" spans="1:6" x14ac:dyDescent="0.45">
      <c r="A225" s="3">
        <v>42690</v>
      </c>
      <c r="B225">
        <v>4501.1400000000003</v>
      </c>
      <c r="C225">
        <v>-7.8011167125533465E-3</v>
      </c>
      <c r="D225">
        <v>0.60443630715640317</v>
      </c>
      <c r="E225">
        <v>1</v>
      </c>
      <c r="F225" t="b">
        <f>$C$225*$E$225&gt;0</f>
        <v>0</v>
      </c>
    </row>
    <row r="226" spans="1:6" x14ac:dyDescent="0.45">
      <c r="A226" s="3">
        <v>42691</v>
      </c>
      <c r="B226">
        <v>4527.7700000000004</v>
      </c>
      <c r="C226">
        <v>5.9162789871010091E-3</v>
      </c>
      <c r="D226">
        <v>0.44819110339402984</v>
      </c>
      <c r="E226">
        <v>-1</v>
      </c>
      <c r="F226" t="b">
        <f>$C$226*$E$226&gt;0</f>
        <v>0</v>
      </c>
    </row>
    <row r="227" spans="1:6" x14ac:dyDescent="0.45">
      <c r="A227" s="3">
        <v>42692</v>
      </c>
      <c r="B227">
        <v>4504.3500000000004</v>
      </c>
      <c r="C227">
        <v>-5.1725242227410595E-3</v>
      </c>
      <c r="D227">
        <v>0.59702744111828043</v>
      </c>
      <c r="E227">
        <v>1</v>
      </c>
      <c r="F227" t="b">
        <f>$C$227*$E$227&gt;0</f>
        <v>0</v>
      </c>
    </row>
    <row r="228" spans="1:6" x14ac:dyDescent="0.45">
      <c r="A228" s="3">
        <v>42695</v>
      </c>
      <c r="B228">
        <v>4529.58</v>
      </c>
      <c r="C228">
        <v>5.6012521229478196E-3</v>
      </c>
      <c r="D228">
        <v>0.44072420952502955</v>
      </c>
      <c r="E228">
        <v>-1</v>
      </c>
      <c r="F228" t="b">
        <f>$C$228*$E$228&gt;0</f>
        <v>0</v>
      </c>
    </row>
    <row r="229" spans="1:6" x14ac:dyDescent="0.45">
      <c r="A229" s="3">
        <v>42696</v>
      </c>
      <c r="B229">
        <v>4548.3500000000004</v>
      </c>
      <c r="C229">
        <v>4.1438720587780864E-3</v>
      </c>
      <c r="D229">
        <v>0.5919512715540729</v>
      </c>
      <c r="E229">
        <v>1</v>
      </c>
      <c r="F229" t="b">
        <f>$C$229*$E$229&gt;0</f>
        <v>1</v>
      </c>
    </row>
    <row r="230" spans="1:6" x14ac:dyDescent="0.45">
      <c r="A230" s="3">
        <v>42697</v>
      </c>
      <c r="B230">
        <v>4529.21</v>
      </c>
      <c r="C230">
        <v>-4.2081194279244283E-3</v>
      </c>
      <c r="D230">
        <v>0.69267132933337505</v>
      </c>
      <c r="E230">
        <v>1</v>
      </c>
      <c r="F230" t="b">
        <f>$C$230*$E$230&gt;0</f>
        <v>0</v>
      </c>
    </row>
    <row r="231" spans="1:6" x14ac:dyDescent="0.45">
      <c r="A231" s="3">
        <v>42698</v>
      </c>
      <c r="B231">
        <v>4542.5600000000004</v>
      </c>
      <c r="C231">
        <v>2.9475338966398201E-3</v>
      </c>
      <c r="D231">
        <v>0.53883794093628534</v>
      </c>
      <c r="E231">
        <v>1</v>
      </c>
      <c r="F231" t="b">
        <f>$C$231*$E$231&gt;0</f>
        <v>1</v>
      </c>
    </row>
    <row r="232" spans="1:6" x14ac:dyDescent="0.45">
      <c r="A232" s="3">
        <v>42699</v>
      </c>
      <c r="B232">
        <v>4550.2700000000004</v>
      </c>
      <c r="C232">
        <v>1.6972808284314578E-3</v>
      </c>
      <c r="D232">
        <v>0.66101428275209961</v>
      </c>
      <c r="E232">
        <v>1</v>
      </c>
      <c r="F232" t="b">
        <f>$C$232*$E$232&gt;0</f>
        <v>1</v>
      </c>
    </row>
    <row r="233" spans="1:6" x14ac:dyDescent="0.45">
      <c r="A233" s="3">
        <v>42702</v>
      </c>
      <c r="B233">
        <v>4510.3900000000003</v>
      </c>
      <c r="C233">
        <v>-8.7643150845994056E-3</v>
      </c>
      <c r="D233">
        <v>0.7332065210688834</v>
      </c>
      <c r="E233">
        <v>1</v>
      </c>
      <c r="F233" t="b">
        <f>$C$233*$E$233&gt;0</f>
        <v>0</v>
      </c>
    </row>
    <row r="234" spans="1:6" x14ac:dyDescent="0.45">
      <c r="A234" s="3">
        <v>42703</v>
      </c>
      <c r="B234">
        <v>4551.46</v>
      </c>
      <c r="C234">
        <v>9.1056427492965941E-3</v>
      </c>
      <c r="D234">
        <v>0.59036830485561653</v>
      </c>
      <c r="E234">
        <v>1</v>
      </c>
      <c r="F234" t="b">
        <f>$C$234*$E$234&gt;0</f>
        <v>1</v>
      </c>
    </row>
    <row r="235" spans="1:6" x14ac:dyDescent="0.45">
      <c r="A235" s="3">
        <v>42704</v>
      </c>
      <c r="B235">
        <v>4578.34</v>
      </c>
      <c r="C235">
        <v>5.9057972606593179E-3</v>
      </c>
      <c r="D235">
        <v>0.69231076818628423</v>
      </c>
      <c r="E235">
        <v>1</v>
      </c>
      <c r="F235" t="b">
        <f>$C$235*$E$235&gt;0</f>
        <v>1</v>
      </c>
    </row>
    <row r="236" spans="1:6" x14ac:dyDescent="0.45">
      <c r="A236" s="3">
        <v>42705</v>
      </c>
      <c r="B236">
        <v>4560.6099999999997</v>
      </c>
      <c r="C236">
        <v>-3.8725826391226015E-3</v>
      </c>
      <c r="D236">
        <v>0.7519146610768167</v>
      </c>
      <c r="E236">
        <v>1</v>
      </c>
      <c r="F236" t="b">
        <f>$C$236*$E$236&gt;0</f>
        <v>0</v>
      </c>
    </row>
    <row r="237" spans="1:6" x14ac:dyDescent="0.45">
      <c r="A237" s="3">
        <v>42706</v>
      </c>
      <c r="B237">
        <v>4528.82</v>
      </c>
      <c r="C237">
        <v>-6.9705587629724786E-3</v>
      </c>
      <c r="D237">
        <v>0.6162823848799095</v>
      </c>
      <c r="E237">
        <v>1</v>
      </c>
      <c r="F237" t="b">
        <f>$C$237*$E$237&gt;0</f>
        <v>0</v>
      </c>
    </row>
    <row r="238" spans="1:6" x14ac:dyDescent="0.45">
      <c r="A238" s="3">
        <v>42709</v>
      </c>
      <c r="B238">
        <v>4574.32</v>
      </c>
      <c r="C238">
        <v>1.0046767149058722E-2</v>
      </c>
      <c r="D238">
        <v>0.45607887975692724</v>
      </c>
      <c r="E238">
        <v>-1</v>
      </c>
      <c r="F238" t="b">
        <f>$C$238*$E$238&gt;0</f>
        <v>0</v>
      </c>
    </row>
    <row r="239" spans="1:6" x14ac:dyDescent="0.45">
      <c r="A239" s="3">
        <v>42710</v>
      </c>
      <c r="B239">
        <v>4631.9399999999996</v>
      </c>
      <c r="C239">
        <v>1.2596407772084151E-2</v>
      </c>
      <c r="D239">
        <v>0.60576173286928681</v>
      </c>
      <c r="E239">
        <v>1</v>
      </c>
      <c r="F239" t="b">
        <f>$C$239*$E$239&gt;0</f>
        <v>1</v>
      </c>
    </row>
    <row r="240" spans="1:6" x14ac:dyDescent="0.45">
      <c r="A240" s="3">
        <v>42711</v>
      </c>
      <c r="B240">
        <v>4694.72</v>
      </c>
      <c r="C240">
        <v>1.355371615349088E-2</v>
      </c>
      <c r="D240">
        <v>0.70184747854493179</v>
      </c>
      <c r="E240">
        <v>1</v>
      </c>
      <c r="F240" t="b">
        <f>$C$240*$E$240&gt;0</f>
        <v>1</v>
      </c>
    </row>
    <row r="241" spans="1:6" x14ac:dyDescent="0.45">
      <c r="A241" s="3">
        <v>42712</v>
      </c>
      <c r="B241">
        <v>4735.4799999999996</v>
      </c>
      <c r="C241">
        <v>8.6820939267941988E-3</v>
      </c>
      <c r="D241">
        <v>0.75799483384526301</v>
      </c>
      <c r="E241">
        <v>1</v>
      </c>
      <c r="F241" t="b">
        <f>$C$241*$E$241&gt;0</f>
        <v>1</v>
      </c>
    </row>
    <row r="242" spans="1:6" x14ac:dyDescent="0.45">
      <c r="A242" s="3">
        <v>42713</v>
      </c>
      <c r="B242">
        <v>4764.07</v>
      </c>
      <c r="C242">
        <v>6.0374027553702359E-3</v>
      </c>
      <c r="D242">
        <v>0.79361341975679089</v>
      </c>
      <c r="E242">
        <v>1</v>
      </c>
      <c r="F242" t="b">
        <f>$C$242*$E$242&gt;0</f>
        <v>1</v>
      </c>
    </row>
    <row r="243" spans="1:6" x14ac:dyDescent="0.45">
      <c r="A243" s="3">
        <v>42716</v>
      </c>
      <c r="B243">
        <v>4760.7700000000004</v>
      </c>
      <c r="C243">
        <v>-6.9268503611397136E-4</v>
      </c>
      <c r="D243">
        <v>0.81821575891211162</v>
      </c>
      <c r="E243">
        <v>1</v>
      </c>
      <c r="F243" t="b">
        <f>$C$243*$E$243&gt;0</f>
        <v>0</v>
      </c>
    </row>
    <row r="244" spans="1:6" x14ac:dyDescent="0.45">
      <c r="A244" s="3">
        <v>42717</v>
      </c>
      <c r="B244">
        <v>4803.87</v>
      </c>
      <c r="C244">
        <v>9.0531573674006438E-3</v>
      </c>
      <c r="D244">
        <v>0.71885745171702919</v>
      </c>
      <c r="E244">
        <v>1</v>
      </c>
      <c r="F244" t="b">
        <f>$C$244*$E$244&gt;0</f>
        <v>1</v>
      </c>
    </row>
    <row r="245" spans="1:6" x14ac:dyDescent="0.45">
      <c r="A245" s="3">
        <v>42718</v>
      </c>
      <c r="B245">
        <v>4769.24</v>
      </c>
      <c r="C245">
        <v>-7.2087712615037658E-3</v>
      </c>
      <c r="D245">
        <v>0.76838449066208403</v>
      </c>
      <c r="E245">
        <v>1</v>
      </c>
      <c r="F245" t="b">
        <f>$C$245*$E$245&gt;0</f>
        <v>0</v>
      </c>
    </row>
    <row r="246" spans="1:6" x14ac:dyDescent="0.45">
      <c r="A246" s="3">
        <v>42719</v>
      </c>
      <c r="B246">
        <v>4819.2299999999996</v>
      </c>
      <c r="C246">
        <v>1.0481753906282698E-2</v>
      </c>
      <c r="D246">
        <v>0.63987614903657375</v>
      </c>
      <c r="E246">
        <v>1</v>
      </c>
      <c r="F246" t="b">
        <f>$C$246*$E$246&gt;0</f>
        <v>1</v>
      </c>
    </row>
    <row r="247" spans="1:6" x14ac:dyDescent="0.45">
      <c r="A247" s="3">
        <v>42720</v>
      </c>
      <c r="B247">
        <v>4833.2700000000004</v>
      </c>
      <c r="C247">
        <v>2.9133284777860258E-3</v>
      </c>
      <c r="D247">
        <v>0.72146286100675627</v>
      </c>
      <c r="E247">
        <v>1</v>
      </c>
      <c r="F247" t="b">
        <f>$C$247*$E$247&gt;0</f>
        <v>1</v>
      </c>
    </row>
    <row r="248" spans="1:6" x14ac:dyDescent="0.45">
      <c r="A248" s="3">
        <v>42723</v>
      </c>
      <c r="B248">
        <v>4822.7700000000004</v>
      </c>
      <c r="C248">
        <v>-2.1724422595882364E-3</v>
      </c>
      <c r="D248">
        <v>0.77004220443267946</v>
      </c>
      <c r="E248">
        <v>1</v>
      </c>
      <c r="F248" t="b">
        <f>$C$248*$E$248&gt;0</f>
        <v>0</v>
      </c>
    </row>
    <row r="249" spans="1:6" x14ac:dyDescent="0.45">
      <c r="A249" s="3">
        <v>42724</v>
      </c>
      <c r="B249">
        <v>4849.8900000000003</v>
      </c>
      <c r="C249">
        <v>5.6233243550904977E-3</v>
      </c>
      <c r="D249">
        <v>0.64227274300346338</v>
      </c>
      <c r="E249">
        <v>1</v>
      </c>
      <c r="F249" t="b">
        <f>$C$249*$E$249&gt;0</f>
        <v>1</v>
      </c>
    </row>
    <row r="250" spans="1:6" x14ac:dyDescent="0.45">
      <c r="A250" s="3">
        <v>42725</v>
      </c>
      <c r="B250">
        <v>4833.82</v>
      </c>
      <c r="C250">
        <v>-3.3134772128853296E-3</v>
      </c>
      <c r="D250">
        <v>0.7228989796255173</v>
      </c>
      <c r="E250">
        <v>1</v>
      </c>
      <c r="F250" t="b">
        <f>$C$250*$E$250&gt;0</f>
        <v>0</v>
      </c>
    </row>
    <row r="251" spans="1:6" x14ac:dyDescent="0.45">
      <c r="A251" s="3">
        <v>42726</v>
      </c>
      <c r="B251">
        <v>4834.63</v>
      </c>
      <c r="C251">
        <v>1.6756933439809885E-4</v>
      </c>
      <c r="D251">
        <v>0.57514884502092611</v>
      </c>
      <c r="E251">
        <v>1</v>
      </c>
      <c r="F251" t="b">
        <f>$C$251*$E$251&gt;0</f>
        <v>1</v>
      </c>
    </row>
    <row r="252" spans="1:6" x14ac:dyDescent="0.45">
      <c r="A252" s="3">
        <v>42727</v>
      </c>
      <c r="B252">
        <v>4839.68</v>
      </c>
      <c r="C252">
        <v>1.0445473593636567E-3</v>
      </c>
      <c r="D252">
        <v>0.68425766018490486</v>
      </c>
      <c r="E252">
        <v>1</v>
      </c>
      <c r="F252" t="b">
        <f>$C$252*$E$252&gt;0</f>
        <v>1</v>
      </c>
    </row>
    <row r="253" spans="1:6" x14ac:dyDescent="0.45">
      <c r="A253" s="3">
        <v>42731</v>
      </c>
      <c r="B253">
        <v>4848.28</v>
      </c>
      <c r="C253">
        <v>1.7769769902140631E-3</v>
      </c>
      <c r="D253">
        <v>0.74757784877392053</v>
      </c>
      <c r="E253">
        <v>1</v>
      </c>
      <c r="F253" t="b">
        <f>$C$253*$E$253&gt;0</f>
        <v>1</v>
      </c>
    </row>
    <row r="254" spans="1:6" x14ac:dyDescent="0.45">
      <c r="A254" s="3">
        <v>42732</v>
      </c>
      <c r="B254">
        <v>4848.01</v>
      </c>
      <c r="C254">
        <v>-5.5689852896168013E-5</v>
      </c>
      <c r="D254">
        <v>0.78682655928516598</v>
      </c>
      <c r="E254">
        <v>1</v>
      </c>
      <c r="F254" t="b">
        <f>$C$254*$E$254&gt;0</f>
        <v>0</v>
      </c>
    </row>
    <row r="255" spans="1:6" x14ac:dyDescent="0.45">
      <c r="A255" s="3">
        <v>42733</v>
      </c>
      <c r="B255">
        <v>4838.47</v>
      </c>
      <c r="C255">
        <v>-1.9678177231482463E-3</v>
      </c>
      <c r="D255">
        <v>0.66774659834968753</v>
      </c>
      <c r="E255">
        <v>1</v>
      </c>
      <c r="F255" t="b">
        <f>$C$255*$E$255&gt;0</f>
        <v>0</v>
      </c>
    </row>
    <row r="256" spans="1:6" x14ac:dyDescent="0.45">
      <c r="A256" s="3">
        <v>42734</v>
      </c>
      <c r="B256">
        <v>4862.3100000000004</v>
      </c>
      <c r="C256">
        <v>4.9271773928536433E-3</v>
      </c>
      <c r="D256">
        <v>0.50740947875115283</v>
      </c>
      <c r="E256">
        <v>1</v>
      </c>
      <c r="F256" t="b">
        <f>$C$256*$E$256&gt;0</f>
        <v>1</v>
      </c>
    </row>
    <row r="257" spans="1:6" x14ac:dyDescent="0.45">
      <c r="A257" s="3">
        <v>42737</v>
      </c>
      <c r="B257">
        <v>4882.38</v>
      </c>
      <c r="C257">
        <v>4.1276677134940432E-3</v>
      </c>
      <c r="D257">
        <v>0.6428241296573397</v>
      </c>
      <c r="E257">
        <v>1</v>
      </c>
      <c r="F257" t="b">
        <f>$C$257*$E$257&gt;0</f>
        <v>1</v>
      </c>
    </row>
    <row r="258" spans="1:6" x14ac:dyDescent="0.45">
      <c r="A258" s="3">
        <v>42738</v>
      </c>
      <c r="B258">
        <v>4899.33</v>
      </c>
      <c r="C258">
        <v>3.4716675064210278E-3</v>
      </c>
      <c r="D258">
        <v>0.72369728243430698</v>
      </c>
      <c r="E258">
        <v>1</v>
      </c>
      <c r="F258" t="b">
        <f>$C$258*$E$258&gt;0</f>
        <v>1</v>
      </c>
    </row>
    <row r="259" spans="1:6" x14ac:dyDescent="0.45">
      <c r="A259" s="3">
        <v>42739</v>
      </c>
      <c r="B259">
        <v>4899.3999999999996</v>
      </c>
      <c r="C259">
        <v>1.4287667905454882E-5</v>
      </c>
      <c r="D259">
        <v>0.77173356752676614</v>
      </c>
      <c r="E259">
        <v>1</v>
      </c>
      <c r="F259" t="b">
        <f>$C$259*$E$259&gt;0</f>
        <v>1</v>
      </c>
    </row>
    <row r="260" spans="1:6" x14ac:dyDescent="0.45">
      <c r="A260" s="3">
        <v>42740</v>
      </c>
      <c r="B260">
        <v>4900.6400000000003</v>
      </c>
      <c r="C260">
        <v>2.530922153733961E-4</v>
      </c>
      <c r="D260">
        <v>0.80305359933858633</v>
      </c>
      <c r="E260">
        <v>1</v>
      </c>
      <c r="F260" t="b">
        <f>$C$260*$E$260&gt;0</f>
        <v>1</v>
      </c>
    </row>
    <row r="261" spans="1:6" x14ac:dyDescent="0.45">
      <c r="A261" s="3">
        <v>42741</v>
      </c>
      <c r="B261">
        <v>4909.84</v>
      </c>
      <c r="C261">
        <v>1.8773058212804283E-3</v>
      </c>
      <c r="D261">
        <v>0.82515672927062345</v>
      </c>
      <c r="E261">
        <v>1</v>
      </c>
      <c r="F261" t="b">
        <f>$C$261*$E$261&gt;0</f>
        <v>1</v>
      </c>
    </row>
    <row r="262" spans="1:6" x14ac:dyDescent="0.45">
      <c r="A262" s="3">
        <v>42744</v>
      </c>
      <c r="B262">
        <v>4887.57</v>
      </c>
      <c r="C262">
        <v>-4.5357893536246419E-3</v>
      </c>
      <c r="D262">
        <v>0.84168392810211934</v>
      </c>
      <c r="E262">
        <v>1</v>
      </c>
      <c r="F262" t="b">
        <f>$C$262*$E$262&gt;0</f>
        <v>0</v>
      </c>
    </row>
    <row r="263" spans="1:6" x14ac:dyDescent="0.45">
      <c r="A263" s="3">
        <v>42745</v>
      </c>
      <c r="B263">
        <v>4888.2299999999996</v>
      </c>
      <c r="C263">
        <v>1.3503642914569625E-4</v>
      </c>
      <c r="D263">
        <v>0.7579746606185841</v>
      </c>
      <c r="E263">
        <v>1</v>
      </c>
      <c r="F263" t="b">
        <f>$C$263*$E$263&gt;0</f>
        <v>1</v>
      </c>
    </row>
    <row r="264" spans="1:6" x14ac:dyDescent="0.45">
      <c r="A264" s="3">
        <v>42746</v>
      </c>
      <c r="B264">
        <v>4888.71</v>
      </c>
      <c r="C264">
        <v>9.8195052196992094E-5</v>
      </c>
      <c r="D264">
        <v>0.79372568960905354</v>
      </c>
      <c r="E264">
        <v>1</v>
      </c>
      <c r="F264" t="b">
        <f>$C$264*$E$264&gt;0</f>
        <v>1</v>
      </c>
    </row>
    <row r="265" spans="1:6" x14ac:dyDescent="0.45">
      <c r="A265" s="3">
        <v>42747</v>
      </c>
      <c r="B265">
        <v>4863.97</v>
      </c>
      <c r="C265">
        <v>-5.0606397188623919E-3</v>
      </c>
      <c r="D265">
        <v>0.81837756140964657</v>
      </c>
      <c r="E265">
        <v>1</v>
      </c>
      <c r="F265" t="b">
        <f>$C$265*$E$265&gt;0</f>
        <v>0</v>
      </c>
    </row>
    <row r="266" spans="1:6" x14ac:dyDescent="0.45">
      <c r="A266" s="3">
        <v>42748</v>
      </c>
      <c r="B266">
        <v>4922.49</v>
      </c>
      <c r="C266">
        <v>1.2031324206358107E-2</v>
      </c>
      <c r="D266">
        <v>0.71872704981678703</v>
      </c>
      <c r="E266">
        <v>1</v>
      </c>
      <c r="F266" t="b">
        <f>$C$266*$E$266&gt;0</f>
        <v>1</v>
      </c>
    </row>
    <row r="267" spans="1:6" x14ac:dyDescent="0.45">
      <c r="A267" s="3">
        <v>42751</v>
      </c>
      <c r="B267">
        <v>4882.18</v>
      </c>
      <c r="C267">
        <v>-8.1889450257897067E-3</v>
      </c>
      <c r="D267">
        <v>0.76848919916469638</v>
      </c>
      <c r="E267">
        <v>1</v>
      </c>
      <c r="F267" t="b">
        <f>$C$267*$E$267&gt;0</f>
        <v>0</v>
      </c>
    </row>
    <row r="268" spans="1:6" x14ac:dyDescent="0.45">
      <c r="A268" s="3">
        <v>42752</v>
      </c>
      <c r="B268">
        <v>4859.6899999999996</v>
      </c>
      <c r="C268">
        <v>-4.6065487138943206E-3</v>
      </c>
      <c r="D268">
        <v>0.63945186398023912</v>
      </c>
      <c r="E268">
        <v>1</v>
      </c>
      <c r="F268" t="b">
        <f>$C$268*$E$268&gt;0</f>
        <v>0</v>
      </c>
    </row>
    <row r="269" spans="1:6" x14ac:dyDescent="0.45">
      <c r="A269" s="3">
        <v>42753</v>
      </c>
      <c r="B269">
        <v>4853.3999999999996</v>
      </c>
      <c r="C269">
        <v>-1.2943212427130035E-3</v>
      </c>
      <c r="D269">
        <v>0.47715877743596619</v>
      </c>
      <c r="E269">
        <v>-1</v>
      </c>
      <c r="F269" t="b">
        <f>$C$269*$E$269&gt;0</f>
        <v>1</v>
      </c>
    </row>
    <row r="270" spans="1:6" x14ac:dyDescent="0.45">
      <c r="A270" s="3">
        <v>42754</v>
      </c>
      <c r="B270">
        <v>4841.1400000000003</v>
      </c>
      <c r="C270">
        <v>-2.5260642024146351E-3</v>
      </c>
      <c r="D270">
        <v>0.34811228518257042</v>
      </c>
      <c r="E270">
        <v>-1</v>
      </c>
      <c r="F270" t="b">
        <f>$C$270*$E$270&gt;0</f>
        <v>1</v>
      </c>
    </row>
    <row r="271" spans="1:6" x14ac:dyDescent="0.45">
      <c r="A271" s="3">
        <v>42755</v>
      </c>
      <c r="B271">
        <v>4850.67</v>
      </c>
      <c r="C271">
        <v>1.9685445989994221E-3</v>
      </c>
      <c r="D271">
        <v>0.27199904854281637</v>
      </c>
      <c r="E271">
        <v>-1</v>
      </c>
      <c r="F271" t="b">
        <f>$C$271*$E$271&gt;0</f>
        <v>0</v>
      </c>
    </row>
    <row r="272" spans="1:6" x14ac:dyDescent="0.45">
      <c r="A272" s="3">
        <v>42758</v>
      </c>
      <c r="B272">
        <v>4821.41</v>
      </c>
      <c r="C272">
        <v>-6.032156382520415E-3</v>
      </c>
      <c r="D272">
        <v>0.41799469443183129</v>
      </c>
      <c r="E272">
        <v>-1</v>
      </c>
      <c r="F272" t="b">
        <f>$C$272*$E$272&gt;0</f>
        <v>1</v>
      </c>
    </row>
    <row r="273" spans="1:6" x14ac:dyDescent="0.45">
      <c r="A273" s="3">
        <v>42759</v>
      </c>
      <c r="B273">
        <v>4830.03</v>
      </c>
      <c r="C273">
        <v>1.7878587384188016E-3</v>
      </c>
      <c r="D273">
        <v>0.31198594942596169</v>
      </c>
      <c r="E273">
        <v>-1</v>
      </c>
      <c r="F273" t="b">
        <f>$C$273*$E$273&gt;0</f>
        <v>0</v>
      </c>
    </row>
    <row r="274" spans="1:6" x14ac:dyDescent="0.45">
      <c r="A274" s="3">
        <v>42760</v>
      </c>
      <c r="B274">
        <v>4877.67</v>
      </c>
      <c r="C274">
        <v>9.8632927745792021E-3</v>
      </c>
      <c r="D274">
        <v>0.47003276469461391</v>
      </c>
      <c r="E274">
        <v>-1</v>
      </c>
      <c r="F274" t="b">
        <f>$C$274*$E$274&gt;0</f>
        <v>0</v>
      </c>
    </row>
    <row r="275" spans="1:6" x14ac:dyDescent="0.45">
      <c r="A275" s="3">
        <v>42761</v>
      </c>
      <c r="B275">
        <v>4867.24</v>
      </c>
      <c r="C275">
        <v>-2.1383160402406176E-3</v>
      </c>
      <c r="D275">
        <v>0.61831112340700201</v>
      </c>
      <c r="E275">
        <v>1</v>
      </c>
      <c r="F275" t="b">
        <f>$C$275*$E$275&gt;0</f>
        <v>0</v>
      </c>
    </row>
    <row r="276" spans="1:6" x14ac:dyDescent="0.45">
      <c r="A276" s="3">
        <v>42762</v>
      </c>
      <c r="B276">
        <v>4839.9799999999996</v>
      </c>
      <c r="C276">
        <v>-5.6007100533361776E-3</v>
      </c>
      <c r="D276">
        <v>0.45458036169671462</v>
      </c>
      <c r="E276">
        <v>-1</v>
      </c>
      <c r="F276" t="b">
        <f>$C$276*$E$276&gt;0</f>
        <v>1</v>
      </c>
    </row>
    <row r="277" spans="1:6" x14ac:dyDescent="0.45">
      <c r="A277" s="3">
        <v>42765</v>
      </c>
      <c r="B277">
        <v>4784.6400000000003</v>
      </c>
      <c r="C277">
        <v>-1.1433931545171472E-2</v>
      </c>
      <c r="D277">
        <v>0.33277476254521382</v>
      </c>
      <c r="E277">
        <v>-1</v>
      </c>
      <c r="F277" t="b">
        <f>$C$277*$E$277&gt;0</f>
        <v>1</v>
      </c>
    </row>
    <row r="278" spans="1:6" x14ac:dyDescent="0.45">
      <c r="A278" s="3">
        <v>42766</v>
      </c>
      <c r="B278">
        <v>4748.8999999999996</v>
      </c>
      <c r="C278">
        <v>-7.4697364901018526E-3</v>
      </c>
      <c r="D278">
        <v>0.26236498246023465</v>
      </c>
      <c r="E278">
        <v>-1</v>
      </c>
      <c r="F278" t="b">
        <f>$C$278*$E$278&gt;0</f>
        <v>1</v>
      </c>
    </row>
    <row r="279" spans="1:6" x14ac:dyDescent="0.45">
      <c r="A279" s="3">
        <v>42767</v>
      </c>
      <c r="B279">
        <v>4794.58</v>
      </c>
      <c r="C279">
        <v>9.6190696792941566E-3</v>
      </c>
      <c r="D279">
        <v>0.21974937028158961</v>
      </c>
      <c r="E279">
        <v>-1</v>
      </c>
      <c r="F279" t="b">
        <f>$C$279*$E$279&gt;0</f>
        <v>0</v>
      </c>
    </row>
    <row r="280" spans="1:6" x14ac:dyDescent="0.45">
      <c r="A280" s="3">
        <v>42768</v>
      </c>
      <c r="B280">
        <v>4794.29</v>
      </c>
      <c r="C280">
        <v>-6.0484964272133901E-5</v>
      </c>
      <c r="D280">
        <v>0.34248301558371058</v>
      </c>
      <c r="E280">
        <v>-1</v>
      </c>
      <c r="F280" t="b">
        <f>$C$280*$E$280&gt;0</f>
        <v>1</v>
      </c>
    </row>
    <row r="281" spans="1:6" x14ac:dyDescent="0.45">
      <c r="A281" s="3">
        <v>42769</v>
      </c>
      <c r="B281">
        <v>4825.42</v>
      </c>
      <c r="C281">
        <v>6.4931407987418588E-3</v>
      </c>
      <c r="D281">
        <v>0.26792354950217023</v>
      </c>
      <c r="E281">
        <v>-1</v>
      </c>
      <c r="F281" t="b">
        <f>$C$281*$E$281&gt;0</f>
        <v>0</v>
      </c>
    </row>
    <row r="282" spans="1:6" x14ac:dyDescent="0.45">
      <c r="A282" s="3">
        <v>42772</v>
      </c>
      <c r="B282">
        <v>4778.08</v>
      </c>
      <c r="C282">
        <v>-9.81054498883005E-3</v>
      </c>
      <c r="D282">
        <v>0.4142194875396854</v>
      </c>
      <c r="E282">
        <v>-1</v>
      </c>
      <c r="F282" t="b">
        <f>$C$282*$E$282&gt;0</f>
        <v>1</v>
      </c>
    </row>
    <row r="283" spans="1:6" x14ac:dyDescent="0.45">
      <c r="A283" s="3">
        <v>42773</v>
      </c>
      <c r="B283">
        <v>4754.47</v>
      </c>
      <c r="C283">
        <v>-4.9413153400528209E-3</v>
      </c>
      <c r="D283">
        <v>0.30864324699749196</v>
      </c>
      <c r="E283">
        <v>-1</v>
      </c>
      <c r="F283" t="b">
        <f>$C$283*$E$283&gt;0</f>
        <v>1</v>
      </c>
    </row>
    <row r="284" spans="1:6" x14ac:dyDescent="0.45">
      <c r="A284" s="3">
        <v>42774</v>
      </c>
      <c r="B284">
        <v>4766.6000000000004</v>
      </c>
      <c r="C284">
        <v>2.5512833186454031E-3</v>
      </c>
      <c r="D284">
        <v>0.2480242024938267</v>
      </c>
      <c r="E284">
        <v>-1</v>
      </c>
      <c r="F284" t="b">
        <f>$C$284*$E$284&gt;0</f>
        <v>0</v>
      </c>
    </row>
    <row r="285" spans="1:6" x14ac:dyDescent="0.45">
      <c r="A285" s="3">
        <v>42775</v>
      </c>
      <c r="B285">
        <v>4826.24</v>
      </c>
      <c r="C285">
        <v>1.2512063105777571E-2</v>
      </c>
      <c r="D285">
        <v>0.38610522126507929</v>
      </c>
      <c r="E285">
        <v>-1</v>
      </c>
      <c r="F285" t="b">
        <f>$C$285*$E$285&gt;0</f>
        <v>0</v>
      </c>
    </row>
    <row r="286" spans="1:6" x14ac:dyDescent="0.45">
      <c r="A286" s="3">
        <v>42776</v>
      </c>
      <c r="B286">
        <v>4828.32</v>
      </c>
      <c r="C286">
        <v>4.30977323962356E-4</v>
      </c>
      <c r="D286">
        <v>0.55130678638136066</v>
      </c>
      <c r="E286">
        <v>1</v>
      </c>
      <c r="F286" t="b">
        <f>$C$286*$E$286&gt;0</f>
        <v>1</v>
      </c>
    </row>
    <row r="287" spans="1:6" x14ac:dyDescent="0.45">
      <c r="A287" s="3">
        <v>42779</v>
      </c>
      <c r="B287">
        <v>4888.1899999999996</v>
      </c>
      <c r="C287">
        <v>1.2399758093912583E-2</v>
      </c>
      <c r="D287">
        <v>0.67263451302835375</v>
      </c>
      <c r="E287">
        <v>1</v>
      </c>
      <c r="F287" t="b">
        <f>$C$287*$E$287&gt;0</f>
        <v>1</v>
      </c>
    </row>
    <row r="288" spans="1:6" x14ac:dyDescent="0.45">
      <c r="A288" s="3">
        <v>42780</v>
      </c>
      <c r="B288">
        <v>4895.82</v>
      </c>
      <c r="C288">
        <v>1.5609049566405186E-3</v>
      </c>
      <c r="D288">
        <v>0.74209423306700895</v>
      </c>
      <c r="E288">
        <v>1</v>
      </c>
      <c r="F288" t="b">
        <f>$C$288*$E$288&gt;0</f>
        <v>1</v>
      </c>
    </row>
    <row r="289" spans="1:6" x14ac:dyDescent="0.45">
      <c r="A289" s="3">
        <v>42781</v>
      </c>
      <c r="B289">
        <v>4924.8599999999997</v>
      </c>
      <c r="C289">
        <v>5.9315906222041637E-3</v>
      </c>
      <c r="D289">
        <v>0.78403398873455221</v>
      </c>
      <c r="E289">
        <v>1</v>
      </c>
      <c r="F289" t="b">
        <f>$C$289*$E$289&gt;0</f>
        <v>1</v>
      </c>
    </row>
    <row r="290" spans="1:6" x14ac:dyDescent="0.45">
      <c r="A290" s="3">
        <v>42782</v>
      </c>
      <c r="B290">
        <v>4899.46</v>
      </c>
      <c r="C290">
        <v>-5.1575070154278313E-3</v>
      </c>
      <c r="D290">
        <v>0.81194967888157488</v>
      </c>
      <c r="E290">
        <v>1</v>
      </c>
      <c r="F290" t="b">
        <f>$C$290*$E$290&gt;0</f>
        <v>0</v>
      </c>
    </row>
    <row r="291" spans="1:6" x14ac:dyDescent="0.45">
      <c r="A291" s="3">
        <v>42783</v>
      </c>
      <c r="B291">
        <v>4867.58</v>
      </c>
      <c r="C291">
        <v>-6.506839529254238E-3</v>
      </c>
      <c r="D291">
        <v>0.70604219708838534</v>
      </c>
      <c r="E291">
        <v>1</v>
      </c>
      <c r="F291" t="b">
        <f>$C$291*$E$291&gt;0</f>
        <v>0</v>
      </c>
    </row>
    <row r="292" spans="1:6" x14ac:dyDescent="0.45">
      <c r="A292" s="3">
        <v>42786</v>
      </c>
      <c r="B292">
        <v>4864.99</v>
      </c>
      <c r="C292">
        <v>-5.3209192247483106E-4</v>
      </c>
      <c r="D292">
        <v>0.54923541730047698</v>
      </c>
      <c r="E292">
        <v>1</v>
      </c>
      <c r="F292" t="b">
        <f>$C$292*$E$292&gt;0</f>
        <v>0</v>
      </c>
    </row>
    <row r="293" spans="1:6" x14ac:dyDescent="0.45">
      <c r="A293" s="3">
        <v>42787</v>
      </c>
      <c r="B293">
        <v>4888.76</v>
      </c>
      <c r="C293">
        <v>4.8859298785814964E-3</v>
      </c>
      <c r="D293">
        <v>0.39445841764054745</v>
      </c>
      <c r="E293">
        <v>-1</v>
      </c>
      <c r="F293" t="b">
        <f>$C$293*$E$293&gt;0</f>
        <v>0</v>
      </c>
    </row>
    <row r="294" spans="1:6" x14ac:dyDescent="0.45">
      <c r="A294" s="3">
        <v>42788</v>
      </c>
      <c r="B294">
        <v>4895.88</v>
      </c>
      <c r="C294">
        <v>1.4564020324172589E-3</v>
      </c>
      <c r="D294">
        <v>0.56003286755067738</v>
      </c>
      <c r="E294">
        <v>1</v>
      </c>
      <c r="F294" t="b">
        <f>$C$294*$E$294&gt;0</f>
        <v>1</v>
      </c>
    </row>
    <row r="295" spans="1:6" x14ac:dyDescent="0.45">
      <c r="A295" s="3">
        <v>42789</v>
      </c>
      <c r="B295">
        <v>4891.29</v>
      </c>
      <c r="C295">
        <v>-9.3752297850435706E-4</v>
      </c>
      <c r="D295">
        <v>0.67843757639873481</v>
      </c>
      <c r="E295">
        <v>1</v>
      </c>
      <c r="F295" t="b">
        <f>$C$295*$E$295&gt;0</f>
        <v>0</v>
      </c>
    </row>
    <row r="296" spans="1:6" x14ac:dyDescent="0.45">
      <c r="A296" s="3">
        <v>42790</v>
      </c>
      <c r="B296">
        <v>4845.24</v>
      </c>
      <c r="C296">
        <v>-9.4146942831032643E-3</v>
      </c>
      <c r="D296">
        <v>0.51457118696636295</v>
      </c>
      <c r="E296">
        <v>1</v>
      </c>
      <c r="F296" t="b">
        <f>$C$296*$E$296&gt;0</f>
        <v>0</v>
      </c>
    </row>
    <row r="297" spans="1:6" x14ac:dyDescent="0.45">
      <c r="A297" s="3">
        <v>42793</v>
      </c>
      <c r="B297">
        <v>4845.18</v>
      </c>
      <c r="C297">
        <v>-1.2383287515072006E-5</v>
      </c>
      <c r="D297">
        <v>0.36871349627213218</v>
      </c>
      <c r="E297">
        <v>-1</v>
      </c>
      <c r="F297" t="b">
        <f>$C$297*$E$297&gt;0</f>
        <v>1</v>
      </c>
    </row>
    <row r="298" spans="1:6" x14ac:dyDescent="0.45">
      <c r="A298" s="3">
        <v>42794</v>
      </c>
      <c r="B298">
        <v>4858.58</v>
      </c>
      <c r="C298">
        <v>2.7656351260427758E-3</v>
      </c>
      <c r="D298">
        <v>0.28151578751903145</v>
      </c>
      <c r="E298">
        <v>-1</v>
      </c>
      <c r="F298" t="b">
        <f>$C$298*$E$298&gt;0</f>
        <v>0</v>
      </c>
    </row>
    <row r="299" spans="1:6" x14ac:dyDescent="0.45">
      <c r="A299" s="3">
        <v>42795</v>
      </c>
      <c r="B299">
        <v>4960.83</v>
      </c>
      <c r="C299">
        <v>2.1045243672019431E-2</v>
      </c>
      <c r="D299">
        <v>0.43556619494233756</v>
      </c>
      <c r="E299">
        <v>-1</v>
      </c>
      <c r="F299" t="b">
        <f>$C$299*$E$299&gt;0</f>
        <v>0</v>
      </c>
    </row>
    <row r="300" spans="1:6" x14ac:dyDescent="0.45">
      <c r="A300" s="3">
        <v>42796</v>
      </c>
      <c r="B300">
        <v>4963.8</v>
      </c>
      <c r="C300">
        <v>5.9869013854552122E-4</v>
      </c>
      <c r="D300">
        <v>0.59616350918421868</v>
      </c>
      <c r="E300">
        <v>1</v>
      </c>
      <c r="F300" t="b">
        <f>$C$300*$E$300&gt;0</f>
        <v>1</v>
      </c>
    </row>
    <row r="301" spans="1:6" x14ac:dyDescent="0.45">
      <c r="A301" s="3">
        <v>42797</v>
      </c>
      <c r="B301">
        <v>4995.13</v>
      </c>
      <c r="C301">
        <v>6.3116966839920075E-3</v>
      </c>
      <c r="D301">
        <v>0.69992917408530664</v>
      </c>
      <c r="E301">
        <v>1</v>
      </c>
      <c r="F301" t="b">
        <f>$C$301*$E$301&gt;0</f>
        <v>1</v>
      </c>
    </row>
    <row r="302" spans="1:6" x14ac:dyDescent="0.45">
      <c r="A302" s="3">
        <v>42800</v>
      </c>
      <c r="B302">
        <v>4972.1899999999996</v>
      </c>
      <c r="C302">
        <v>-4.5924730687690873E-3</v>
      </c>
      <c r="D302">
        <v>0.75872103674079072</v>
      </c>
      <c r="E302">
        <v>1</v>
      </c>
      <c r="F302" t="b">
        <f>$C$302*$E$302&gt;0</f>
        <v>0</v>
      </c>
    </row>
    <row r="303" spans="1:6" x14ac:dyDescent="0.45">
      <c r="A303" s="3">
        <v>42801</v>
      </c>
      <c r="B303">
        <v>4955</v>
      </c>
      <c r="C303">
        <v>-3.4572291083002638E-3</v>
      </c>
      <c r="D303">
        <v>0.6199156184243223</v>
      </c>
      <c r="E303">
        <v>1</v>
      </c>
      <c r="F303" t="b">
        <f>$C$303*$E$303&gt;0</f>
        <v>0</v>
      </c>
    </row>
    <row r="304" spans="1:6" x14ac:dyDescent="0.45">
      <c r="A304" s="3">
        <v>42802</v>
      </c>
      <c r="B304">
        <v>4960.4799999999996</v>
      </c>
      <c r="C304">
        <v>1.1059535822399713E-3</v>
      </c>
      <c r="D304">
        <v>0.45165481525073931</v>
      </c>
      <c r="E304">
        <v>-1</v>
      </c>
      <c r="F304" t="b">
        <f>$C$304*$E$304&gt;0</f>
        <v>0</v>
      </c>
    </row>
    <row r="305" spans="1:6" x14ac:dyDescent="0.45">
      <c r="A305" s="3">
        <v>42803</v>
      </c>
      <c r="B305">
        <v>4981.51</v>
      </c>
      <c r="C305">
        <v>4.2395090797666679E-3</v>
      </c>
      <c r="D305">
        <v>0.60927248127161138</v>
      </c>
      <c r="E305">
        <v>1</v>
      </c>
      <c r="F305" t="b">
        <f>$C$305*$E$305&gt;0</f>
        <v>1</v>
      </c>
    </row>
    <row r="306" spans="1:6" x14ac:dyDescent="0.45">
      <c r="A306" s="3">
        <v>42804</v>
      </c>
      <c r="B306">
        <v>4993.32</v>
      </c>
      <c r="C306">
        <v>2.3707670967236805E-3</v>
      </c>
      <c r="D306">
        <v>0.70768650731670424</v>
      </c>
      <c r="E306">
        <v>1</v>
      </c>
      <c r="F306" t="b">
        <f>$C$306*$E$306&gt;0</f>
        <v>1</v>
      </c>
    </row>
    <row r="307" spans="1:6" x14ac:dyDescent="0.45">
      <c r="A307" s="3">
        <v>42807</v>
      </c>
      <c r="B307">
        <v>4999.6000000000004</v>
      </c>
      <c r="C307">
        <v>1.2576802608286197E-3</v>
      </c>
      <c r="D307">
        <v>0.76353306308328939</v>
      </c>
      <c r="E307">
        <v>1</v>
      </c>
      <c r="F307" t="b">
        <f>$C$307*$E$307&gt;0</f>
        <v>1</v>
      </c>
    </row>
    <row r="308" spans="1:6" x14ac:dyDescent="0.45">
      <c r="A308" s="3">
        <v>42808</v>
      </c>
      <c r="B308">
        <v>4974.26</v>
      </c>
      <c r="C308">
        <v>-5.0684054724378091E-3</v>
      </c>
      <c r="D308">
        <v>0.79846432902868492</v>
      </c>
      <c r="E308">
        <v>1</v>
      </c>
      <c r="F308" t="b">
        <f>$C$308*$E$308&gt;0</f>
        <v>0</v>
      </c>
    </row>
    <row r="309" spans="1:6" x14ac:dyDescent="0.45">
      <c r="A309" s="3">
        <v>42809</v>
      </c>
      <c r="B309">
        <v>4985.4799999999996</v>
      </c>
      <c r="C309">
        <v>2.2556118900096678E-3</v>
      </c>
      <c r="D309">
        <v>0.68188993500194206</v>
      </c>
      <c r="E309">
        <v>1</v>
      </c>
      <c r="F309" t="b">
        <f>$C$309*$E$309&gt;0</f>
        <v>1</v>
      </c>
    </row>
    <row r="310" spans="1:6" x14ac:dyDescent="0.45">
      <c r="A310" s="3">
        <v>42810</v>
      </c>
      <c r="B310">
        <v>5013.38</v>
      </c>
      <c r="C310">
        <v>5.5962515143979097E-3</v>
      </c>
      <c r="D310">
        <v>0.74843545956043078</v>
      </c>
      <c r="E310">
        <v>1</v>
      </c>
      <c r="F310" t="b">
        <f>$C$310*$E$310&gt;0</f>
        <v>1</v>
      </c>
    </row>
    <row r="311" spans="1:6" x14ac:dyDescent="0.45">
      <c r="A311" s="3">
        <v>42811</v>
      </c>
      <c r="B311">
        <v>5029.24</v>
      </c>
      <c r="C311">
        <v>3.1635343819937933E-3</v>
      </c>
      <c r="D311">
        <v>0.78864283299895599</v>
      </c>
      <c r="E311">
        <v>1</v>
      </c>
      <c r="F311" t="b">
        <f>$C$311*$E$311&gt;0</f>
        <v>1</v>
      </c>
    </row>
    <row r="312" spans="1:6" x14ac:dyDescent="0.45">
      <c r="A312" s="3">
        <v>42814</v>
      </c>
      <c r="B312">
        <v>5012.16</v>
      </c>
      <c r="C312">
        <v>-3.3961393769237347E-3</v>
      </c>
      <c r="D312">
        <v>0.81549999414090102</v>
      </c>
      <c r="E312">
        <v>1</v>
      </c>
      <c r="F312" t="b">
        <f>$C$312*$E$312&gt;0</f>
        <v>0</v>
      </c>
    </row>
    <row r="313" spans="1:6" x14ac:dyDescent="0.45">
      <c r="A313" s="3">
        <v>42815</v>
      </c>
      <c r="B313">
        <v>5002.43</v>
      </c>
      <c r="C313">
        <v>-1.9412788099341105E-3</v>
      </c>
      <c r="D313">
        <v>0.71039257205938455</v>
      </c>
      <c r="E313">
        <v>1</v>
      </c>
      <c r="F313" t="b">
        <f>$C$313*$E$313&gt;0</f>
        <v>0</v>
      </c>
    </row>
    <row r="314" spans="1:6" x14ac:dyDescent="0.45">
      <c r="A314" s="3">
        <v>42816</v>
      </c>
      <c r="B314">
        <v>4994.7</v>
      </c>
      <c r="C314">
        <v>-1.5452490089816751E-3</v>
      </c>
      <c r="D314">
        <v>0.5518752690761386</v>
      </c>
      <c r="E314">
        <v>1</v>
      </c>
      <c r="F314" t="b">
        <f>$C$314*$E$314&gt;0</f>
        <v>0</v>
      </c>
    </row>
    <row r="315" spans="1:6" x14ac:dyDescent="0.45">
      <c r="A315" s="3">
        <v>42817</v>
      </c>
      <c r="B315">
        <v>5032.76</v>
      </c>
      <c r="C315">
        <v>7.6200772819188245E-3</v>
      </c>
      <c r="D315">
        <v>0.39361399609092745</v>
      </c>
      <c r="E315">
        <v>-1</v>
      </c>
      <c r="F315" t="b">
        <f>$C$315*$E$315&gt;0</f>
        <v>0</v>
      </c>
    </row>
    <row r="316" spans="1:6" x14ac:dyDescent="0.45">
      <c r="A316" s="3">
        <v>42818</v>
      </c>
      <c r="B316">
        <v>5020.8999999999996</v>
      </c>
      <c r="C316">
        <v>-2.356559820059112E-3</v>
      </c>
      <c r="D316">
        <v>0.56223590192474948</v>
      </c>
      <c r="E316">
        <v>1</v>
      </c>
      <c r="F316" t="b">
        <f>$C$316*$E$316&gt;0</f>
        <v>0</v>
      </c>
    </row>
    <row r="317" spans="1:6" x14ac:dyDescent="0.45">
      <c r="A317" s="3">
        <v>42821</v>
      </c>
      <c r="B317">
        <v>5017.43</v>
      </c>
      <c r="C317">
        <v>-6.9111115537046075E-4</v>
      </c>
      <c r="D317">
        <v>0.40096033487990418</v>
      </c>
      <c r="E317">
        <v>-1</v>
      </c>
      <c r="F317" t="b">
        <f>$C$317*$E$317&gt;0</f>
        <v>1</v>
      </c>
    </row>
    <row r="318" spans="1:6" x14ac:dyDescent="0.45">
      <c r="A318" s="3">
        <v>42822</v>
      </c>
      <c r="B318">
        <v>5046.2</v>
      </c>
      <c r="C318">
        <v>5.7340112368282625E-3</v>
      </c>
      <c r="D318">
        <v>0.29818816968823619</v>
      </c>
      <c r="E318">
        <v>-1</v>
      </c>
      <c r="F318" t="b">
        <f>$C$318*$E$318&gt;0</f>
        <v>0</v>
      </c>
    </row>
    <row r="319" spans="1:6" x14ac:dyDescent="0.45">
      <c r="A319" s="3">
        <v>42823</v>
      </c>
      <c r="B319">
        <v>5069.04</v>
      </c>
      <c r="C319">
        <v>4.5261781142245106E-3</v>
      </c>
      <c r="D319">
        <v>0.45986135082866697</v>
      </c>
      <c r="E319">
        <v>-1</v>
      </c>
      <c r="F319" t="b">
        <f>$C$319*$E$319&gt;0</f>
        <v>0</v>
      </c>
    </row>
    <row r="320" spans="1:6" x14ac:dyDescent="0.45">
      <c r="A320" s="3">
        <v>42824</v>
      </c>
      <c r="B320">
        <v>5089.6400000000003</v>
      </c>
      <c r="C320">
        <v>4.063885863990091E-3</v>
      </c>
      <c r="D320">
        <v>0.61673507345746381</v>
      </c>
      <c r="E320">
        <v>1</v>
      </c>
      <c r="F320" t="b">
        <f>$C$320*$E$320&gt;0</f>
        <v>1</v>
      </c>
    </row>
    <row r="321" spans="1:6" x14ac:dyDescent="0.45">
      <c r="A321" s="3">
        <v>42825</v>
      </c>
      <c r="B321">
        <v>5122.51</v>
      </c>
      <c r="C321">
        <v>6.4582170841158693E-3</v>
      </c>
      <c r="D321">
        <v>0.71259389869660661</v>
      </c>
      <c r="E321">
        <v>1</v>
      </c>
      <c r="F321" t="b">
        <f>$C$321*$E$321&gt;0</f>
        <v>1</v>
      </c>
    </row>
    <row r="322" spans="1:6" x14ac:dyDescent="0.45">
      <c r="A322" s="3">
        <v>42828</v>
      </c>
      <c r="B322">
        <v>5085.91</v>
      </c>
      <c r="C322">
        <v>-7.1449348073503449E-3</v>
      </c>
      <c r="D322">
        <v>0.76684954388140147</v>
      </c>
      <c r="E322">
        <v>1</v>
      </c>
      <c r="F322" t="b">
        <f>$C$322*$E$322&gt;0</f>
        <v>0</v>
      </c>
    </row>
    <row r="323" spans="1:6" x14ac:dyDescent="0.45">
      <c r="A323" s="3">
        <v>42829</v>
      </c>
      <c r="B323">
        <v>5101.13</v>
      </c>
      <c r="C323">
        <v>2.9925814652638216E-3</v>
      </c>
      <c r="D323">
        <v>0.63039836955327555</v>
      </c>
      <c r="E323">
        <v>1</v>
      </c>
      <c r="F323" t="b">
        <f>$C$323*$E$323&gt;0</f>
        <v>1</v>
      </c>
    </row>
    <row r="324" spans="1:6" x14ac:dyDescent="0.45">
      <c r="A324" s="3">
        <v>42830</v>
      </c>
      <c r="B324">
        <v>5091.8500000000004</v>
      </c>
      <c r="C324">
        <v>-1.8192047644345344E-3</v>
      </c>
      <c r="D324">
        <v>0.72019363818286886</v>
      </c>
      <c r="E324">
        <v>1</v>
      </c>
      <c r="F324" t="b">
        <f>$C$324*$E$324&gt;0</f>
        <v>0</v>
      </c>
    </row>
    <row r="325" spans="1:6" x14ac:dyDescent="0.45">
      <c r="A325" s="3">
        <v>42831</v>
      </c>
      <c r="B325">
        <v>5121.4399999999996</v>
      </c>
      <c r="C325">
        <v>5.8112473855276292E-3</v>
      </c>
      <c r="D325">
        <v>0.56301902351058697</v>
      </c>
      <c r="E325">
        <v>1</v>
      </c>
      <c r="F325" t="b">
        <f>$C$325*$E$325&gt;0</f>
        <v>1</v>
      </c>
    </row>
    <row r="326" spans="1:6" x14ac:dyDescent="0.45">
      <c r="A326" s="3">
        <v>42832</v>
      </c>
      <c r="B326">
        <v>5135.28</v>
      </c>
      <c r="C326">
        <v>2.7023649598549859E-3</v>
      </c>
      <c r="D326">
        <v>0.68277961171183199</v>
      </c>
      <c r="E326">
        <v>1</v>
      </c>
      <c r="F326" t="b">
        <f>$C$326*$E$326&gt;0</f>
        <v>1</v>
      </c>
    </row>
    <row r="327" spans="1:6" x14ac:dyDescent="0.45">
      <c r="A327" s="3">
        <v>42835</v>
      </c>
      <c r="B327">
        <v>5107.45</v>
      </c>
      <c r="C327">
        <v>-5.4193734324126108E-3</v>
      </c>
      <c r="D327">
        <v>0.74959401095633993</v>
      </c>
      <c r="E327">
        <v>1</v>
      </c>
      <c r="F327" t="b">
        <f>$C$327*$E$327&gt;0</f>
        <v>0</v>
      </c>
    </row>
    <row r="328" spans="1:6" x14ac:dyDescent="0.45">
      <c r="A328" s="3">
        <v>42836</v>
      </c>
      <c r="B328">
        <v>5101.8599999999997</v>
      </c>
      <c r="C328">
        <v>-1.0944796326934902E-3</v>
      </c>
      <c r="D328">
        <v>0.60406945181221994</v>
      </c>
      <c r="E328">
        <v>1</v>
      </c>
      <c r="F328" t="b">
        <f>$C$328*$E$328&gt;0</f>
        <v>0</v>
      </c>
    </row>
    <row r="329" spans="1:6" x14ac:dyDescent="0.45">
      <c r="A329" s="3">
        <v>42837</v>
      </c>
      <c r="B329">
        <v>5101.1099999999997</v>
      </c>
      <c r="C329">
        <v>-1.4700520986465904E-4</v>
      </c>
      <c r="D329">
        <v>0.43421824386126051</v>
      </c>
      <c r="E329">
        <v>-1</v>
      </c>
      <c r="F329" t="b">
        <f>$C$329*$E$329&gt;0</f>
        <v>1</v>
      </c>
    </row>
    <row r="330" spans="1:6" x14ac:dyDescent="0.45">
      <c r="A330" s="3">
        <v>42838</v>
      </c>
      <c r="B330">
        <v>5071.1000000000004</v>
      </c>
      <c r="C330">
        <v>-5.8830333005952529E-3</v>
      </c>
      <c r="D330">
        <v>0.31593491474422064</v>
      </c>
      <c r="E330">
        <v>-1</v>
      </c>
      <c r="F330" t="b">
        <f>$C$330*$E$330&gt;0</f>
        <v>1</v>
      </c>
    </row>
    <row r="331" spans="1:6" x14ac:dyDescent="0.45">
      <c r="A331" s="3">
        <v>42843</v>
      </c>
      <c r="B331">
        <v>4990.25</v>
      </c>
      <c r="C331">
        <v>-1.594328646644716E-2</v>
      </c>
      <c r="D331">
        <v>0.25001838098690254</v>
      </c>
      <c r="E331">
        <v>-1</v>
      </c>
      <c r="F331" t="b">
        <f>$C$331*$E$331&gt;0</f>
        <v>1</v>
      </c>
    </row>
    <row r="332" spans="1:6" x14ac:dyDescent="0.45">
      <c r="A332" s="3">
        <v>42844</v>
      </c>
      <c r="B332">
        <v>5003.7299999999996</v>
      </c>
      <c r="C332">
        <v>2.7012674715694018E-3</v>
      </c>
      <c r="D332">
        <v>0.2103175706414733</v>
      </c>
      <c r="E332">
        <v>-1</v>
      </c>
      <c r="F332" t="b">
        <f>$C$332*$E$332&gt;0</f>
        <v>0</v>
      </c>
    </row>
    <row r="333" spans="1:6" x14ac:dyDescent="0.45">
      <c r="A333" s="3">
        <v>42845</v>
      </c>
      <c r="B333">
        <v>5077.91</v>
      </c>
      <c r="C333">
        <v>1.4824940594316605E-2</v>
      </c>
      <c r="D333">
        <v>0.33288176956012233</v>
      </c>
      <c r="E333">
        <v>-1</v>
      </c>
      <c r="F333" t="b">
        <f>$C$333*$E$333&gt;0</f>
        <v>0</v>
      </c>
    </row>
    <row r="334" spans="1:6" x14ac:dyDescent="0.45">
      <c r="A334" s="3">
        <v>42846</v>
      </c>
      <c r="B334">
        <v>5059.2</v>
      </c>
      <c r="C334">
        <v>-3.6845867689659917E-3</v>
      </c>
      <c r="D334">
        <v>0.50307261973724571</v>
      </c>
      <c r="E334">
        <v>1</v>
      </c>
      <c r="F334" t="b">
        <f>$C$334*$E$334&gt;0</f>
        <v>0</v>
      </c>
    </row>
    <row r="335" spans="1:6" x14ac:dyDescent="0.45">
      <c r="A335" s="3">
        <v>42849</v>
      </c>
      <c r="B335">
        <v>5268.85</v>
      </c>
      <c r="C335">
        <v>4.1439358001265081E-2</v>
      </c>
      <c r="D335">
        <v>0.3571558098287565</v>
      </c>
      <c r="E335">
        <v>-1</v>
      </c>
      <c r="F335" t="b">
        <f>$C$335*$E$335&gt;0</f>
        <v>0</v>
      </c>
    </row>
    <row r="336" spans="1:6" x14ac:dyDescent="0.45">
      <c r="A336" s="3">
        <v>42850</v>
      </c>
      <c r="B336">
        <v>5277.88</v>
      </c>
      <c r="C336">
        <v>1.7138464750372506E-3</v>
      </c>
      <c r="D336">
        <v>0.5297047922902075</v>
      </c>
      <c r="E336">
        <v>1</v>
      </c>
      <c r="F336" t="b">
        <f>$C$336*$E$336&gt;0</f>
        <v>1</v>
      </c>
    </row>
    <row r="337" spans="1:6" x14ac:dyDescent="0.45">
      <c r="A337" s="3">
        <v>42851</v>
      </c>
      <c r="B337">
        <v>5287.88</v>
      </c>
      <c r="C337">
        <v>1.8947001447551237E-3</v>
      </c>
      <c r="D337">
        <v>0.66417351231971533</v>
      </c>
      <c r="E337">
        <v>1</v>
      </c>
      <c r="F337" t="b">
        <f>$C$337*$E$337&gt;0</f>
        <v>1</v>
      </c>
    </row>
    <row r="338" spans="1:6" x14ac:dyDescent="0.45">
      <c r="A338" s="3">
        <v>42852</v>
      </c>
      <c r="B338">
        <v>5271.7</v>
      </c>
      <c r="C338">
        <v>-3.0598273788361441E-3</v>
      </c>
      <c r="D338">
        <v>0.73956452277142493</v>
      </c>
      <c r="E338">
        <v>1</v>
      </c>
      <c r="F338" t="b">
        <f>$C$338*$E$338&gt;0</f>
        <v>0</v>
      </c>
    </row>
    <row r="339" spans="1:6" x14ac:dyDescent="0.45">
      <c r="A339" s="3">
        <v>42853</v>
      </c>
      <c r="B339">
        <v>5267.33</v>
      </c>
      <c r="C339">
        <v>-8.2895460667331555E-4</v>
      </c>
      <c r="D339">
        <v>0.58833512226971696</v>
      </c>
      <c r="E339">
        <v>1</v>
      </c>
      <c r="F339" t="b">
        <f>$C$339*$E$339&gt;0</f>
        <v>0</v>
      </c>
    </row>
    <row r="340" spans="1:6" x14ac:dyDescent="0.45">
      <c r="A340" s="3">
        <v>42857</v>
      </c>
      <c r="B340">
        <v>5304.15</v>
      </c>
      <c r="C340">
        <v>6.9902588218317963E-3</v>
      </c>
      <c r="D340">
        <v>0.41918324426319048</v>
      </c>
      <c r="E340">
        <v>-1</v>
      </c>
      <c r="F340" t="b">
        <f>$C$340*$E$340&gt;0</f>
        <v>0</v>
      </c>
    </row>
    <row r="341" spans="1:6" x14ac:dyDescent="0.45">
      <c r="A341" s="3">
        <v>42858</v>
      </c>
      <c r="B341">
        <v>5301</v>
      </c>
      <c r="C341">
        <v>-5.938746076185053E-4</v>
      </c>
      <c r="D341">
        <v>0.58767024170516435</v>
      </c>
      <c r="E341">
        <v>1</v>
      </c>
      <c r="F341" t="b">
        <f>$C$341*$E$341&gt;0</f>
        <v>0</v>
      </c>
    </row>
    <row r="342" spans="1:6" x14ac:dyDescent="0.45">
      <c r="A342" s="3">
        <v>42859</v>
      </c>
      <c r="B342">
        <v>5372.42</v>
      </c>
      <c r="C342">
        <v>1.347292963591773E-2</v>
      </c>
      <c r="D342">
        <v>0.41817567538751993</v>
      </c>
      <c r="E342">
        <v>-1</v>
      </c>
      <c r="F342" t="b">
        <f>$C$342*$E$342&gt;0</f>
        <v>0</v>
      </c>
    </row>
    <row r="343" spans="1:6" x14ac:dyDescent="0.45">
      <c r="A343" s="3">
        <v>42860</v>
      </c>
      <c r="B343">
        <v>5432.4</v>
      </c>
      <c r="C343">
        <v>1.1164428693214434E-2</v>
      </c>
      <c r="D343">
        <v>0.58725690457813895</v>
      </c>
      <c r="E343">
        <v>1</v>
      </c>
      <c r="F343" t="b">
        <f>$C$343*$E$343&gt;0</f>
        <v>1</v>
      </c>
    </row>
    <row r="344" spans="1:6" x14ac:dyDescent="0.45">
      <c r="A344" s="3">
        <v>42863</v>
      </c>
      <c r="B344">
        <v>5382.95</v>
      </c>
      <c r="C344">
        <v>-9.1027906634267852E-3</v>
      </c>
      <c r="D344">
        <v>0.69785512509414493</v>
      </c>
      <c r="E344">
        <v>1</v>
      </c>
      <c r="F344" t="b">
        <f>$C$344*$E$344&gt;0</f>
        <v>0</v>
      </c>
    </row>
    <row r="345" spans="1:6" x14ac:dyDescent="0.45">
      <c r="A345" s="3">
        <v>42864</v>
      </c>
      <c r="B345">
        <v>5398.01</v>
      </c>
      <c r="C345">
        <v>2.797722438439898E-3</v>
      </c>
      <c r="D345">
        <v>0.53135481255588246</v>
      </c>
      <c r="E345">
        <v>1</v>
      </c>
      <c r="F345" t="b">
        <f>$C$345*$E$345&gt;0</f>
        <v>1</v>
      </c>
    </row>
    <row r="346" spans="1:6" x14ac:dyDescent="0.45">
      <c r="A346" s="3">
        <v>42865</v>
      </c>
      <c r="B346">
        <v>5400.46</v>
      </c>
      <c r="C346">
        <v>4.5387096355886669E-4</v>
      </c>
      <c r="D346">
        <v>0.66615488129689282</v>
      </c>
      <c r="E346">
        <v>1</v>
      </c>
      <c r="F346" t="b">
        <f>$C$346*$E$346&gt;0</f>
        <v>1</v>
      </c>
    </row>
    <row r="347" spans="1:6" x14ac:dyDescent="0.45">
      <c r="A347" s="3">
        <v>42866</v>
      </c>
      <c r="B347">
        <v>5383.42</v>
      </c>
      <c r="C347">
        <v>-3.1552867718676048E-3</v>
      </c>
      <c r="D347">
        <v>0.74115409447556824</v>
      </c>
      <c r="E347">
        <v>1</v>
      </c>
      <c r="F347" t="b">
        <f>$C$347*$E$347&gt;0</f>
        <v>0</v>
      </c>
    </row>
    <row r="348" spans="1:6" x14ac:dyDescent="0.45">
      <c r="A348" s="3">
        <v>42867</v>
      </c>
      <c r="B348">
        <v>5405.42</v>
      </c>
      <c r="C348">
        <v>4.0866215156907248E-3</v>
      </c>
      <c r="D348">
        <v>0.58940485639764317</v>
      </c>
      <c r="E348">
        <v>1</v>
      </c>
      <c r="F348" t="b">
        <f>$C$348*$E$348&gt;0</f>
        <v>1</v>
      </c>
    </row>
    <row r="349" spans="1:6" x14ac:dyDescent="0.45">
      <c r="A349" s="3">
        <v>42870</v>
      </c>
      <c r="B349">
        <v>5417.4</v>
      </c>
      <c r="C349">
        <v>2.2162940160059819E-3</v>
      </c>
      <c r="D349">
        <v>0.6993098807064545</v>
      </c>
      <c r="E349">
        <v>1</v>
      </c>
      <c r="F349" t="b">
        <f>$C$349*$E$349&gt;0</f>
        <v>1</v>
      </c>
    </row>
    <row r="350" spans="1:6" x14ac:dyDescent="0.45">
      <c r="A350" s="3">
        <v>42871</v>
      </c>
      <c r="B350">
        <v>5406.1</v>
      </c>
      <c r="C350">
        <v>-2.0858714512494991E-3</v>
      </c>
      <c r="D350">
        <v>0.75993169628434398</v>
      </c>
      <c r="E350">
        <v>1</v>
      </c>
      <c r="F350" t="b">
        <f>$C$350*$E$350&gt;0</f>
        <v>0</v>
      </c>
    </row>
    <row r="351" spans="1:6" x14ac:dyDescent="0.45">
      <c r="A351" s="3">
        <v>42872</v>
      </c>
      <c r="B351">
        <v>5317.89</v>
      </c>
      <c r="C351">
        <v>-1.6316753297201281E-2</v>
      </c>
      <c r="D351">
        <v>0.61713993048811</v>
      </c>
      <c r="E351">
        <v>1</v>
      </c>
      <c r="F351" t="b">
        <f>$C$351*$E$351&gt;0</f>
        <v>0</v>
      </c>
    </row>
    <row r="352" spans="1:6" x14ac:dyDescent="0.45">
      <c r="A352" s="3">
        <v>42873</v>
      </c>
      <c r="B352">
        <v>5289.73</v>
      </c>
      <c r="C352">
        <v>-5.2953332994855051E-3</v>
      </c>
      <c r="D352">
        <v>0.44315024505539269</v>
      </c>
      <c r="E352">
        <v>-1</v>
      </c>
      <c r="F352" t="b">
        <f>$C$352*$E$352&gt;0</f>
        <v>1</v>
      </c>
    </row>
    <row r="353" spans="1:6" x14ac:dyDescent="0.45">
      <c r="A353" s="3">
        <v>42874</v>
      </c>
      <c r="B353">
        <v>5324.4</v>
      </c>
      <c r="C353">
        <v>6.5542097611788197E-3</v>
      </c>
      <c r="D353">
        <v>0.31907546644479889</v>
      </c>
      <c r="E353">
        <v>-1</v>
      </c>
      <c r="F353" t="b">
        <f>$C$353*$E$353&gt;0</f>
        <v>0</v>
      </c>
    </row>
    <row r="354" spans="1:6" x14ac:dyDescent="0.45">
      <c r="A354" s="3">
        <v>42877</v>
      </c>
      <c r="B354">
        <v>5322.88</v>
      </c>
      <c r="C354">
        <v>-2.854781759445979E-4</v>
      </c>
      <c r="D354">
        <v>0.49001648859093633</v>
      </c>
      <c r="E354">
        <v>-1</v>
      </c>
      <c r="F354" t="b">
        <f>$C$354*$E$354&gt;0</f>
        <v>1</v>
      </c>
    </row>
    <row r="355" spans="1:6" x14ac:dyDescent="0.45">
      <c r="A355" s="3">
        <v>42879</v>
      </c>
      <c r="B355">
        <v>5341.34</v>
      </c>
      <c r="C355">
        <v>3.4680473728507799E-3</v>
      </c>
      <c r="D355">
        <v>0.34662627667568646</v>
      </c>
      <c r="E355">
        <v>-1</v>
      </c>
      <c r="F355" t="b">
        <f>$C$355*$E$355&gt;0</f>
        <v>0</v>
      </c>
    </row>
    <row r="356" spans="1:6" x14ac:dyDescent="0.45">
      <c r="A356" s="3">
        <v>42880</v>
      </c>
      <c r="B356">
        <v>5337.16</v>
      </c>
      <c r="C356">
        <v>-7.8257515904256447E-4</v>
      </c>
      <c r="D356">
        <v>0.52138563927783677</v>
      </c>
      <c r="E356">
        <v>1</v>
      </c>
      <c r="F356" t="b">
        <f>$C$356*$E$356&gt;0</f>
        <v>0</v>
      </c>
    </row>
    <row r="357" spans="1:6" x14ac:dyDescent="0.45">
      <c r="A357" s="3">
        <v>42881</v>
      </c>
      <c r="B357">
        <v>5336.64</v>
      </c>
      <c r="C357">
        <v>-9.7430093907502346E-5</v>
      </c>
      <c r="D357">
        <v>0.36664376434026652</v>
      </c>
      <c r="E357">
        <v>-1</v>
      </c>
      <c r="F357" t="b">
        <f>$C$357*$E$357&gt;0</f>
        <v>1</v>
      </c>
    </row>
    <row r="358" spans="1:6" x14ac:dyDescent="0.45">
      <c r="A358" s="3">
        <v>42884</v>
      </c>
      <c r="B358">
        <v>5332.47</v>
      </c>
      <c r="C358">
        <v>-7.8139053786652202E-4</v>
      </c>
      <c r="D358">
        <v>0.27667687837023619</v>
      </c>
      <c r="E358">
        <v>-1</v>
      </c>
      <c r="F358" t="b">
        <f>$C$358*$E$358&gt;0</f>
        <v>1</v>
      </c>
    </row>
    <row r="359" spans="1:6" x14ac:dyDescent="0.45">
      <c r="A359" s="3">
        <v>42885</v>
      </c>
      <c r="B359">
        <v>5305.94</v>
      </c>
      <c r="C359">
        <v>-4.9751803573204745E-3</v>
      </c>
      <c r="D359">
        <v>0.22600670888215316</v>
      </c>
      <c r="E359">
        <v>-1</v>
      </c>
      <c r="F359" t="b">
        <f>$C$359*$E$359&gt;0</f>
        <v>1</v>
      </c>
    </row>
    <row r="360" spans="1:6" x14ac:dyDescent="0.45">
      <c r="A360" s="3">
        <v>42886</v>
      </c>
      <c r="B360">
        <v>5283.63</v>
      </c>
      <c r="C360">
        <v>-4.2047215008084171E-3</v>
      </c>
      <c r="D360">
        <v>0.19401607884687888</v>
      </c>
      <c r="E360">
        <v>-1</v>
      </c>
      <c r="F360" t="b">
        <f>$C$360*$E$360&gt;0</f>
        <v>1</v>
      </c>
    </row>
    <row r="361" spans="1:6" x14ac:dyDescent="0.45">
      <c r="A361" s="3">
        <v>42887</v>
      </c>
      <c r="B361">
        <v>5318.67</v>
      </c>
      <c r="C361">
        <v>6.631804270927466E-3</v>
      </c>
      <c r="D361">
        <v>0.17185113676062294</v>
      </c>
      <c r="E361">
        <v>-1</v>
      </c>
      <c r="F361" t="b">
        <f>$C$361*$E$361&gt;0</f>
        <v>0</v>
      </c>
    </row>
    <row r="362" spans="1:6" x14ac:dyDescent="0.45">
      <c r="A362" s="3">
        <v>42888</v>
      </c>
      <c r="B362">
        <v>5343.41</v>
      </c>
      <c r="C362">
        <v>4.6515388245558231E-3</v>
      </c>
      <c r="D362">
        <v>0.26964905497235681</v>
      </c>
      <c r="E362">
        <v>-1</v>
      </c>
      <c r="F362" t="b">
        <f>$C$362*$E$362&gt;0</f>
        <v>0</v>
      </c>
    </row>
    <row r="363" spans="1:6" x14ac:dyDescent="0.45">
      <c r="A363" s="3">
        <v>42891</v>
      </c>
      <c r="B363">
        <v>5307.89</v>
      </c>
      <c r="C363">
        <v>-6.6474404921200714E-3</v>
      </c>
      <c r="D363">
        <v>0.42656626738547088</v>
      </c>
      <c r="E363">
        <v>-1</v>
      </c>
      <c r="F363" t="b">
        <f>$C$363*$E$363&gt;0</f>
        <v>1</v>
      </c>
    </row>
    <row r="364" spans="1:6" x14ac:dyDescent="0.45">
      <c r="A364" s="3">
        <v>42892</v>
      </c>
      <c r="B364">
        <v>5269.22</v>
      </c>
      <c r="C364">
        <v>-7.2853808198738434E-3</v>
      </c>
      <c r="D364">
        <v>0.30926003461981227</v>
      </c>
      <c r="E364">
        <v>-1</v>
      </c>
      <c r="F364" t="b">
        <f>$C$364*$E$364&gt;0</f>
        <v>1</v>
      </c>
    </row>
    <row r="365" spans="1:6" x14ac:dyDescent="0.45">
      <c r="A365" s="3">
        <v>42893</v>
      </c>
      <c r="B365">
        <v>5265.53</v>
      </c>
      <c r="C365">
        <v>-7.002934020595708E-4</v>
      </c>
      <c r="D365">
        <v>0.24496991765512705</v>
      </c>
      <c r="E365">
        <v>-1</v>
      </c>
      <c r="F365" t="b">
        <f>$C$365*$E$365&gt;0</f>
        <v>1</v>
      </c>
    </row>
    <row r="366" spans="1:6" x14ac:dyDescent="0.45">
      <c r="A366" s="3">
        <v>42894</v>
      </c>
      <c r="B366">
        <v>5264.24</v>
      </c>
      <c r="C366">
        <v>-2.4498958319485453E-4</v>
      </c>
      <c r="D366">
        <v>0.20637765170641148</v>
      </c>
      <c r="E366">
        <v>-1</v>
      </c>
      <c r="F366" t="b">
        <f>$C$366*$E$366&gt;0</f>
        <v>1</v>
      </c>
    </row>
    <row r="367" spans="1:6" x14ac:dyDescent="0.45">
      <c r="A367" s="3">
        <v>42895</v>
      </c>
      <c r="B367">
        <v>5299.71</v>
      </c>
      <c r="C367">
        <v>6.7379146847408311E-3</v>
      </c>
      <c r="D367">
        <v>0.18060528126656891</v>
      </c>
      <c r="E367">
        <v>-1</v>
      </c>
      <c r="F367" t="b">
        <f>$C$367*$E$367&gt;0</f>
        <v>0</v>
      </c>
    </row>
    <row r="368" spans="1:6" x14ac:dyDescent="0.45">
      <c r="A368" s="3">
        <v>42898</v>
      </c>
      <c r="B368">
        <v>5240.59</v>
      </c>
      <c r="C368">
        <v>-1.1155327366969114E-2</v>
      </c>
      <c r="D368">
        <v>0.28505773603891915</v>
      </c>
      <c r="E368">
        <v>-1</v>
      </c>
      <c r="F368" t="b">
        <f>$C$368*$E$368&gt;0</f>
        <v>1</v>
      </c>
    </row>
    <row r="369" spans="1:6" x14ac:dyDescent="0.45">
      <c r="A369" s="3">
        <v>42899</v>
      </c>
      <c r="B369">
        <v>5261.74</v>
      </c>
      <c r="C369">
        <v>4.0358051288118535E-3</v>
      </c>
      <c r="D369">
        <v>0.23098462626603775</v>
      </c>
      <c r="E369">
        <v>-1</v>
      </c>
      <c r="F369" t="b">
        <f>$C$369*$E$369&gt;0</f>
        <v>0</v>
      </c>
    </row>
    <row r="370" spans="1:6" x14ac:dyDescent="0.45">
      <c r="A370" s="3">
        <v>42900</v>
      </c>
      <c r="B370">
        <v>5243.29</v>
      </c>
      <c r="C370">
        <v>-3.506444636184991E-3</v>
      </c>
      <c r="D370">
        <v>0.36898392805960606</v>
      </c>
      <c r="E370">
        <v>-1</v>
      </c>
      <c r="F370" t="b">
        <f>$C$370*$E$370&gt;0</f>
        <v>1</v>
      </c>
    </row>
    <row r="371" spans="1:6" x14ac:dyDescent="0.45">
      <c r="A371" s="3">
        <v>42901</v>
      </c>
      <c r="B371">
        <v>5216.88</v>
      </c>
      <c r="C371">
        <v>-5.0369138460775176E-3</v>
      </c>
      <c r="D371">
        <v>0.27788910478202544</v>
      </c>
      <c r="E371">
        <v>-1</v>
      </c>
      <c r="F371" t="b">
        <f>$C$371*$E$371&gt;0</f>
        <v>1</v>
      </c>
    </row>
    <row r="372" spans="1:6" x14ac:dyDescent="0.45">
      <c r="A372" s="3">
        <v>42902</v>
      </c>
      <c r="B372">
        <v>5263.31</v>
      </c>
      <c r="C372">
        <v>8.8999555289752674E-3</v>
      </c>
      <c r="D372">
        <v>0.22670299523096241</v>
      </c>
      <c r="E372">
        <v>-1</v>
      </c>
      <c r="F372" t="b">
        <f>$C$372*$E$372&gt;0</f>
        <v>0</v>
      </c>
    </row>
    <row r="373" spans="1:6" x14ac:dyDescent="0.45">
      <c r="A373" s="3">
        <v>42905</v>
      </c>
      <c r="B373">
        <v>5310.72</v>
      </c>
      <c r="C373">
        <v>9.0076396792131419E-3</v>
      </c>
      <c r="D373">
        <v>0.36227484696451678</v>
      </c>
      <c r="E373">
        <v>-1</v>
      </c>
      <c r="F373" t="b">
        <f>$C$373*$E$373&gt;0</f>
        <v>0</v>
      </c>
    </row>
    <row r="374" spans="1:6" x14ac:dyDescent="0.45">
      <c r="A374" s="3">
        <v>42906</v>
      </c>
      <c r="B374">
        <v>5293.65</v>
      </c>
      <c r="C374">
        <v>-3.2142534345626084E-3</v>
      </c>
      <c r="D374">
        <v>0.53817342323075013</v>
      </c>
      <c r="E374">
        <v>1</v>
      </c>
      <c r="F374" t="b">
        <f>$C$374*$E$374&gt;0</f>
        <v>0</v>
      </c>
    </row>
    <row r="375" spans="1:6" x14ac:dyDescent="0.45">
      <c r="A375" s="3">
        <v>42907</v>
      </c>
      <c r="B375">
        <v>5274.26</v>
      </c>
      <c r="C375">
        <v>-3.6628791098768376E-3</v>
      </c>
      <c r="D375">
        <v>0.37779211741246704</v>
      </c>
      <c r="E375">
        <v>-1</v>
      </c>
      <c r="F375" t="b">
        <f>$C$375*$E$375&gt;0</f>
        <v>1</v>
      </c>
    </row>
    <row r="376" spans="1:6" x14ac:dyDescent="0.45">
      <c r="A376" s="3">
        <v>42908</v>
      </c>
      <c r="B376">
        <v>5281.93</v>
      </c>
      <c r="C376">
        <v>1.4542324420867558E-3</v>
      </c>
      <c r="D376">
        <v>0.28245311133818446</v>
      </c>
      <c r="E376">
        <v>-1</v>
      </c>
      <c r="F376" t="b">
        <f>$C$376*$E$376&gt;0</f>
        <v>0</v>
      </c>
    </row>
    <row r="377" spans="1:6" x14ac:dyDescent="0.45">
      <c r="A377" s="3">
        <v>42909</v>
      </c>
      <c r="B377">
        <v>5266.12</v>
      </c>
      <c r="C377">
        <v>-2.9932240677177369E-3</v>
      </c>
      <c r="D377">
        <v>0.4447936003001664</v>
      </c>
      <c r="E377">
        <v>-1</v>
      </c>
      <c r="F377" t="b">
        <f>$C$377*$E$377&gt;0</f>
        <v>1</v>
      </c>
    </row>
    <row r="378" spans="1:6" x14ac:dyDescent="0.45">
      <c r="A378" s="3">
        <v>42912</v>
      </c>
      <c r="B378">
        <v>5295.75</v>
      </c>
      <c r="C378">
        <v>5.6265333870098022E-3</v>
      </c>
      <c r="D378">
        <v>0.31906927243434435</v>
      </c>
      <c r="E378">
        <v>-1</v>
      </c>
      <c r="F378" t="b">
        <f>$C$378*$E$378&gt;0</f>
        <v>0</v>
      </c>
    </row>
    <row r="379" spans="1:6" x14ac:dyDescent="0.45">
      <c r="A379" s="3">
        <v>42913</v>
      </c>
      <c r="B379">
        <v>5258.58</v>
      </c>
      <c r="C379">
        <v>-7.0188358589434729E-3</v>
      </c>
      <c r="D379">
        <v>0.49138638638017623</v>
      </c>
      <c r="E379">
        <v>-1</v>
      </c>
      <c r="F379" t="b">
        <f>$C$379*$E$379&gt;0</f>
        <v>1</v>
      </c>
    </row>
    <row r="380" spans="1:6" x14ac:dyDescent="0.45">
      <c r="A380" s="3">
        <v>42914</v>
      </c>
      <c r="B380">
        <v>5252.9</v>
      </c>
      <c r="C380">
        <v>-1.0801395053418039E-3</v>
      </c>
      <c r="D380">
        <v>0.34642277868684951</v>
      </c>
      <c r="E380">
        <v>-1</v>
      </c>
      <c r="F380" t="b">
        <f>$C$380*$E$380&gt;0</f>
        <v>1</v>
      </c>
    </row>
    <row r="381" spans="1:6" x14ac:dyDescent="0.45">
      <c r="A381" s="3">
        <v>42915</v>
      </c>
      <c r="B381">
        <v>5154.3500000000004</v>
      </c>
      <c r="C381">
        <v>-1.8761065316301284E-2</v>
      </c>
      <c r="D381">
        <v>0.26526949340062411</v>
      </c>
      <c r="E381">
        <v>-1</v>
      </c>
      <c r="F381" t="b">
        <f>$C$381*$E$381&gt;0</f>
        <v>1</v>
      </c>
    </row>
    <row r="382" spans="1:6" x14ac:dyDescent="0.45">
      <c r="A382" s="3">
        <v>42916</v>
      </c>
      <c r="B382">
        <v>5120.68</v>
      </c>
      <c r="C382">
        <v>-6.5323464646366292E-3</v>
      </c>
      <c r="D382">
        <v>0.21887303915288414</v>
      </c>
      <c r="E382">
        <v>-1</v>
      </c>
      <c r="F382" t="b">
        <f>$C$382*$E$382&gt;0</f>
        <v>1</v>
      </c>
    </row>
    <row r="383" spans="1:6" x14ac:dyDescent="0.45">
      <c r="A383" s="3">
        <v>42919</v>
      </c>
      <c r="B383">
        <v>5195.72</v>
      </c>
      <c r="C383">
        <v>1.4654303725286422E-2</v>
      </c>
      <c r="D383">
        <v>0.18908278021031294</v>
      </c>
      <c r="E383">
        <v>-1</v>
      </c>
      <c r="F383" t="b">
        <f>$C$383*$E$383&gt;0</f>
        <v>0</v>
      </c>
    </row>
    <row r="384" spans="1:6" x14ac:dyDescent="0.45">
      <c r="A384" s="3">
        <v>42920</v>
      </c>
      <c r="B384">
        <v>5174.8999999999996</v>
      </c>
      <c r="C384">
        <v>-4.0071443418815411E-3</v>
      </c>
      <c r="D384">
        <v>0.30031863484657445</v>
      </c>
      <c r="E384">
        <v>-1</v>
      </c>
      <c r="F384" t="b">
        <f>$C$384*$E$384&gt;0</f>
        <v>1</v>
      </c>
    </row>
    <row r="385" spans="1:6" x14ac:dyDescent="0.45">
      <c r="A385" s="3">
        <v>42921</v>
      </c>
      <c r="B385">
        <v>5180.1000000000004</v>
      </c>
      <c r="C385">
        <v>1.0048503352724225E-3</v>
      </c>
      <c r="D385">
        <v>0.23960069205902701</v>
      </c>
      <c r="E385">
        <v>-1</v>
      </c>
      <c r="F385" t="b">
        <f>$C$385*$E$385&gt;0</f>
        <v>0</v>
      </c>
    </row>
    <row r="386" spans="1:6" x14ac:dyDescent="0.45">
      <c r="A386" s="3">
        <v>42922</v>
      </c>
      <c r="B386">
        <v>5152.3999999999996</v>
      </c>
      <c r="C386">
        <v>-5.347387116078961E-3</v>
      </c>
      <c r="D386">
        <v>0.38318429184738168</v>
      </c>
      <c r="E386">
        <v>-1</v>
      </c>
      <c r="F386" t="b">
        <f>$C$386*$E$386&gt;0</f>
        <v>1</v>
      </c>
    </row>
    <row r="387" spans="1:6" x14ac:dyDescent="0.45">
      <c r="A387" s="3">
        <v>42923</v>
      </c>
      <c r="B387">
        <v>5145.16</v>
      </c>
      <c r="C387">
        <v>-1.4051704060242809E-3</v>
      </c>
      <c r="D387">
        <v>0.28509281394818325</v>
      </c>
      <c r="E387">
        <v>-1</v>
      </c>
      <c r="F387" t="b">
        <f>$C$387*$E$387&gt;0</f>
        <v>1</v>
      </c>
    </row>
    <row r="388" spans="1:6" x14ac:dyDescent="0.45">
      <c r="A388" s="3">
        <v>42926</v>
      </c>
      <c r="B388">
        <v>5165.6400000000003</v>
      </c>
      <c r="C388">
        <v>3.9804398697029786E-3</v>
      </c>
      <c r="D388">
        <v>0.23073206783852429</v>
      </c>
      <c r="E388">
        <v>-1</v>
      </c>
      <c r="F388" t="b">
        <f>$C$388*$E$388&gt;0</f>
        <v>0</v>
      </c>
    </row>
    <row r="389" spans="1:6" x14ac:dyDescent="0.45">
      <c r="A389" s="3">
        <v>42927</v>
      </c>
      <c r="B389">
        <v>5140.6000000000004</v>
      </c>
      <c r="C389">
        <v>-4.8474148411425944E-3</v>
      </c>
      <c r="D389">
        <v>0.36942059975764552</v>
      </c>
      <c r="E389">
        <v>-1</v>
      </c>
      <c r="F389" t="b">
        <f>$C$389*$E$389&gt;0</f>
        <v>1</v>
      </c>
    </row>
    <row r="390" spans="1:6" x14ac:dyDescent="0.45">
      <c r="A390" s="3">
        <v>42928</v>
      </c>
      <c r="B390">
        <v>5222.13</v>
      </c>
      <c r="C390">
        <v>1.5860016340504934E-2</v>
      </c>
      <c r="D390">
        <v>0.27764932912832913</v>
      </c>
      <c r="E390">
        <v>-1</v>
      </c>
      <c r="F390" t="b">
        <f>$C$390*$E$390&gt;0</f>
        <v>0</v>
      </c>
    </row>
    <row r="391" spans="1:6" x14ac:dyDescent="0.45">
      <c r="A391" s="3">
        <v>42929</v>
      </c>
      <c r="B391">
        <v>5235.3999999999996</v>
      </c>
      <c r="C391">
        <v>2.5411087046856018E-3</v>
      </c>
      <c r="D391">
        <v>0.43882588378016868</v>
      </c>
      <c r="E391">
        <v>-1</v>
      </c>
      <c r="F391" t="b">
        <f>$C$391*$E$391&gt;0</f>
        <v>0</v>
      </c>
    </row>
    <row r="392" spans="1:6" x14ac:dyDescent="0.45">
      <c r="A392" s="3">
        <v>42930</v>
      </c>
      <c r="B392">
        <v>5235.3100000000004</v>
      </c>
      <c r="C392">
        <v>-1.7190663559429886E-5</v>
      </c>
      <c r="D392">
        <v>0.60638043044204282</v>
      </c>
      <c r="E392">
        <v>1</v>
      </c>
      <c r="F392" t="b">
        <f>$C$392*$E$392&gt;0</f>
        <v>0</v>
      </c>
    </row>
    <row r="393" spans="1:6" x14ac:dyDescent="0.45">
      <c r="A393" s="3">
        <v>42933</v>
      </c>
      <c r="B393">
        <v>5230.17</v>
      </c>
      <c r="C393">
        <v>-9.8179477433046891E-4</v>
      </c>
      <c r="D393">
        <v>0.43104036583442956</v>
      </c>
      <c r="E393">
        <v>-1</v>
      </c>
      <c r="F393" t="b">
        <f>$C$393*$E$393&gt;0</f>
        <v>1</v>
      </c>
    </row>
    <row r="394" spans="1:6" x14ac:dyDescent="0.45">
      <c r="A394" s="3">
        <v>42934</v>
      </c>
      <c r="B394">
        <v>5173.2700000000004</v>
      </c>
      <c r="C394">
        <v>-1.0879187483389563E-2</v>
      </c>
      <c r="D394">
        <v>0.31082367134683964</v>
      </c>
      <c r="E394">
        <v>-1</v>
      </c>
      <c r="F394" t="b">
        <f>$C$394*$E$394&gt;0</f>
        <v>1</v>
      </c>
    </row>
    <row r="395" spans="1:6" x14ac:dyDescent="0.45">
      <c r="A395" s="3">
        <v>42935</v>
      </c>
      <c r="B395">
        <v>5216.07</v>
      </c>
      <c r="C395">
        <v>8.2732971602099692E-3</v>
      </c>
      <c r="D395">
        <v>0.2453825395672404</v>
      </c>
      <c r="E395">
        <v>-1</v>
      </c>
      <c r="F395" t="b">
        <f>$C$395*$E$395&gt;0</f>
        <v>0</v>
      </c>
    </row>
    <row r="396" spans="1:6" x14ac:dyDescent="0.45">
      <c r="A396" s="3">
        <v>42936</v>
      </c>
      <c r="B396">
        <v>5199.22</v>
      </c>
      <c r="C396">
        <v>-3.2304014324959773E-3</v>
      </c>
      <c r="D396">
        <v>0.39255302391453312</v>
      </c>
      <c r="E396">
        <v>-1</v>
      </c>
      <c r="F396" t="b">
        <f>$C$396*$E$396&gt;0</f>
        <v>1</v>
      </c>
    </row>
    <row r="397" spans="1:6" x14ac:dyDescent="0.45">
      <c r="A397" s="3">
        <v>42937</v>
      </c>
      <c r="B397">
        <v>5117.66</v>
      </c>
      <c r="C397">
        <v>-1.5686968429879933E-2</v>
      </c>
      <c r="D397">
        <v>0.28981619974321499</v>
      </c>
      <c r="E397">
        <v>-1</v>
      </c>
      <c r="F397" t="b">
        <f>$C$397*$E$397&gt;0</f>
        <v>1</v>
      </c>
    </row>
    <row r="398" spans="1:6" x14ac:dyDescent="0.45">
      <c r="A398" s="3">
        <v>42940</v>
      </c>
      <c r="B398">
        <v>5127.7</v>
      </c>
      <c r="C398">
        <v>1.9618341195000166E-3</v>
      </c>
      <c r="D398">
        <v>0.23333005244398985</v>
      </c>
      <c r="E398">
        <v>-1</v>
      </c>
      <c r="F398" t="b">
        <f>$C$398*$E$398&gt;0</f>
        <v>0</v>
      </c>
    </row>
    <row r="399" spans="1:6" x14ac:dyDescent="0.45">
      <c r="A399" s="3">
        <v>42941</v>
      </c>
      <c r="B399">
        <v>5161.08</v>
      </c>
      <c r="C399">
        <v>6.5097412095092011E-3</v>
      </c>
      <c r="D399">
        <v>0.374010896141525</v>
      </c>
      <c r="E399">
        <v>-1</v>
      </c>
      <c r="F399" t="b">
        <f>$C$399*$E$399&gt;0</f>
        <v>0</v>
      </c>
    </row>
    <row r="400" spans="1:6" x14ac:dyDescent="0.45">
      <c r="A400" s="3">
        <v>42942</v>
      </c>
      <c r="B400">
        <v>5190.17</v>
      </c>
      <c r="C400">
        <v>5.6364171840002086E-3</v>
      </c>
      <c r="D400">
        <v>0.55123047562574223</v>
      </c>
      <c r="E400">
        <v>1</v>
      </c>
      <c r="F400" t="b">
        <f>$C$400*$E$400&gt;0</f>
        <v>1</v>
      </c>
    </row>
    <row r="401" spans="1:6" x14ac:dyDescent="0.45">
      <c r="A401" s="3">
        <v>42943</v>
      </c>
      <c r="B401">
        <v>5186.95</v>
      </c>
      <c r="C401">
        <v>-6.2040357059600648E-4</v>
      </c>
      <c r="D401">
        <v>0.67972425923286806</v>
      </c>
      <c r="E401">
        <v>1</v>
      </c>
      <c r="F401" t="b">
        <f>$C$401*$E$401&gt;0</f>
        <v>0</v>
      </c>
    </row>
    <row r="402" spans="1:6" x14ac:dyDescent="0.45">
      <c r="A402" s="3">
        <v>42944</v>
      </c>
      <c r="B402">
        <v>5131.3900000000003</v>
      </c>
      <c r="C402">
        <v>-1.0711497122586344E-2</v>
      </c>
      <c r="D402">
        <v>0.50602279422884644</v>
      </c>
      <c r="E402">
        <v>1</v>
      </c>
      <c r="F402" t="b">
        <f>$C$402*$E$402&gt;0</f>
        <v>0</v>
      </c>
    </row>
    <row r="403" spans="1:6" x14ac:dyDescent="0.45">
      <c r="A403" s="3">
        <v>42947</v>
      </c>
      <c r="B403">
        <v>5093.7700000000004</v>
      </c>
      <c r="C403">
        <v>-7.3313468670281878E-3</v>
      </c>
      <c r="D403">
        <v>0.35475592642128334</v>
      </c>
      <c r="E403">
        <v>-1</v>
      </c>
      <c r="F403" t="b">
        <f>$C$403*$E$403&gt;0</f>
        <v>1</v>
      </c>
    </row>
    <row r="404" spans="1:6" x14ac:dyDescent="0.45">
      <c r="A404" s="3">
        <v>42948</v>
      </c>
      <c r="B404">
        <v>5127.03</v>
      </c>
      <c r="C404">
        <v>6.5295449146700602E-3</v>
      </c>
      <c r="D404">
        <v>0.26931165507753552</v>
      </c>
      <c r="E404">
        <v>-1</v>
      </c>
      <c r="F404" t="b">
        <f>$C$404*$E$404&gt;0</f>
        <v>0</v>
      </c>
    </row>
    <row r="405" spans="1:6" x14ac:dyDescent="0.45">
      <c r="A405" s="3">
        <v>42949</v>
      </c>
      <c r="B405">
        <v>5107.25</v>
      </c>
      <c r="C405">
        <v>-3.8579840570466262E-3</v>
      </c>
      <c r="D405">
        <v>0.42812341452806746</v>
      </c>
      <c r="E405">
        <v>-1</v>
      </c>
      <c r="F405" t="b">
        <f>$C$405*$E$405&gt;0</f>
        <v>1</v>
      </c>
    </row>
    <row r="406" spans="1:6" x14ac:dyDescent="0.45">
      <c r="A406" s="3">
        <v>42950</v>
      </c>
      <c r="B406">
        <v>5130.49</v>
      </c>
      <c r="C406">
        <v>4.5503940476772087E-3</v>
      </c>
      <c r="D406">
        <v>0.30878992324595861</v>
      </c>
      <c r="E406">
        <v>-1</v>
      </c>
      <c r="F406" t="b">
        <f>$C$406*$E$406&gt;0</f>
        <v>0</v>
      </c>
    </row>
    <row r="407" spans="1:6" x14ac:dyDescent="0.45">
      <c r="A407" s="3">
        <v>42951</v>
      </c>
      <c r="B407">
        <v>5203.4399999999996</v>
      </c>
      <c r="C407">
        <v>1.4218914762527568E-2</v>
      </c>
      <c r="D407">
        <v>0.48042372707445469</v>
      </c>
      <c r="E407">
        <v>-1</v>
      </c>
      <c r="F407" t="b">
        <f>$C$407*$E$407&gt;0</f>
        <v>0</v>
      </c>
    </row>
    <row r="408" spans="1:6" x14ac:dyDescent="0.45">
      <c r="A408" s="3">
        <v>42954</v>
      </c>
      <c r="B408">
        <v>5207.8900000000003</v>
      </c>
      <c r="C408">
        <v>8.5520348077450237E-4</v>
      </c>
      <c r="D408">
        <v>0.63686892162837905</v>
      </c>
      <c r="E408">
        <v>1</v>
      </c>
      <c r="F408" t="b">
        <f>$C$408*$E$408&gt;0</f>
        <v>1</v>
      </c>
    </row>
    <row r="409" spans="1:6" x14ac:dyDescent="0.45">
      <c r="A409" s="3">
        <v>42955</v>
      </c>
      <c r="B409">
        <v>5218.8900000000003</v>
      </c>
      <c r="C409">
        <v>2.1121797887435623E-3</v>
      </c>
      <c r="D409">
        <v>0.72652602380022524</v>
      </c>
      <c r="E409">
        <v>1</v>
      </c>
      <c r="F409" t="b">
        <f>$C$409*$E$409&gt;0</f>
        <v>1</v>
      </c>
    </row>
    <row r="410" spans="1:6" x14ac:dyDescent="0.45">
      <c r="A410" s="3">
        <v>42956</v>
      </c>
      <c r="B410">
        <v>5145.7</v>
      </c>
      <c r="C410">
        <v>-1.4024054923556628E-2</v>
      </c>
      <c r="D410">
        <v>0.77664943899630456</v>
      </c>
      <c r="E410">
        <v>1</v>
      </c>
      <c r="F410" t="b">
        <f>$C$410*$E$410&gt;0</f>
        <v>0</v>
      </c>
    </row>
    <row r="411" spans="1:6" x14ac:dyDescent="0.45">
      <c r="A411" s="3">
        <v>42957</v>
      </c>
      <c r="B411">
        <v>5115.2299999999996</v>
      </c>
      <c r="C411">
        <v>-5.9214489768156797E-3</v>
      </c>
      <c r="D411">
        <v>0.64091622264964576</v>
      </c>
      <c r="E411">
        <v>1</v>
      </c>
      <c r="F411" t="b">
        <f>$C$411*$E$411&gt;0</f>
        <v>0</v>
      </c>
    </row>
    <row r="412" spans="1:6" x14ac:dyDescent="0.45">
      <c r="A412" s="3">
        <v>42958</v>
      </c>
      <c r="B412">
        <v>5060.92</v>
      </c>
      <c r="C412">
        <v>-1.0617313395487549E-2</v>
      </c>
      <c r="D412">
        <v>0.46294034276436558</v>
      </c>
      <c r="E412">
        <v>-1</v>
      </c>
      <c r="F412" t="b">
        <f>$C$412*$E$412&gt;0</f>
        <v>1</v>
      </c>
    </row>
    <row r="413" spans="1:6" x14ac:dyDescent="0.45">
      <c r="A413" s="3">
        <v>42961</v>
      </c>
      <c r="B413">
        <v>5121.67</v>
      </c>
      <c r="C413">
        <v>1.200374635441781E-2</v>
      </c>
      <c r="D413">
        <v>0.32815829537413804</v>
      </c>
      <c r="E413">
        <v>-1</v>
      </c>
      <c r="F413" t="b">
        <f>$C$413*$E$413&gt;0</f>
        <v>0</v>
      </c>
    </row>
    <row r="414" spans="1:6" x14ac:dyDescent="0.45">
      <c r="A414" s="3">
        <v>42962</v>
      </c>
      <c r="B414">
        <v>5140.25</v>
      </c>
      <c r="C414">
        <v>3.6277229887906604E-3</v>
      </c>
      <c r="D414">
        <v>0.50381618527980399</v>
      </c>
      <c r="E414">
        <v>1</v>
      </c>
      <c r="F414" t="b">
        <f>$C$414*$E$414&gt;0</f>
        <v>1</v>
      </c>
    </row>
    <row r="415" spans="1:6" x14ac:dyDescent="0.45">
      <c r="A415" s="3">
        <v>42963</v>
      </c>
      <c r="B415">
        <v>5176.6099999999997</v>
      </c>
      <c r="C415">
        <v>7.0735859150818925E-3</v>
      </c>
      <c r="D415">
        <v>0.65219926040045673</v>
      </c>
      <c r="E415">
        <v>1</v>
      </c>
      <c r="F415" t="b">
        <f>$C$415*$E$415&gt;0</f>
        <v>1</v>
      </c>
    </row>
    <row r="416" spans="1:6" x14ac:dyDescent="0.45">
      <c r="A416" s="3">
        <v>42964</v>
      </c>
      <c r="B416">
        <v>5146.8500000000004</v>
      </c>
      <c r="C416">
        <v>-5.7489360797895461E-3</v>
      </c>
      <c r="D416">
        <v>0.73488333068436895</v>
      </c>
      <c r="E416">
        <v>1</v>
      </c>
      <c r="F416" t="b">
        <f>$C$416*$E$416&gt;0</f>
        <v>0</v>
      </c>
    </row>
    <row r="417" spans="1:6" x14ac:dyDescent="0.45">
      <c r="A417" s="3">
        <v>42965</v>
      </c>
      <c r="B417">
        <v>5114.1499999999996</v>
      </c>
      <c r="C417">
        <v>-6.3534006236826146E-3</v>
      </c>
      <c r="D417">
        <v>0.57706610975307526</v>
      </c>
      <c r="E417">
        <v>1</v>
      </c>
      <c r="F417" t="b">
        <f>$C$417*$E$417&gt;0</f>
        <v>0</v>
      </c>
    </row>
    <row r="418" spans="1:6" x14ac:dyDescent="0.45">
      <c r="A418" s="3">
        <v>42968</v>
      </c>
      <c r="B418">
        <v>5087.59</v>
      </c>
      <c r="C418">
        <v>-5.1934339039721999E-3</v>
      </c>
      <c r="D418">
        <v>0.40481716476659096</v>
      </c>
      <c r="E418">
        <v>-1</v>
      </c>
      <c r="F418" t="b">
        <f>$C$418*$E$418&gt;0</f>
        <v>1</v>
      </c>
    </row>
    <row r="419" spans="1:6" x14ac:dyDescent="0.45">
      <c r="A419" s="3">
        <v>42969</v>
      </c>
      <c r="B419">
        <v>5131.8599999999997</v>
      </c>
      <c r="C419">
        <v>8.7015659673832513E-3</v>
      </c>
      <c r="D419">
        <v>0.29570852307860179</v>
      </c>
      <c r="E419">
        <v>-1</v>
      </c>
      <c r="F419" t="b">
        <f>$C$419*$E$419&gt;0</f>
        <v>0</v>
      </c>
    </row>
    <row r="420" spans="1:6" x14ac:dyDescent="0.45">
      <c r="A420" s="3">
        <v>42970</v>
      </c>
      <c r="B420">
        <v>5115.3900000000003</v>
      </c>
      <c r="C420">
        <v>-3.2093626872127246E-3</v>
      </c>
      <c r="D420">
        <v>0.46459562400212417</v>
      </c>
      <c r="E420">
        <v>-1</v>
      </c>
      <c r="F420" t="b">
        <f>$C$420*$E$420&gt;0</f>
        <v>1</v>
      </c>
    </row>
    <row r="421" spans="1:6" x14ac:dyDescent="0.45">
      <c r="A421" s="3">
        <v>42971</v>
      </c>
      <c r="B421">
        <v>5113.13</v>
      </c>
      <c r="C421">
        <v>-4.4180404622129466E-4</v>
      </c>
      <c r="D421">
        <v>0.32879458275437184</v>
      </c>
      <c r="E421">
        <v>-1</v>
      </c>
      <c r="F421" t="b">
        <f>$C$421*$E$421&gt;0</f>
        <v>1</v>
      </c>
    </row>
    <row r="422" spans="1:6" x14ac:dyDescent="0.45">
      <c r="A422" s="3">
        <v>42972</v>
      </c>
      <c r="B422">
        <v>5104.33</v>
      </c>
      <c r="C422">
        <v>-1.721059312006612E-3</v>
      </c>
      <c r="D422">
        <v>0.25484645144883394</v>
      </c>
      <c r="E422">
        <v>-1</v>
      </c>
      <c r="F422" t="b">
        <f>$C$422*$E$422&gt;0</f>
        <v>1</v>
      </c>
    </row>
    <row r="423" spans="1:6" x14ac:dyDescent="0.45">
      <c r="A423" s="3">
        <v>42975</v>
      </c>
      <c r="B423">
        <v>5079.75</v>
      </c>
      <c r="C423">
        <v>-4.8155193727678069E-3</v>
      </c>
      <c r="D423">
        <v>0.21202684602932048</v>
      </c>
      <c r="E423">
        <v>-1</v>
      </c>
      <c r="F423" t="b">
        <f>$C$423*$E$423&gt;0</f>
        <v>1</v>
      </c>
    </row>
    <row r="424" spans="1:6" x14ac:dyDescent="0.45">
      <c r="A424" s="3">
        <v>42976</v>
      </c>
      <c r="B424">
        <v>5031.92</v>
      </c>
      <c r="C424">
        <v>-9.415817707564389E-3</v>
      </c>
      <c r="D424">
        <v>0.18415901743758223</v>
      </c>
      <c r="E424">
        <v>-1</v>
      </c>
      <c r="F424" t="b">
        <f>$C$424*$E$424&gt;0</f>
        <v>1</v>
      </c>
    </row>
    <row r="425" spans="1:6" x14ac:dyDescent="0.45">
      <c r="A425" s="3">
        <v>42977</v>
      </c>
      <c r="B425">
        <v>5056.34</v>
      </c>
      <c r="C425">
        <v>4.8530183309751784E-3</v>
      </c>
      <c r="D425">
        <v>0.16441765816400983</v>
      </c>
      <c r="E425">
        <v>-1</v>
      </c>
      <c r="F425" t="b">
        <f>$C$425*$E$425&gt;0</f>
        <v>0</v>
      </c>
    </row>
    <row r="426" spans="1:6" x14ac:dyDescent="0.45">
      <c r="A426" s="3">
        <v>42978</v>
      </c>
      <c r="B426">
        <v>5085.59</v>
      </c>
      <c r="C426">
        <v>5.7848166855867245E-3</v>
      </c>
      <c r="D426">
        <v>0.25801645990643302</v>
      </c>
      <c r="E426">
        <v>-1</v>
      </c>
      <c r="F426" t="b">
        <f>$C$426*$E$426&gt;0</f>
        <v>0</v>
      </c>
    </row>
    <row r="427" spans="1:6" x14ac:dyDescent="0.45">
      <c r="A427" s="3">
        <v>42979</v>
      </c>
      <c r="B427">
        <v>5123.26</v>
      </c>
      <c r="C427">
        <v>7.4072034906471629E-3</v>
      </c>
      <c r="D427">
        <v>0.4126733083956482</v>
      </c>
      <c r="E427">
        <v>-1</v>
      </c>
      <c r="F427" t="b">
        <f>$C$427*$E$427&gt;0</f>
        <v>0</v>
      </c>
    </row>
    <row r="428" spans="1:6" x14ac:dyDescent="0.45">
      <c r="A428" s="3">
        <v>42982</v>
      </c>
      <c r="B428">
        <v>5103.97</v>
      </c>
      <c r="C428">
        <v>-3.7651807638104939E-3</v>
      </c>
      <c r="D428">
        <v>0.58713564968534004</v>
      </c>
      <c r="E428">
        <v>1</v>
      </c>
      <c r="F428" t="b">
        <f>$C$428*$E$428&gt;0</f>
        <v>0</v>
      </c>
    </row>
    <row r="429" spans="1:6" x14ac:dyDescent="0.45">
      <c r="A429" s="3">
        <v>42983</v>
      </c>
      <c r="B429">
        <v>5086.5600000000004</v>
      </c>
      <c r="C429">
        <v>-3.4110702061336262E-3</v>
      </c>
      <c r="D429">
        <v>0.41275533047172486</v>
      </c>
      <c r="E429">
        <v>-1</v>
      </c>
      <c r="F429" t="b">
        <f>$C$429*$E$429&gt;0</f>
        <v>1</v>
      </c>
    </row>
    <row r="430" spans="1:6" x14ac:dyDescent="0.45">
      <c r="A430" s="3">
        <v>42984</v>
      </c>
      <c r="B430">
        <v>5101.41</v>
      </c>
      <c r="C430">
        <v>2.9194583372651461E-3</v>
      </c>
      <c r="D430">
        <v>0.2998155864844429</v>
      </c>
      <c r="E430">
        <v>-1</v>
      </c>
      <c r="F430" t="b">
        <f>$C$430*$E$430&gt;0</f>
        <v>0</v>
      </c>
    </row>
    <row r="431" spans="1:6" x14ac:dyDescent="0.45">
      <c r="A431" s="3">
        <v>42985</v>
      </c>
      <c r="B431">
        <v>5114.62</v>
      </c>
      <c r="C431">
        <v>2.5894801633274955E-3</v>
      </c>
      <c r="D431">
        <v>0.47014099030257084</v>
      </c>
      <c r="E431">
        <v>-1</v>
      </c>
      <c r="F431" t="b">
        <f>$C$431*$E$431&gt;0</f>
        <v>0</v>
      </c>
    </row>
    <row r="432" spans="1:6" x14ac:dyDescent="0.45">
      <c r="A432" s="3">
        <v>42986</v>
      </c>
      <c r="B432">
        <v>5113.49</v>
      </c>
      <c r="C432">
        <v>-2.2093527964939241E-4</v>
      </c>
      <c r="D432">
        <v>0.6306703308077406</v>
      </c>
      <c r="E432">
        <v>1</v>
      </c>
      <c r="F432" t="b">
        <f>$C$432*$E$432&gt;0</f>
        <v>0</v>
      </c>
    </row>
    <row r="433" spans="1:6" x14ac:dyDescent="0.45">
      <c r="A433" s="3">
        <v>42989</v>
      </c>
      <c r="B433">
        <v>5176.71</v>
      </c>
      <c r="C433">
        <v>1.2363376089520095E-2</v>
      </c>
      <c r="D433">
        <v>0.45182892256146245</v>
      </c>
      <c r="E433">
        <v>-1</v>
      </c>
      <c r="F433" t="b">
        <f>$C$433*$E$433&gt;0</f>
        <v>0</v>
      </c>
    </row>
    <row r="434" spans="1:6" x14ac:dyDescent="0.45">
      <c r="A434" s="3">
        <v>42990</v>
      </c>
      <c r="B434">
        <v>5209.01</v>
      </c>
      <c r="C434">
        <v>6.2394841511308474E-3</v>
      </c>
      <c r="D434">
        <v>0.61787124852657904</v>
      </c>
      <c r="E434">
        <v>1</v>
      </c>
      <c r="F434" t="b">
        <f>$C$434*$E$434&gt;0</f>
        <v>1</v>
      </c>
    </row>
    <row r="435" spans="1:6" x14ac:dyDescent="0.45">
      <c r="A435" s="3">
        <v>42991</v>
      </c>
      <c r="B435">
        <v>5217.59</v>
      </c>
      <c r="C435">
        <v>1.6471460027913665E-3</v>
      </c>
      <c r="D435">
        <v>0.7168245470104313</v>
      </c>
      <c r="E435">
        <v>1</v>
      </c>
      <c r="F435" t="b">
        <f>$C$435*$E$435&gt;0</f>
        <v>1</v>
      </c>
    </row>
    <row r="436" spans="1:6" x14ac:dyDescent="0.45">
      <c r="A436" s="3">
        <v>42992</v>
      </c>
      <c r="B436">
        <v>5225.2</v>
      </c>
      <c r="C436">
        <v>1.4585277877332548E-3</v>
      </c>
      <c r="D436">
        <v>0.77112296772340594</v>
      </c>
      <c r="E436">
        <v>1</v>
      </c>
      <c r="F436" t="b">
        <f>$C$436*$E$436&gt;0</f>
        <v>1</v>
      </c>
    </row>
    <row r="437" spans="1:6" x14ac:dyDescent="0.45">
      <c r="A437" s="3">
        <v>42993</v>
      </c>
      <c r="B437">
        <v>5213.91</v>
      </c>
      <c r="C437">
        <v>-2.1606828446757431E-3</v>
      </c>
      <c r="D437">
        <v>0.8046749844808101</v>
      </c>
      <c r="E437">
        <v>1</v>
      </c>
      <c r="F437" t="b">
        <f>$C$437*$E$437&gt;0</f>
        <v>0</v>
      </c>
    </row>
    <row r="438" spans="1:6" x14ac:dyDescent="0.45">
      <c r="A438" s="3">
        <v>42996</v>
      </c>
      <c r="B438">
        <v>5229.32</v>
      </c>
      <c r="C438">
        <v>2.9555554276923246E-3</v>
      </c>
      <c r="D438">
        <v>0.68704716572385993</v>
      </c>
      <c r="E438">
        <v>1</v>
      </c>
      <c r="F438" t="b">
        <f>$C$438*$E$438&gt;0</f>
        <v>1</v>
      </c>
    </row>
    <row r="439" spans="1:6" x14ac:dyDescent="0.45">
      <c r="A439" s="3">
        <v>42997</v>
      </c>
      <c r="B439">
        <v>5237.4399999999996</v>
      </c>
      <c r="C439">
        <v>1.552783153450088E-3</v>
      </c>
      <c r="D439">
        <v>0.75415218943933282</v>
      </c>
      <c r="E439">
        <v>1</v>
      </c>
      <c r="F439" t="b">
        <f>$C$439*$E$439&gt;0</f>
        <v>1</v>
      </c>
    </row>
    <row r="440" spans="1:6" x14ac:dyDescent="0.45">
      <c r="A440" s="3">
        <v>42998</v>
      </c>
      <c r="B440">
        <v>5241.66</v>
      </c>
      <c r="C440">
        <v>8.0573715402953994E-4</v>
      </c>
      <c r="D440">
        <v>0.79375835566490072</v>
      </c>
      <c r="E440">
        <v>1</v>
      </c>
      <c r="F440" t="b">
        <f>$C$440*$E$440&gt;0</f>
        <v>1</v>
      </c>
    </row>
    <row r="441" spans="1:6" x14ac:dyDescent="0.45">
      <c r="A441" s="3">
        <v>42999</v>
      </c>
      <c r="B441">
        <v>5267.29</v>
      </c>
      <c r="C441">
        <v>4.8896723557041444E-3</v>
      </c>
      <c r="D441">
        <v>0.81993447489010207</v>
      </c>
      <c r="E441">
        <v>1</v>
      </c>
      <c r="F441" t="b">
        <f>$C$441*$E$441&gt;0</f>
        <v>1</v>
      </c>
    </row>
    <row r="442" spans="1:6" x14ac:dyDescent="0.45">
      <c r="A442" s="3">
        <v>43000</v>
      </c>
      <c r="B442">
        <v>5281.29</v>
      </c>
      <c r="C442">
        <v>2.6579132722899246E-3</v>
      </c>
      <c r="D442">
        <v>0.8386768195312686</v>
      </c>
      <c r="E442">
        <v>1</v>
      </c>
      <c r="F442" t="b">
        <f>$C$442*$E$442&gt;0</f>
        <v>1</v>
      </c>
    </row>
    <row r="443" spans="1:6" x14ac:dyDescent="0.45">
      <c r="A443" s="3">
        <v>43003</v>
      </c>
      <c r="B443">
        <v>5267.13</v>
      </c>
      <c r="C443">
        <v>-2.6811631249182843E-3</v>
      </c>
      <c r="D443">
        <v>0.85286755501923539</v>
      </c>
      <c r="E443">
        <v>1</v>
      </c>
      <c r="F443" t="b">
        <f>$C$443*$E$443&gt;0</f>
        <v>0</v>
      </c>
    </row>
    <row r="444" spans="1:6" x14ac:dyDescent="0.45">
      <c r="A444" s="3">
        <v>43004</v>
      </c>
      <c r="B444">
        <v>5268.76</v>
      </c>
      <c r="C444">
        <v>3.094664456735341E-4</v>
      </c>
      <c r="D444">
        <v>0.77267855000848396</v>
      </c>
      <c r="E444">
        <v>1</v>
      </c>
      <c r="F444" t="b">
        <f>$C$444*$E$444&gt;0</f>
        <v>1</v>
      </c>
    </row>
    <row r="445" spans="1:6" x14ac:dyDescent="0.45">
      <c r="A445" s="3">
        <v>43005</v>
      </c>
      <c r="B445">
        <v>5281.96</v>
      </c>
      <c r="C445">
        <v>2.5053333232107899E-3</v>
      </c>
      <c r="D445">
        <v>0.80569010080320191</v>
      </c>
      <c r="E445">
        <v>1</v>
      </c>
      <c r="F445" t="b">
        <f>$C$445*$E$445&gt;0</f>
        <v>1</v>
      </c>
    </row>
    <row r="446" spans="1:6" x14ac:dyDescent="0.45">
      <c r="A446" s="3">
        <v>43006</v>
      </c>
      <c r="B446">
        <v>5293.77</v>
      </c>
      <c r="C446">
        <v>2.2359124264479391E-3</v>
      </c>
      <c r="D446">
        <v>0.82832270736031144</v>
      </c>
      <c r="E446">
        <v>1</v>
      </c>
      <c r="F446" t="b">
        <f>$C$446*$E$446&gt;0</f>
        <v>1</v>
      </c>
    </row>
    <row r="447" spans="1:6" x14ac:dyDescent="0.45">
      <c r="A447" s="3">
        <v>43007</v>
      </c>
      <c r="B447">
        <v>5329.81</v>
      </c>
      <c r="C447">
        <v>6.8080026143939598E-3</v>
      </c>
      <c r="D447">
        <v>0.84494414237639848</v>
      </c>
      <c r="E447">
        <v>1</v>
      </c>
      <c r="F447" t="b">
        <f>$C$447*$E$447&gt;0</f>
        <v>1</v>
      </c>
    </row>
    <row r="448" spans="1:6" x14ac:dyDescent="0.45">
      <c r="A448" s="3">
        <v>43010</v>
      </c>
      <c r="B448">
        <v>5350.44</v>
      </c>
      <c r="C448">
        <v>3.8706820693419353E-3</v>
      </c>
      <c r="D448">
        <v>0.85775979441820582</v>
      </c>
      <c r="E448">
        <v>1</v>
      </c>
      <c r="F448" t="b">
        <f>$C$448*$E$448&gt;0</f>
        <v>1</v>
      </c>
    </row>
    <row r="449" spans="1:6" x14ac:dyDescent="0.45">
      <c r="A449" s="3">
        <v>43011</v>
      </c>
      <c r="B449">
        <v>5367.41</v>
      </c>
      <c r="C449">
        <v>3.1717017665837677E-3</v>
      </c>
      <c r="D449">
        <v>0.86800173672634928</v>
      </c>
      <c r="E449">
        <v>1</v>
      </c>
      <c r="F449" t="b">
        <f>$C$449*$E$449&gt;0</f>
        <v>1</v>
      </c>
    </row>
    <row r="450" spans="1:6" x14ac:dyDescent="0.45">
      <c r="A450" s="3">
        <v>43013</v>
      </c>
      <c r="B450">
        <v>5379.21</v>
      </c>
      <c r="C450">
        <v>2.1984532577166149E-3</v>
      </c>
      <c r="D450">
        <v>0.87641396852007025</v>
      </c>
      <c r="E450">
        <v>1</v>
      </c>
      <c r="F450" t="b">
        <f>$C$450*$E$450&gt;0</f>
        <v>1</v>
      </c>
    </row>
    <row r="451" spans="1:6" x14ac:dyDescent="0.45">
      <c r="A451" s="3">
        <v>43014</v>
      </c>
      <c r="B451">
        <v>5359.9</v>
      </c>
      <c r="C451">
        <v>-3.5897464497575138E-3</v>
      </c>
      <c r="D451">
        <v>0.88347373509832283</v>
      </c>
      <c r="E451">
        <v>1</v>
      </c>
      <c r="F451" t="b">
        <f>$C$451*$E$451&gt;0</f>
        <v>0</v>
      </c>
    </row>
    <row r="452" spans="1:6" x14ac:dyDescent="0.45">
      <c r="A452" s="3">
        <v>43017</v>
      </c>
      <c r="B452">
        <v>5365.83</v>
      </c>
      <c r="C452">
        <v>1.1063639247002044E-3</v>
      </c>
      <c r="D452">
        <v>0.82797470642312321</v>
      </c>
      <c r="E452">
        <v>1</v>
      </c>
      <c r="F452" t="b">
        <f>$C$452*$E$452&gt;0</f>
        <v>1</v>
      </c>
    </row>
    <row r="453" spans="1:6" x14ac:dyDescent="0.45">
      <c r="A453" s="3">
        <v>43018</v>
      </c>
      <c r="B453">
        <v>5363.65</v>
      </c>
      <c r="C453">
        <v>-4.0627451857411234E-4</v>
      </c>
      <c r="D453">
        <v>0.84467838466756606</v>
      </c>
      <c r="E453">
        <v>1</v>
      </c>
      <c r="F453" t="b">
        <f>$C$453*$E$453&gt;0</f>
        <v>0</v>
      </c>
    </row>
    <row r="454" spans="1:6" x14ac:dyDescent="0.45">
      <c r="A454" s="3">
        <v>43019</v>
      </c>
      <c r="B454">
        <v>5362.41</v>
      </c>
      <c r="C454">
        <v>-2.3118585291725946E-4</v>
      </c>
      <c r="D454">
        <v>0.75789412371945541</v>
      </c>
      <c r="E454">
        <v>1</v>
      </c>
      <c r="F454" t="b">
        <f>$C$454*$E$454&gt;0</f>
        <v>0</v>
      </c>
    </row>
    <row r="455" spans="1:6" x14ac:dyDescent="0.45">
      <c r="A455" s="3">
        <v>43020</v>
      </c>
      <c r="B455">
        <v>5360.81</v>
      </c>
      <c r="C455">
        <v>-2.9837330603210699E-4</v>
      </c>
      <c r="D455">
        <v>0.61080097057937488</v>
      </c>
      <c r="E455">
        <v>1</v>
      </c>
      <c r="F455" t="b">
        <f>$C$455*$E$455&gt;0</f>
        <v>0</v>
      </c>
    </row>
    <row r="456" spans="1:6" x14ac:dyDescent="0.45">
      <c r="A456" s="3">
        <v>43021</v>
      </c>
      <c r="B456">
        <v>5351.74</v>
      </c>
      <c r="C456">
        <v>-1.6919084989023281E-3</v>
      </c>
      <c r="D456">
        <v>0.43313981688912834</v>
      </c>
      <c r="E456">
        <v>-1</v>
      </c>
      <c r="F456" t="b">
        <f>$C$456*$E$456&gt;0</f>
        <v>1</v>
      </c>
    </row>
    <row r="457" spans="1:6" x14ac:dyDescent="0.45">
      <c r="A457" s="3">
        <v>43024</v>
      </c>
      <c r="B457">
        <v>5362.88</v>
      </c>
      <c r="C457">
        <v>2.0815659953585808E-3</v>
      </c>
      <c r="D457">
        <v>0.31080825178985838</v>
      </c>
      <c r="E457">
        <v>-1</v>
      </c>
      <c r="F457" t="b">
        <f>$C$457*$E$457&gt;0</f>
        <v>0</v>
      </c>
    </row>
    <row r="458" spans="1:6" x14ac:dyDescent="0.45">
      <c r="A458" s="3">
        <v>43025</v>
      </c>
      <c r="B458">
        <v>5361.37</v>
      </c>
      <c r="C458">
        <v>-2.8156512918431353E-4</v>
      </c>
      <c r="D458">
        <v>0.48403446847746756</v>
      </c>
      <c r="E458">
        <v>-1</v>
      </c>
      <c r="F458" t="b">
        <f>$C$458*$E$458&gt;0</f>
        <v>1</v>
      </c>
    </row>
    <row r="459" spans="1:6" x14ac:dyDescent="0.45">
      <c r="A459" s="3">
        <v>43027</v>
      </c>
      <c r="B459">
        <v>5368.29</v>
      </c>
      <c r="C459">
        <v>1.2907148732506091E-3</v>
      </c>
      <c r="D459">
        <v>0.33995129386560047</v>
      </c>
      <c r="E459">
        <v>-1</v>
      </c>
      <c r="F459" t="b">
        <f>$C$459*$E$459&gt;0</f>
        <v>0</v>
      </c>
    </row>
    <row r="460" spans="1:6" x14ac:dyDescent="0.45">
      <c r="A460" s="3">
        <v>43028</v>
      </c>
      <c r="B460">
        <v>5372.38</v>
      </c>
      <c r="C460">
        <v>7.6188134396626417E-4</v>
      </c>
      <c r="D460">
        <v>0.51791673132836213</v>
      </c>
      <c r="E460">
        <v>1</v>
      </c>
      <c r="F460" t="b">
        <f>$C$460*$E$460&gt;0</f>
        <v>1</v>
      </c>
    </row>
    <row r="461" spans="1:6" x14ac:dyDescent="0.45">
      <c r="A461" s="3">
        <v>43031</v>
      </c>
      <c r="B461">
        <v>5386.81</v>
      </c>
      <c r="C461">
        <v>2.6859604123312675E-3</v>
      </c>
      <c r="D461">
        <v>0.66142286194539257</v>
      </c>
      <c r="E461">
        <v>1</v>
      </c>
      <c r="F461" t="b">
        <f>$C$461*$E$461&gt;0</f>
        <v>1</v>
      </c>
    </row>
    <row r="462" spans="1:6" x14ac:dyDescent="0.45">
      <c r="A462" s="3">
        <v>43032</v>
      </c>
      <c r="B462">
        <v>5394.8</v>
      </c>
      <c r="C462">
        <v>1.4832526114714195E-3</v>
      </c>
      <c r="D462">
        <v>0.74014057535890809</v>
      </c>
      <c r="E462">
        <v>1</v>
      </c>
      <c r="F462" t="b">
        <f>$C$462*$E$462&gt;0</f>
        <v>1</v>
      </c>
    </row>
    <row r="463" spans="1:6" x14ac:dyDescent="0.45">
      <c r="A463" s="3">
        <v>43033</v>
      </c>
      <c r="B463">
        <v>5374.89</v>
      </c>
      <c r="C463">
        <v>-3.690590939423144E-3</v>
      </c>
      <c r="D463">
        <v>0.78507538234937013</v>
      </c>
      <c r="E463">
        <v>1</v>
      </c>
      <c r="F463" t="b">
        <f>$C$463*$E$463&gt;0</f>
        <v>0</v>
      </c>
    </row>
    <row r="464" spans="1:6" x14ac:dyDescent="0.45">
      <c r="A464" s="3">
        <v>43034</v>
      </c>
      <c r="B464">
        <v>5455.4</v>
      </c>
      <c r="C464">
        <v>1.4978911196322109E-2</v>
      </c>
      <c r="D464">
        <v>0.65392878812425315</v>
      </c>
      <c r="E464">
        <v>1</v>
      </c>
      <c r="F464" t="b">
        <f>$C$464*$E$464&gt;0</f>
        <v>1</v>
      </c>
    </row>
    <row r="465" spans="1:6" x14ac:dyDescent="0.45">
      <c r="A465" s="3">
        <v>43035</v>
      </c>
      <c r="B465">
        <v>5494.13</v>
      </c>
      <c r="C465">
        <v>7.0993877625840085E-3</v>
      </c>
      <c r="D465">
        <v>0.73610412284053328</v>
      </c>
      <c r="E465">
        <v>1</v>
      </c>
      <c r="F465" t="b">
        <f>$C$465*$E$465&gt;0</f>
        <v>1</v>
      </c>
    </row>
    <row r="466" spans="1:6" x14ac:dyDescent="0.45">
      <c r="A466" s="3">
        <v>43039</v>
      </c>
      <c r="B466">
        <v>5503.29</v>
      </c>
      <c r="C466">
        <v>1.6672339387673318E-3</v>
      </c>
      <c r="D466">
        <v>0.78261913760750501</v>
      </c>
      <c r="E466">
        <v>1</v>
      </c>
      <c r="F466" t="b">
        <f>$C$466*$E$466&gt;0</f>
        <v>1</v>
      </c>
    </row>
    <row r="467" spans="1:6" x14ac:dyDescent="0.45">
      <c r="A467" s="3">
        <v>43040</v>
      </c>
      <c r="B467">
        <v>5514.29</v>
      </c>
      <c r="C467">
        <v>1.9988043515788423E-3</v>
      </c>
      <c r="D467">
        <v>0.81233259761806431</v>
      </c>
      <c r="E467">
        <v>1</v>
      </c>
      <c r="F467" t="b">
        <f>$C$467*$E$467&gt;0</f>
        <v>1</v>
      </c>
    </row>
    <row r="468" spans="1:6" x14ac:dyDescent="0.45">
      <c r="A468" s="3">
        <v>43041</v>
      </c>
      <c r="B468">
        <v>5510.5</v>
      </c>
      <c r="C468">
        <v>-6.8730516530690622E-4</v>
      </c>
      <c r="D468">
        <v>0.83311480906416735</v>
      </c>
      <c r="E468">
        <v>1</v>
      </c>
      <c r="F468" t="b">
        <f>$C$468*$E$468&gt;0</f>
        <v>0</v>
      </c>
    </row>
    <row r="469" spans="1:6" x14ac:dyDescent="0.45">
      <c r="A469" s="3">
        <v>43042</v>
      </c>
      <c r="B469">
        <v>5517.97</v>
      </c>
      <c r="C469">
        <v>1.355593866255278E-3</v>
      </c>
      <c r="D469">
        <v>0.73701266579480973</v>
      </c>
      <c r="E469">
        <v>1</v>
      </c>
      <c r="F469" t="b">
        <f>$C$469*$E$469&gt;0</f>
        <v>1</v>
      </c>
    </row>
    <row r="470" spans="1:6" x14ac:dyDescent="0.45">
      <c r="A470" s="3">
        <v>43045</v>
      </c>
      <c r="B470">
        <v>5507.25</v>
      </c>
      <c r="C470">
        <v>-1.9427434364449603E-3</v>
      </c>
      <c r="D470">
        <v>0.78316450595785847</v>
      </c>
      <c r="E470">
        <v>1</v>
      </c>
      <c r="F470" t="b">
        <f>$C$470*$E$470&gt;0</f>
        <v>0</v>
      </c>
    </row>
    <row r="471" spans="1:6" x14ac:dyDescent="0.45">
      <c r="A471" s="3">
        <v>43046</v>
      </c>
      <c r="B471">
        <v>5480.64</v>
      </c>
      <c r="C471">
        <v>-4.8318126106495773E-3</v>
      </c>
      <c r="D471">
        <v>0.65079665081315652</v>
      </c>
      <c r="E471">
        <v>1</v>
      </c>
      <c r="F471" t="b">
        <f>$C$471*$E$471&gt;0</f>
        <v>0</v>
      </c>
    </row>
    <row r="472" spans="1:6" x14ac:dyDescent="0.45">
      <c r="A472" s="3">
        <v>43047</v>
      </c>
      <c r="B472">
        <v>5471.43</v>
      </c>
      <c r="C472">
        <v>-1.6804606761253726E-3</v>
      </c>
      <c r="D472">
        <v>0.47206706708992363</v>
      </c>
      <c r="E472">
        <v>-1</v>
      </c>
      <c r="F472" t="b">
        <f>$C$472*$E$472&gt;0</f>
        <v>1</v>
      </c>
    </row>
    <row r="473" spans="1:6" x14ac:dyDescent="0.45">
      <c r="A473" s="3">
        <v>43048</v>
      </c>
      <c r="B473">
        <v>5407.75</v>
      </c>
      <c r="C473">
        <v>-1.163863925884101E-2</v>
      </c>
      <c r="D473">
        <v>0.33269403270338016</v>
      </c>
      <c r="E473">
        <v>-1</v>
      </c>
      <c r="F473" t="b">
        <f>$C$473*$E$473&gt;0</f>
        <v>1</v>
      </c>
    </row>
    <row r="474" spans="1:6" x14ac:dyDescent="0.45">
      <c r="A474" s="3">
        <v>43049</v>
      </c>
      <c r="B474">
        <v>5380.72</v>
      </c>
      <c r="C474">
        <v>-4.9983819518283346E-3</v>
      </c>
      <c r="D474">
        <v>0.25674192431334975</v>
      </c>
      <c r="E474">
        <v>-1</v>
      </c>
      <c r="F474" t="b">
        <f>$C$474*$E$474&gt;0</f>
        <v>1</v>
      </c>
    </row>
    <row r="475" spans="1:6" x14ac:dyDescent="0.45">
      <c r="A475" s="3">
        <v>43052</v>
      </c>
      <c r="B475">
        <v>5341.63</v>
      </c>
      <c r="C475">
        <v>-7.264827011998376E-3</v>
      </c>
      <c r="D475">
        <v>0.21307191052639002</v>
      </c>
      <c r="E475">
        <v>-1</v>
      </c>
      <c r="F475" t="b">
        <f>$C$475*$E$475&gt;0</f>
        <v>1</v>
      </c>
    </row>
    <row r="476" spans="1:6" x14ac:dyDescent="0.45">
      <c r="A476" s="3">
        <v>43053</v>
      </c>
      <c r="B476">
        <v>5315.58</v>
      </c>
      <c r="C476">
        <v>-4.8767885458184113E-3</v>
      </c>
      <c r="D476">
        <v>0.18479616386854364</v>
      </c>
      <c r="E476">
        <v>-1</v>
      </c>
      <c r="F476" t="b">
        <f>$C$476*$E$476&gt;0</f>
        <v>1</v>
      </c>
    </row>
    <row r="477" spans="1:6" x14ac:dyDescent="0.45">
      <c r="A477" s="3">
        <v>43054</v>
      </c>
      <c r="B477">
        <v>5301.25</v>
      </c>
      <c r="C477">
        <v>-2.6958488067153619E-3</v>
      </c>
      <c r="D477">
        <v>0.1648333554804379</v>
      </c>
      <c r="E477">
        <v>-1</v>
      </c>
      <c r="F477" t="b">
        <f>$C$477*$E$477&gt;0</f>
        <v>1</v>
      </c>
    </row>
    <row r="478" spans="1:6" x14ac:dyDescent="0.45">
      <c r="A478" s="3">
        <v>43055</v>
      </c>
      <c r="B478">
        <v>5336.39</v>
      </c>
      <c r="C478">
        <v>6.628625324216042E-3</v>
      </c>
      <c r="D478">
        <v>0.14986764706787115</v>
      </c>
      <c r="E478">
        <v>-1</v>
      </c>
      <c r="F478" t="b">
        <f>$C$478*$E$478&gt;0</f>
        <v>0</v>
      </c>
    </row>
    <row r="479" spans="1:6" x14ac:dyDescent="0.45">
      <c r="A479" s="3">
        <v>43056</v>
      </c>
      <c r="B479">
        <v>5319.17</v>
      </c>
      <c r="C479">
        <v>-3.2269005826036645E-3</v>
      </c>
      <c r="D479">
        <v>0.23206446344126883</v>
      </c>
      <c r="E479">
        <v>-1</v>
      </c>
      <c r="F479" t="b">
        <f>$C$479*$E$479&gt;0</f>
        <v>1</v>
      </c>
    </row>
    <row r="480" spans="1:6" x14ac:dyDescent="0.45">
      <c r="A480" s="3">
        <v>43059</v>
      </c>
      <c r="B480">
        <v>5340.45</v>
      </c>
      <c r="C480">
        <v>4.0006241575283319E-3</v>
      </c>
      <c r="D480">
        <v>0.19745614593114075</v>
      </c>
      <c r="E480">
        <v>-1</v>
      </c>
      <c r="F480" t="b">
        <f>$C$480*$E$480&gt;0</f>
        <v>0</v>
      </c>
    </row>
    <row r="481" spans="1:6" x14ac:dyDescent="0.45">
      <c r="A481" s="3">
        <v>43060</v>
      </c>
      <c r="B481">
        <v>5366.15</v>
      </c>
      <c r="C481">
        <v>4.812328549092193E-3</v>
      </c>
      <c r="D481">
        <v>0.31644267397369452</v>
      </c>
      <c r="E481">
        <v>-1</v>
      </c>
      <c r="F481" t="b">
        <f>$C$481*$E$481&gt;0</f>
        <v>0</v>
      </c>
    </row>
    <row r="482" spans="1:6" x14ac:dyDescent="0.45">
      <c r="A482" s="3">
        <v>43061</v>
      </c>
      <c r="B482">
        <v>5352.76</v>
      </c>
      <c r="C482">
        <v>-2.495271283881273E-3</v>
      </c>
      <c r="D482">
        <v>0.49107135564179355</v>
      </c>
      <c r="E482">
        <v>-1</v>
      </c>
      <c r="F482" t="b">
        <f>$C$482*$E$482&gt;0</f>
        <v>1</v>
      </c>
    </row>
    <row r="483" spans="1:6" x14ac:dyDescent="0.45">
      <c r="A483" s="3">
        <v>43062</v>
      </c>
      <c r="B483">
        <v>5379.54</v>
      </c>
      <c r="C483">
        <v>5.0030264760609899E-3</v>
      </c>
      <c r="D483">
        <v>0.34406689650530553</v>
      </c>
      <c r="E483">
        <v>-1</v>
      </c>
      <c r="F483" t="b">
        <f>$C$483*$E$483&gt;0</f>
        <v>0</v>
      </c>
    </row>
    <row r="484" spans="1:6" x14ac:dyDescent="0.45">
      <c r="A484" s="3">
        <v>43063</v>
      </c>
      <c r="B484">
        <v>5390.46</v>
      </c>
      <c r="C484">
        <v>2.029913338315259E-3</v>
      </c>
      <c r="D484">
        <v>0.52259820185077033</v>
      </c>
      <c r="E484">
        <v>1</v>
      </c>
      <c r="F484" t="b">
        <f>$C$484*$E$484&gt;0</f>
        <v>1</v>
      </c>
    </row>
    <row r="485" spans="1:6" x14ac:dyDescent="0.45">
      <c r="A485" s="3">
        <v>43066</v>
      </c>
      <c r="B485">
        <v>5360.09</v>
      </c>
      <c r="C485">
        <v>-5.6340275226974823E-3</v>
      </c>
      <c r="D485">
        <v>0.66435215984180662</v>
      </c>
      <c r="E485">
        <v>1</v>
      </c>
      <c r="F485" t="b">
        <f>$C$485*$E$485&gt;0</f>
        <v>0</v>
      </c>
    </row>
    <row r="486" spans="1:6" x14ac:dyDescent="0.45">
      <c r="A486" s="3">
        <v>43067</v>
      </c>
      <c r="B486">
        <v>5390.48</v>
      </c>
      <c r="C486">
        <v>5.6696809195366793E-3</v>
      </c>
      <c r="D486">
        <v>0.48656950356579992</v>
      </c>
      <c r="E486">
        <v>-1</v>
      </c>
      <c r="F486" t="b">
        <f>$C$486*$E$486&gt;0</f>
        <v>0</v>
      </c>
    </row>
    <row r="487" spans="1:6" x14ac:dyDescent="0.45">
      <c r="A487" s="3">
        <v>43068</v>
      </c>
      <c r="B487">
        <v>5398.05</v>
      </c>
      <c r="C487">
        <v>1.4043276294506413E-3</v>
      </c>
      <c r="D487">
        <v>0.64205426479049776</v>
      </c>
      <c r="E487">
        <v>1</v>
      </c>
      <c r="F487" t="b">
        <f>$C$487*$E$487&gt;0</f>
        <v>1</v>
      </c>
    </row>
    <row r="488" spans="1:6" x14ac:dyDescent="0.45">
      <c r="A488" s="3">
        <v>43069</v>
      </c>
      <c r="B488">
        <v>5372.79</v>
      </c>
      <c r="C488">
        <v>-4.679467585517072E-3</v>
      </c>
      <c r="D488">
        <v>0.72984349966655437</v>
      </c>
      <c r="E488">
        <v>1</v>
      </c>
      <c r="F488" t="b">
        <f>$C$488*$E$488&gt;0</f>
        <v>0</v>
      </c>
    </row>
    <row r="489" spans="1:6" x14ac:dyDescent="0.45">
      <c r="A489" s="3">
        <v>43070</v>
      </c>
      <c r="B489">
        <v>5316.89</v>
      </c>
      <c r="C489">
        <v>-1.0404277851916666E-2</v>
      </c>
      <c r="D489">
        <v>0.56897172210751012</v>
      </c>
      <c r="E489">
        <v>1</v>
      </c>
      <c r="F489" t="b">
        <f>$C$489*$E$489&gt;0</f>
        <v>0</v>
      </c>
    </row>
    <row r="490" spans="1:6" x14ac:dyDescent="0.45">
      <c r="A490" s="3">
        <v>43073</v>
      </c>
      <c r="B490">
        <v>5389.29</v>
      </c>
      <c r="C490">
        <v>1.3616982860281013E-2</v>
      </c>
      <c r="D490">
        <v>0.39740377110467678</v>
      </c>
      <c r="E490">
        <v>-1</v>
      </c>
      <c r="F490" t="b">
        <f>$C$490*$E$490&gt;0</f>
        <v>0</v>
      </c>
    </row>
    <row r="491" spans="1:6" x14ac:dyDescent="0.45">
      <c r="A491" s="3">
        <v>43074</v>
      </c>
      <c r="B491">
        <v>5375.53</v>
      </c>
      <c r="C491">
        <v>-2.5532120186518847E-3</v>
      </c>
      <c r="D491">
        <v>0.57489011018829417</v>
      </c>
      <c r="E491">
        <v>1</v>
      </c>
      <c r="F491" t="b">
        <f>$C$491*$E$491&gt;0</f>
        <v>0</v>
      </c>
    </row>
    <row r="492" spans="1:6" x14ac:dyDescent="0.45">
      <c r="A492" s="3">
        <v>43075</v>
      </c>
      <c r="B492">
        <v>5374.35</v>
      </c>
      <c r="C492">
        <v>-2.1951323869451311E-4</v>
      </c>
      <c r="D492">
        <v>0.40197592481483718</v>
      </c>
      <c r="E492">
        <v>-1</v>
      </c>
      <c r="F492" t="b">
        <f>$C$492*$E$492&gt;0</f>
        <v>1</v>
      </c>
    </row>
    <row r="493" spans="1:6" x14ac:dyDescent="0.45">
      <c r="A493" s="3">
        <v>43076</v>
      </c>
      <c r="B493">
        <v>5383.86</v>
      </c>
      <c r="C493">
        <v>1.769516313600672E-3</v>
      </c>
      <c r="D493">
        <v>0.29355750098064037</v>
      </c>
      <c r="E493">
        <v>-1</v>
      </c>
      <c r="F493" t="b">
        <f>$C$493*$E$493&gt;0</f>
        <v>0</v>
      </c>
    </row>
    <row r="494" spans="1:6" x14ac:dyDescent="0.45">
      <c r="A494" s="3">
        <v>43077</v>
      </c>
      <c r="B494">
        <v>5399.09</v>
      </c>
      <c r="C494">
        <v>2.8288254152226688E-3</v>
      </c>
      <c r="D494">
        <v>0.46287253637509967</v>
      </c>
      <c r="E494">
        <v>-1</v>
      </c>
      <c r="F494" t="b">
        <f>$C$494*$E$494&gt;0</f>
        <v>0</v>
      </c>
    </row>
    <row r="495" spans="1:6" x14ac:dyDescent="0.45">
      <c r="A495" s="3">
        <v>43080</v>
      </c>
      <c r="B495">
        <v>5386.83</v>
      </c>
      <c r="C495">
        <v>-2.2707530343076821E-3</v>
      </c>
      <c r="D495">
        <v>0.62627559602759653</v>
      </c>
      <c r="E495">
        <v>1</v>
      </c>
      <c r="F495" t="b">
        <f>$C$495*$E$495&gt;0</f>
        <v>0</v>
      </c>
    </row>
    <row r="496" spans="1:6" x14ac:dyDescent="0.45">
      <c r="A496" s="3">
        <v>43081</v>
      </c>
      <c r="B496">
        <v>5427.19</v>
      </c>
      <c r="C496">
        <v>7.4923470761096844E-3</v>
      </c>
      <c r="D496">
        <v>0.44679987210513994</v>
      </c>
      <c r="E496">
        <v>-1</v>
      </c>
      <c r="F496" t="b">
        <f>$C$496*$E$496&gt;0</f>
        <v>0</v>
      </c>
    </row>
    <row r="497" spans="1:6" x14ac:dyDescent="0.45">
      <c r="A497" s="3">
        <v>43082</v>
      </c>
      <c r="B497">
        <v>5399.45</v>
      </c>
      <c r="C497">
        <v>-5.1113006915179948E-3</v>
      </c>
      <c r="D497">
        <v>0.61480760145006041</v>
      </c>
      <c r="E497">
        <v>1</v>
      </c>
      <c r="F497" t="b">
        <f>$C$497*$E$497&gt;0</f>
        <v>0</v>
      </c>
    </row>
    <row r="498" spans="1:6" x14ac:dyDescent="0.45">
      <c r="A498" s="3">
        <v>43083</v>
      </c>
      <c r="B498">
        <v>5357.14</v>
      </c>
      <c r="C498">
        <v>-7.8359832945946728E-3</v>
      </c>
      <c r="D498">
        <v>0.4359385996502656</v>
      </c>
      <c r="E498">
        <v>-1</v>
      </c>
      <c r="F498" t="b">
        <f>$C$498*$E$498&gt;0</f>
        <v>1</v>
      </c>
    </row>
    <row r="499" spans="1:6" x14ac:dyDescent="0.45">
      <c r="A499" s="3">
        <v>43084</v>
      </c>
      <c r="B499">
        <v>5349.3</v>
      </c>
      <c r="C499">
        <v>-1.4634674471826203E-3</v>
      </c>
      <c r="D499">
        <v>0.31180980662291874</v>
      </c>
      <c r="E499">
        <v>-1</v>
      </c>
      <c r="F499" t="b">
        <f>$C$499*$E$499&gt;0</f>
        <v>1</v>
      </c>
    </row>
    <row r="500" spans="1:6" x14ac:dyDescent="0.45">
      <c r="A500" s="3">
        <v>43087</v>
      </c>
      <c r="B500">
        <v>5420.58</v>
      </c>
      <c r="C500">
        <v>1.332510795805053E-2</v>
      </c>
      <c r="D500">
        <v>0.24506724038215699</v>
      </c>
      <c r="E500">
        <v>-1</v>
      </c>
      <c r="F500" t="b">
        <f>$C$500*$E$500&gt;0</f>
        <v>0</v>
      </c>
    </row>
    <row r="501" spans="1:6" x14ac:dyDescent="0.45">
      <c r="A501" s="3">
        <v>43088</v>
      </c>
      <c r="B501">
        <v>5382.91</v>
      </c>
      <c r="C501">
        <v>-6.9494408347445802E-3</v>
      </c>
      <c r="D501">
        <v>0.39435960365612305</v>
      </c>
      <c r="E501">
        <v>-1</v>
      </c>
      <c r="F501" t="b">
        <f>$C$501*$E$501&gt;0</f>
        <v>1</v>
      </c>
    </row>
    <row r="502" spans="1:6" x14ac:dyDescent="0.45">
      <c r="A502" s="3">
        <v>43089</v>
      </c>
      <c r="B502">
        <v>5352.77</v>
      </c>
      <c r="C502">
        <v>-5.599201918664698E-3</v>
      </c>
      <c r="D502">
        <v>0.28939197317872678</v>
      </c>
      <c r="E502">
        <v>-1</v>
      </c>
      <c r="F502" t="b">
        <f>$C$502*$E$502&gt;0</f>
        <v>1</v>
      </c>
    </row>
    <row r="503" spans="1:6" x14ac:dyDescent="0.45">
      <c r="A503" s="3">
        <v>43090</v>
      </c>
      <c r="B503">
        <v>5385.97</v>
      </c>
      <c r="C503">
        <v>6.2023961425579088E-3</v>
      </c>
      <c r="D503">
        <v>0.23237289952687873</v>
      </c>
      <c r="E503">
        <v>-1</v>
      </c>
      <c r="F503" t="b">
        <f>$C$503*$E$503&gt;0</f>
        <v>0</v>
      </c>
    </row>
    <row r="504" spans="1:6" x14ac:dyDescent="0.45">
      <c r="A504" s="3">
        <v>43091</v>
      </c>
      <c r="B504">
        <v>5364.72</v>
      </c>
      <c r="C504">
        <v>-3.9454360124545618E-3</v>
      </c>
      <c r="D504">
        <v>0.37461882127915552</v>
      </c>
      <c r="E504">
        <v>-1</v>
      </c>
      <c r="F504" t="b">
        <f>$C$504*$E$504&gt;0</f>
        <v>1</v>
      </c>
    </row>
    <row r="505" spans="1:6" x14ac:dyDescent="0.45">
      <c r="A505" s="3">
        <v>43096</v>
      </c>
      <c r="B505">
        <v>5368.84</v>
      </c>
      <c r="C505">
        <v>7.679804351392594E-4</v>
      </c>
      <c r="D505">
        <v>0.2789207963087364</v>
      </c>
      <c r="E505">
        <v>-1</v>
      </c>
      <c r="F505" t="b">
        <f>$C$505*$E$505&gt;0</f>
        <v>0</v>
      </c>
    </row>
    <row r="506" spans="1:6" x14ac:dyDescent="0.45">
      <c r="A506" s="3">
        <v>43097</v>
      </c>
      <c r="B506">
        <v>5339.42</v>
      </c>
      <c r="C506">
        <v>-5.4797684416000303E-3</v>
      </c>
      <c r="D506">
        <v>0.44350539073412443</v>
      </c>
      <c r="E506">
        <v>-1</v>
      </c>
      <c r="F506" t="b">
        <f>$C$506*$E$506&gt;0</f>
        <v>1</v>
      </c>
    </row>
    <row r="507" spans="1:6" x14ac:dyDescent="0.45">
      <c r="A507" s="3">
        <v>43098</v>
      </c>
      <c r="B507">
        <v>5312.56</v>
      </c>
      <c r="C507">
        <v>-5.0305089316816654E-3</v>
      </c>
      <c r="D507">
        <v>0.31594400866661176</v>
      </c>
      <c r="E507">
        <v>-1</v>
      </c>
      <c r="F507" t="b">
        <f>$C$507*$E$507&gt;0</f>
        <v>1</v>
      </c>
    </row>
    <row r="508" spans="1:6" x14ac:dyDescent="0.45">
      <c r="A508" s="3">
        <v>43102</v>
      </c>
      <c r="B508">
        <v>5288.6</v>
      </c>
      <c r="C508">
        <v>-4.5100667098347813E-3</v>
      </c>
      <c r="D508">
        <v>0.247335170325895</v>
      </c>
      <c r="E508">
        <v>-1</v>
      </c>
      <c r="F508" t="b">
        <f>$C$508*$E$508&gt;0</f>
        <v>1</v>
      </c>
    </row>
    <row r="509" spans="1:6" x14ac:dyDescent="0.45">
      <c r="A509" s="3">
        <v>43103</v>
      </c>
      <c r="B509">
        <v>5331.28</v>
      </c>
      <c r="C509">
        <v>8.0701887077865297E-3</v>
      </c>
      <c r="D509">
        <v>0.20710318288453278</v>
      </c>
      <c r="E509">
        <v>-1</v>
      </c>
      <c r="F509" t="b">
        <f>$C$509*$E$509&gt;0</f>
        <v>0</v>
      </c>
    </row>
    <row r="510" spans="1:6" x14ac:dyDescent="0.45">
      <c r="A510" s="3">
        <v>43104</v>
      </c>
      <c r="B510">
        <v>5413.69</v>
      </c>
      <c r="C510">
        <v>1.5457826263111318E-2</v>
      </c>
      <c r="D510">
        <v>0.33331293800323014</v>
      </c>
      <c r="E510">
        <v>-1</v>
      </c>
      <c r="F510" t="b">
        <f>$C$510*$E$510&gt;0</f>
        <v>0</v>
      </c>
    </row>
    <row r="511" spans="1:6" x14ac:dyDescent="0.45">
      <c r="A511" s="3">
        <v>43105</v>
      </c>
      <c r="B511">
        <v>5470.75</v>
      </c>
      <c r="C511">
        <v>1.0539945951836938E-2</v>
      </c>
      <c r="D511">
        <v>0.51132883245998206</v>
      </c>
      <c r="E511">
        <v>1</v>
      </c>
      <c r="F511" t="b">
        <f>$C$511*$E$511&gt;0</f>
        <v>1</v>
      </c>
    </row>
    <row r="512" spans="1:6" x14ac:dyDescent="0.45">
      <c r="A512" s="3">
        <v>43108</v>
      </c>
      <c r="B512">
        <v>5487.42</v>
      </c>
      <c r="C512">
        <v>3.0471141982360006E-3</v>
      </c>
      <c r="D512">
        <v>0.65796582981034535</v>
      </c>
      <c r="E512">
        <v>1</v>
      </c>
      <c r="F512" t="b">
        <f>$C$512*$E$512&gt;0</f>
        <v>1</v>
      </c>
    </row>
    <row r="513" spans="1:6" x14ac:dyDescent="0.45">
      <c r="A513" s="3">
        <v>43109</v>
      </c>
      <c r="B513">
        <v>5523.94</v>
      </c>
      <c r="C513">
        <v>6.6552223084801465E-3</v>
      </c>
      <c r="D513">
        <v>0.73851733430424527</v>
      </c>
      <c r="E513">
        <v>1</v>
      </c>
      <c r="F513" t="b">
        <f>$C$513*$E$513&gt;0</f>
        <v>1</v>
      </c>
    </row>
    <row r="514" spans="1:6" x14ac:dyDescent="0.45">
      <c r="A514" s="3">
        <v>43110</v>
      </c>
      <c r="B514">
        <v>5504.68</v>
      </c>
      <c r="C514">
        <v>-3.486641781047406E-3</v>
      </c>
      <c r="D514">
        <v>0.78420032906711001</v>
      </c>
      <c r="E514">
        <v>1</v>
      </c>
      <c r="F514" t="b">
        <f>$C$514*$E$514&gt;0</f>
        <v>0</v>
      </c>
    </row>
    <row r="515" spans="1:6" x14ac:dyDescent="0.45">
      <c r="A515" s="3">
        <v>43111</v>
      </c>
      <c r="B515">
        <v>5488.55</v>
      </c>
      <c r="C515">
        <v>-2.9302339100547581E-3</v>
      </c>
      <c r="D515">
        <v>0.65204279331544912</v>
      </c>
      <c r="E515">
        <v>1</v>
      </c>
      <c r="F515" t="b">
        <f>$C$515*$E$515&gt;0</f>
        <v>0</v>
      </c>
    </row>
    <row r="516" spans="1:6" x14ac:dyDescent="0.45">
      <c r="A516" s="3">
        <v>43112</v>
      </c>
      <c r="B516">
        <v>5517.06</v>
      </c>
      <c r="C516">
        <v>5.1944502646419366E-3</v>
      </c>
      <c r="D516">
        <v>0.47262269016185693</v>
      </c>
      <c r="E516">
        <v>-1</v>
      </c>
      <c r="F516" t="b">
        <f>$C$516*$E$516&gt;0</f>
        <v>0</v>
      </c>
    </row>
    <row r="517" spans="1:6" x14ac:dyDescent="0.45">
      <c r="A517" s="3">
        <v>43116</v>
      </c>
      <c r="B517">
        <v>5513.82</v>
      </c>
      <c r="C517">
        <v>-5.8726930647856612E-4</v>
      </c>
      <c r="D517">
        <v>0.63321205429919791</v>
      </c>
      <c r="E517">
        <v>1</v>
      </c>
      <c r="F517" t="b">
        <f>$C$517*$E$517&gt;0</f>
        <v>0</v>
      </c>
    </row>
    <row r="518" spans="1:6" x14ac:dyDescent="0.45">
      <c r="A518" s="3">
        <v>43117</v>
      </c>
      <c r="B518">
        <v>5493.99</v>
      </c>
      <c r="C518">
        <v>-3.5964177285439103E-3</v>
      </c>
      <c r="D518">
        <v>0.4532784798202053</v>
      </c>
      <c r="E518">
        <v>-1</v>
      </c>
      <c r="F518" t="b">
        <f>$C$518*$E$518&gt;0</f>
        <v>1</v>
      </c>
    </row>
    <row r="519" spans="1:6" x14ac:dyDescent="0.45">
      <c r="A519" s="3">
        <v>43118</v>
      </c>
      <c r="B519">
        <v>5494.83</v>
      </c>
      <c r="C519">
        <v>1.5289434454746065E-4</v>
      </c>
      <c r="D519">
        <v>0.32132760257222337</v>
      </c>
      <c r="E519">
        <v>-1</v>
      </c>
      <c r="F519" t="b">
        <f>$C$519*$E$519&gt;0</f>
        <v>0</v>
      </c>
    </row>
    <row r="520" spans="1:6" x14ac:dyDescent="0.45">
      <c r="A520" s="3">
        <v>43123</v>
      </c>
      <c r="B520">
        <v>5535.26</v>
      </c>
      <c r="C520">
        <v>7.3578254468291693E-3</v>
      </c>
      <c r="D520">
        <v>0.49766555573328258</v>
      </c>
      <c r="E520">
        <v>-1</v>
      </c>
      <c r="F520" t="b">
        <f>$C$520*$E$520&gt;0</f>
        <v>0</v>
      </c>
    </row>
    <row r="521" spans="1:6" x14ac:dyDescent="0.45">
      <c r="A521" s="3">
        <v>43124</v>
      </c>
      <c r="B521">
        <v>5495.16</v>
      </c>
      <c r="C521">
        <v>-7.2444654812963138E-3</v>
      </c>
      <c r="D521">
        <v>0.64960177356500115</v>
      </c>
      <c r="E521">
        <v>1</v>
      </c>
      <c r="F521" t="b">
        <f>$C$521*$E$521&gt;0</f>
        <v>0</v>
      </c>
    </row>
    <row r="522" spans="1:6" x14ac:dyDescent="0.45">
      <c r="A522" s="3">
        <v>43125</v>
      </c>
      <c r="B522">
        <v>5481.21</v>
      </c>
      <c r="C522">
        <v>-2.5385976022536116E-3</v>
      </c>
      <c r="D522">
        <v>0.46992647431482065</v>
      </c>
      <c r="E522">
        <v>-1</v>
      </c>
      <c r="F522" t="b">
        <f>$C$522*$E$522&gt;0</f>
        <v>1</v>
      </c>
    </row>
    <row r="523" spans="1:6" x14ac:dyDescent="0.45">
      <c r="A523" s="3">
        <v>43126</v>
      </c>
      <c r="B523">
        <v>5529.15</v>
      </c>
      <c r="C523">
        <v>8.7462439862731056E-3</v>
      </c>
      <c r="D523">
        <v>0.33082083051296401</v>
      </c>
      <c r="E523">
        <v>-1</v>
      </c>
      <c r="F523" t="b">
        <f>$C$523*$E$523&gt;0</f>
        <v>0</v>
      </c>
    </row>
    <row r="524" spans="1:6" x14ac:dyDescent="0.45">
      <c r="A524" s="3">
        <v>43129</v>
      </c>
      <c r="B524">
        <v>5521.59</v>
      </c>
      <c r="C524">
        <v>-1.3672987710587892E-3</v>
      </c>
      <c r="D524">
        <v>0.50870431837163355</v>
      </c>
      <c r="E524">
        <v>1</v>
      </c>
      <c r="F524" t="b">
        <f>$C$524*$E$524&gt;0</f>
        <v>0</v>
      </c>
    </row>
    <row r="525" spans="1:6" x14ac:dyDescent="0.45">
      <c r="A525" s="3">
        <v>43130</v>
      </c>
      <c r="B525">
        <v>5473.78</v>
      </c>
      <c r="C525">
        <v>-8.6587377911073737E-3</v>
      </c>
      <c r="D525">
        <v>0.35443196828482582</v>
      </c>
      <c r="E525">
        <v>-1</v>
      </c>
      <c r="F525" t="b">
        <f>$C$525*$E$525&gt;0</f>
        <v>1</v>
      </c>
    </row>
    <row r="526" spans="1:6" x14ac:dyDescent="0.45">
      <c r="A526" s="3">
        <v>43131</v>
      </c>
      <c r="B526">
        <v>5481.93</v>
      </c>
      <c r="C526">
        <v>1.4889162516580345E-3</v>
      </c>
      <c r="D526">
        <v>0.26808383928071589</v>
      </c>
      <c r="E526">
        <v>-1</v>
      </c>
      <c r="F526" t="b">
        <f>$C$526*$E$526&gt;0</f>
        <v>0</v>
      </c>
    </row>
    <row r="527" spans="1:6" x14ac:dyDescent="0.45">
      <c r="A527" s="3">
        <v>43132</v>
      </c>
      <c r="B527">
        <v>5454.55</v>
      </c>
      <c r="C527">
        <v>-4.994591320939934E-3</v>
      </c>
      <c r="D527">
        <v>0.42860834501866374</v>
      </c>
      <c r="E527">
        <v>-1</v>
      </c>
      <c r="F527" t="b">
        <f>$C$527*$E$527&gt;0</f>
        <v>1</v>
      </c>
    </row>
    <row r="528" spans="1:6" x14ac:dyDescent="0.45">
      <c r="A528" s="3">
        <v>43133</v>
      </c>
      <c r="B528">
        <v>5364.98</v>
      </c>
      <c r="C528">
        <v>-1.6421152982372678E-2</v>
      </c>
      <c r="D528">
        <v>0.30758680863853799</v>
      </c>
      <c r="E528">
        <v>-1</v>
      </c>
      <c r="F528" t="b">
        <f>$C$528*$E$528&gt;0</f>
        <v>1</v>
      </c>
    </row>
    <row r="529" spans="1:6" x14ac:dyDescent="0.45">
      <c r="A529" s="3">
        <v>43136</v>
      </c>
      <c r="B529">
        <v>5285.83</v>
      </c>
      <c r="C529">
        <v>-1.4753083888476737E-2</v>
      </c>
      <c r="D529">
        <v>0.2426077270933811</v>
      </c>
      <c r="E529">
        <v>-1</v>
      </c>
      <c r="F529" t="b">
        <f>$C$529*$E$529&gt;0</f>
        <v>1</v>
      </c>
    </row>
    <row r="530" spans="1:6" x14ac:dyDescent="0.45">
      <c r="A530" s="3">
        <v>43137</v>
      </c>
      <c r="B530">
        <v>5161.8100000000004</v>
      </c>
      <c r="C530">
        <v>-2.3462729599703303E-2</v>
      </c>
      <c r="D530">
        <v>0.20407749764252398</v>
      </c>
      <c r="E530">
        <v>-1</v>
      </c>
      <c r="F530" t="b">
        <f>$C$530*$E$530&gt;0</f>
        <v>1</v>
      </c>
    </row>
    <row r="531" spans="1:6" x14ac:dyDescent="0.45">
      <c r="A531" s="3">
        <v>43138</v>
      </c>
      <c r="B531">
        <v>5255.9</v>
      </c>
      <c r="C531">
        <v>1.8228102157963777E-2</v>
      </c>
      <c r="D531">
        <v>0.17850305935810537</v>
      </c>
      <c r="E531">
        <v>-1</v>
      </c>
      <c r="F531" t="b">
        <f>$C$531*$E$531&gt;0</f>
        <v>0</v>
      </c>
    </row>
    <row r="532" spans="1:6" x14ac:dyDescent="0.45">
      <c r="A532" s="3">
        <v>43139</v>
      </c>
      <c r="B532">
        <v>5151.68</v>
      </c>
      <c r="C532">
        <v>-1.9829144390113851E-2</v>
      </c>
      <c r="D532">
        <v>0.28393111000581905</v>
      </c>
      <c r="E532">
        <v>-1</v>
      </c>
      <c r="F532" t="b">
        <f>$C$532*$E$532&gt;0</f>
        <v>1</v>
      </c>
    </row>
    <row r="533" spans="1:6" x14ac:dyDescent="0.45">
      <c r="A533" s="3">
        <v>43140</v>
      </c>
      <c r="B533">
        <v>5079.21</v>
      </c>
      <c r="C533">
        <v>-1.4067255730169648E-2</v>
      </c>
      <c r="D533">
        <v>0.22913304047969191</v>
      </c>
      <c r="E533">
        <v>-1</v>
      </c>
      <c r="F533" t="b">
        <f>$C$533*$E$533&gt;0</f>
        <v>1</v>
      </c>
    </row>
    <row r="534" spans="1:6" x14ac:dyDescent="0.45">
      <c r="A534" s="3">
        <v>43143</v>
      </c>
      <c r="B534">
        <v>5140.0600000000004</v>
      </c>
      <c r="C534">
        <v>1.1980209520771945E-2</v>
      </c>
      <c r="D534">
        <v>0.19540307079642266</v>
      </c>
      <c r="E534">
        <v>-1</v>
      </c>
      <c r="F534" t="b">
        <f>$C$534*$E$534&gt;0</f>
        <v>0</v>
      </c>
    </row>
    <row r="535" spans="1:6" x14ac:dyDescent="0.45">
      <c r="A535" s="3">
        <v>43144</v>
      </c>
      <c r="B535">
        <v>5109.24</v>
      </c>
      <c r="C535">
        <v>-5.9960389567438321E-3</v>
      </c>
      <c r="D535">
        <v>0.31351591219655761</v>
      </c>
      <c r="E535">
        <v>-1</v>
      </c>
      <c r="F535" t="b">
        <f>$C$535*$E$535&gt;0</f>
        <v>1</v>
      </c>
    </row>
    <row r="536" spans="1:6" x14ac:dyDescent="0.45">
      <c r="A536" s="3">
        <v>43145</v>
      </c>
      <c r="B536">
        <v>5165.26</v>
      </c>
      <c r="C536">
        <v>1.0964448724272158E-2</v>
      </c>
      <c r="D536">
        <v>0.24591093585668611</v>
      </c>
      <c r="E536">
        <v>-1</v>
      </c>
      <c r="F536" t="b">
        <f>$C$536*$E$536&gt;0</f>
        <v>0</v>
      </c>
    </row>
    <row r="537" spans="1:6" x14ac:dyDescent="0.45">
      <c r="A537" s="3">
        <v>43146</v>
      </c>
      <c r="B537">
        <v>5222.5200000000004</v>
      </c>
      <c r="C537">
        <v>1.1085598788831641E-2</v>
      </c>
      <c r="D537">
        <v>0.39591843193290149</v>
      </c>
      <c r="E537">
        <v>-1</v>
      </c>
      <c r="F537" t="b">
        <f>$C$537*$E$537&gt;0</f>
        <v>0</v>
      </c>
    </row>
    <row r="538" spans="1:6" x14ac:dyDescent="0.45">
      <c r="A538" s="3">
        <v>43147</v>
      </c>
      <c r="B538">
        <v>5281.58</v>
      </c>
      <c r="C538">
        <v>1.1308716864655288E-2</v>
      </c>
      <c r="D538">
        <v>0.57412717642938116</v>
      </c>
      <c r="E538">
        <v>1</v>
      </c>
      <c r="F538" t="b">
        <f>$C$538*$E$538&gt;0</f>
        <v>1</v>
      </c>
    </row>
    <row r="539" spans="1:6" x14ac:dyDescent="0.45">
      <c r="A539" s="3">
        <v>43150</v>
      </c>
      <c r="B539">
        <v>5256.18</v>
      </c>
      <c r="C539">
        <v>-4.809166953828159E-3</v>
      </c>
      <c r="D539">
        <v>0.69394536313829269</v>
      </c>
      <c r="E539">
        <v>1</v>
      </c>
      <c r="F539" t="b">
        <f>$C$539*$E$539&gt;0</f>
        <v>0</v>
      </c>
    </row>
    <row r="540" spans="1:6" x14ac:dyDescent="0.45">
      <c r="A540" s="3">
        <v>43151</v>
      </c>
      <c r="B540">
        <v>5289.86</v>
      </c>
      <c r="C540">
        <v>6.4076953224583288E-3</v>
      </c>
      <c r="D540">
        <v>0.52068892666722577</v>
      </c>
      <c r="E540">
        <v>1</v>
      </c>
      <c r="F540" t="b">
        <f>$C$540*$E$540&gt;0</f>
        <v>1</v>
      </c>
    </row>
    <row r="541" spans="1:6" x14ac:dyDescent="0.45">
      <c r="A541" s="3">
        <v>43152</v>
      </c>
      <c r="B541">
        <v>5302.17</v>
      </c>
      <c r="C541">
        <v>2.3270937227073407E-3</v>
      </c>
      <c r="D541">
        <v>0.6637628284954874</v>
      </c>
      <c r="E541">
        <v>1</v>
      </c>
      <c r="F541" t="b">
        <f>$C$541*$E$541&gt;0</f>
        <v>1</v>
      </c>
    </row>
    <row r="542" spans="1:6" x14ac:dyDescent="0.45">
      <c r="A542" s="3">
        <v>43153</v>
      </c>
      <c r="B542">
        <v>5309.23</v>
      </c>
      <c r="C542">
        <v>1.3315302979721721E-3</v>
      </c>
      <c r="D542">
        <v>0.74171607836797404</v>
      </c>
      <c r="E542">
        <v>1</v>
      </c>
      <c r="F542" t="b">
        <f>$C$542*$E$542&gt;0</f>
        <v>1</v>
      </c>
    </row>
    <row r="543" spans="1:6" x14ac:dyDescent="0.45">
      <c r="A543" s="3">
        <v>43154</v>
      </c>
      <c r="B543">
        <v>5317.37</v>
      </c>
      <c r="C543">
        <v>1.5331790108923382E-3</v>
      </c>
      <c r="D543">
        <v>0.78618756429115511</v>
      </c>
      <c r="E543">
        <v>1</v>
      </c>
      <c r="F543" t="b">
        <f>$C$543*$E$543&gt;0</f>
        <v>1</v>
      </c>
    </row>
    <row r="544" spans="1:6" x14ac:dyDescent="0.45">
      <c r="A544" s="3">
        <v>43157</v>
      </c>
      <c r="B544">
        <v>5344.26</v>
      </c>
      <c r="C544">
        <v>5.0570112668482103E-3</v>
      </c>
      <c r="D544">
        <v>0.8148265300949119</v>
      </c>
      <c r="E544">
        <v>1</v>
      </c>
      <c r="F544" t="b">
        <f>$C$544*$E$544&gt;0</f>
        <v>1</v>
      </c>
    </row>
    <row r="545" spans="1:6" x14ac:dyDescent="0.45">
      <c r="A545" s="3">
        <v>43158</v>
      </c>
      <c r="B545">
        <v>5343.93</v>
      </c>
      <c r="C545">
        <v>-6.1748492775404173E-5</v>
      </c>
      <c r="D545">
        <v>0.83497559070942773</v>
      </c>
      <c r="E545">
        <v>1</v>
      </c>
      <c r="F545" t="b">
        <f>$C$545*$E$545&gt;0</f>
        <v>0</v>
      </c>
    </row>
    <row r="546" spans="1:6" x14ac:dyDescent="0.45">
      <c r="A546" s="3">
        <v>43159</v>
      </c>
      <c r="B546">
        <v>5320.49</v>
      </c>
      <c r="C546">
        <v>-4.3862849999907194E-3</v>
      </c>
      <c r="D546">
        <v>0.74007505917402028</v>
      </c>
      <c r="E546">
        <v>1</v>
      </c>
      <c r="F546" t="b">
        <f>$C$546*$E$546&gt;0</f>
        <v>0</v>
      </c>
    </row>
    <row r="547" spans="1:6" x14ac:dyDescent="0.45">
      <c r="A547" s="3">
        <v>43160</v>
      </c>
      <c r="B547">
        <v>5262.56</v>
      </c>
      <c r="C547">
        <v>-1.0888094893515277E-2</v>
      </c>
      <c r="D547">
        <v>0.58308035912244804</v>
      </c>
      <c r="E547">
        <v>1</v>
      </c>
      <c r="F547" t="b">
        <f>$C$547*$E$547&gt;0</f>
        <v>0</v>
      </c>
    </row>
    <row r="548" spans="1:6" x14ac:dyDescent="0.45">
      <c r="A548" s="3">
        <v>43161</v>
      </c>
      <c r="B548">
        <v>5136.58</v>
      </c>
      <c r="C548">
        <v>-2.3938919461250929E-2</v>
      </c>
      <c r="D548">
        <v>0.40800329870768071</v>
      </c>
      <c r="E548">
        <v>-1</v>
      </c>
      <c r="F548" t="b">
        <f>$C$548*$E$548&gt;0</f>
        <v>1</v>
      </c>
    </row>
    <row r="549" spans="1:6" x14ac:dyDescent="0.45">
      <c r="A549" s="3">
        <v>43164</v>
      </c>
      <c r="B549">
        <v>5167.2299999999996</v>
      </c>
      <c r="C549">
        <v>5.9670052836711118E-3</v>
      </c>
      <c r="D549">
        <v>0.29644965831861164</v>
      </c>
      <c r="E549">
        <v>-1</v>
      </c>
      <c r="F549" t="b">
        <f>$C$549*$E$549&gt;0</f>
        <v>0</v>
      </c>
    </row>
    <row r="550" spans="1:6" x14ac:dyDescent="0.45">
      <c r="A550" s="3">
        <v>43165</v>
      </c>
      <c r="B550">
        <v>5170.2299999999996</v>
      </c>
      <c r="C550">
        <v>5.8058185913933968E-4</v>
      </c>
      <c r="D550">
        <v>0.46716426121666532</v>
      </c>
      <c r="E550">
        <v>-1</v>
      </c>
      <c r="F550" t="b">
        <f>$C$550*$E$550&gt;0</f>
        <v>0</v>
      </c>
    </row>
    <row r="551" spans="1:6" x14ac:dyDescent="0.45">
      <c r="A551" s="3">
        <v>43166</v>
      </c>
      <c r="B551">
        <v>5187.83</v>
      </c>
      <c r="C551">
        <v>3.4041038793246603E-3</v>
      </c>
      <c r="D551">
        <v>0.62968019792507191</v>
      </c>
      <c r="E551">
        <v>1</v>
      </c>
      <c r="F551" t="b">
        <f>$C$551*$E$551&gt;0</f>
        <v>1</v>
      </c>
    </row>
    <row r="552" spans="1:6" x14ac:dyDescent="0.45">
      <c r="A552" s="3">
        <v>43167</v>
      </c>
      <c r="B552">
        <v>5254.1</v>
      </c>
      <c r="C552">
        <v>1.2774127139864033E-2</v>
      </c>
      <c r="D552">
        <v>0.72355808072779204</v>
      </c>
      <c r="E552">
        <v>1</v>
      </c>
      <c r="F552" t="b">
        <f>$C$552*$E$552&gt;0</f>
        <v>1</v>
      </c>
    </row>
    <row r="553" spans="1:6" x14ac:dyDescent="0.45">
      <c r="A553" s="3">
        <v>43168</v>
      </c>
      <c r="B553">
        <v>5274.4</v>
      </c>
      <c r="C553">
        <v>3.8636493405148631E-3</v>
      </c>
      <c r="D553">
        <v>0.77529195173274235</v>
      </c>
      <c r="E553">
        <v>1</v>
      </c>
      <c r="F553" t="b">
        <f>$C$553*$E$553&gt;0</f>
        <v>1</v>
      </c>
    </row>
    <row r="554" spans="1:6" x14ac:dyDescent="0.45">
      <c r="A554" s="3">
        <v>43171</v>
      </c>
      <c r="B554">
        <v>5276.71</v>
      </c>
      <c r="C554">
        <v>4.3796450781141694E-4</v>
      </c>
      <c r="D554">
        <v>0.80753264697457128</v>
      </c>
      <c r="E554">
        <v>1</v>
      </c>
      <c r="F554" t="b">
        <f>$C$554*$E$554&gt;0</f>
        <v>1</v>
      </c>
    </row>
    <row r="555" spans="1:6" x14ac:dyDescent="0.45">
      <c r="A555" s="3">
        <v>43172</v>
      </c>
      <c r="B555">
        <v>5242.79</v>
      </c>
      <c r="C555">
        <v>-6.4282479044708296E-3</v>
      </c>
      <c r="D555">
        <v>0.82970779749581813</v>
      </c>
      <c r="E555">
        <v>1</v>
      </c>
      <c r="F555" t="b">
        <f>$C$555*$E$555&gt;0</f>
        <v>0</v>
      </c>
    </row>
    <row r="556" spans="1:6" x14ac:dyDescent="0.45">
      <c r="A556" s="3">
        <v>43173</v>
      </c>
      <c r="B556">
        <v>5233.3599999999997</v>
      </c>
      <c r="C556">
        <v>-1.7986606367984548E-3</v>
      </c>
      <c r="D556">
        <v>0.73060400960416527</v>
      </c>
      <c r="E556">
        <v>1</v>
      </c>
      <c r="F556" t="b">
        <f>$C$556*$E$556&gt;0</f>
        <v>0</v>
      </c>
    </row>
    <row r="557" spans="1:6" x14ac:dyDescent="0.45">
      <c r="A557" s="3">
        <v>43174</v>
      </c>
      <c r="B557">
        <v>5267.26</v>
      </c>
      <c r="C557">
        <v>6.4776739991134757E-3</v>
      </c>
      <c r="D557">
        <v>0.56941781645798317</v>
      </c>
      <c r="E557">
        <v>1</v>
      </c>
      <c r="F557" t="b">
        <f>$C$557*$E$557&gt;0</f>
        <v>1</v>
      </c>
    </row>
    <row r="558" spans="1:6" x14ac:dyDescent="0.45">
      <c r="A558" s="3">
        <v>43175</v>
      </c>
      <c r="B558">
        <v>5282.75</v>
      </c>
      <c r="C558">
        <v>2.9408079342960747E-3</v>
      </c>
      <c r="D558">
        <v>0.69142206775926729</v>
      </c>
      <c r="E558">
        <v>1</v>
      </c>
      <c r="F558" t="b">
        <f>$C$558*$E$558&gt;0</f>
        <v>1</v>
      </c>
    </row>
    <row r="559" spans="1:6" x14ac:dyDescent="0.45">
      <c r="A559" s="3">
        <v>43178</v>
      </c>
      <c r="B559">
        <v>5222.84</v>
      </c>
      <c r="C559">
        <v>-1.1340684302683202E-2</v>
      </c>
      <c r="D559">
        <v>0.75688716985212656</v>
      </c>
      <c r="E559">
        <v>1</v>
      </c>
      <c r="F559" t="b">
        <f>$C$559*$E$559&gt;0</f>
        <v>0</v>
      </c>
    </row>
    <row r="560" spans="1:6" x14ac:dyDescent="0.45">
      <c r="A560" s="3">
        <v>43179</v>
      </c>
      <c r="B560">
        <v>5252.43</v>
      </c>
      <c r="C560">
        <v>5.6654999961707198E-3</v>
      </c>
      <c r="D560">
        <v>0.60824990017918601</v>
      </c>
      <c r="E560">
        <v>1</v>
      </c>
      <c r="F560" t="b">
        <f>$C$560*$E$560&gt;0</f>
        <v>1</v>
      </c>
    </row>
    <row r="561" spans="1:6" x14ac:dyDescent="0.45">
      <c r="A561" s="3">
        <v>43180</v>
      </c>
      <c r="B561">
        <v>5239.74</v>
      </c>
      <c r="C561">
        <v>-2.4160245829074611E-3</v>
      </c>
      <c r="D561">
        <v>0.71223246119033157</v>
      </c>
      <c r="E561">
        <v>1</v>
      </c>
      <c r="F561" t="b">
        <f>$C$561*$E$561&gt;0</f>
        <v>0</v>
      </c>
    </row>
    <row r="562" spans="1:6" x14ac:dyDescent="0.45">
      <c r="A562" s="3">
        <v>43181</v>
      </c>
      <c r="B562">
        <v>5167.21</v>
      </c>
      <c r="C562">
        <v>-1.3842289884612557E-2</v>
      </c>
      <c r="D562">
        <v>0.54416408395172855</v>
      </c>
      <c r="E562">
        <v>1</v>
      </c>
      <c r="F562" t="b">
        <f>$C$562*$E$562&gt;0</f>
        <v>0</v>
      </c>
    </row>
    <row r="563" spans="1:6" x14ac:dyDescent="0.45">
      <c r="A563" s="3">
        <v>43182</v>
      </c>
      <c r="B563">
        <v>5095.22</v>
      </c>
      <c r="C563">
        <v>-1.3932083271243068E-2</v>
      </c>
      <c r="D563">
        <v>0.37824476827117998</v>
      </c>
      <c r="E563">
        <v>-1</v>
      </c>
      <c r="F563" t="b">
        <f>$C$563*$E$563&gt;0</f>
        <v>1</v>
      </c>
    </row>
    <row r="564" spans="1:6" x14ac:dyDescent="0.45">
      <c r="A564" s="3">
        <v>43185</v>
      </c>
      <c r="B564">
        <v>5066.28</v>
      </c>
      <c r="C564">
        <v>-5.6798332554827136E-3</v>
      </c>
      <c r="D564">
        <v>0.2806375689438641</v>
      </c>
      <c r="E564">
        <v>-1</v>
      </c>
      <c r="F564" t="b">
        <f>$C$564*$E$564&gt;0</f>
        <v>1</v>
      </c>
    </row>
    <row r="565" spans="1:6" x14ac:dyDescent="0.45">
      <c r="A565" s="3">
        <v>43186</v>
      </c>
      <c r="B565">
        <v>5115.74</v>
      </c>
      <c r="C565">
        <v>9.7625871448083767E-3</v>
      </c>
      <c r="D565">
        <v>0.22717965756267489</v>
      </c>
      <c r="E565">
        <v>-1</v>
      </c>
      <c r="F565" t="b">
        <f>$C$565*$E$565&gt;0</f>
        <v>0</v>
      </c>
    </row>
    <row r="566" spans="1:6" x14ac:dyDescent="0.45">
      <c r="A566" s="3">
        <v>43187</v>
      </c>
      <c r="B566">
        <v>5130.4399999999996</v>
      </c>
      <c r="C566">
        <v>2.873484578965968E-3</v>
      </c>
      <c r="D566">
        <v>0.3666694433644816</v>
      </c>
      <c r="E566">
        <v>-1</v>
      </c>
      <c r="F566" t="b">
        <f>$C$566*$E$566&gt;0</f>
        <v>0</v>
      </c>
    </row>
    <row r="567" spans="1:6" x14ac:dyDescent="0.45">
      <c r="A567" s="3">
        <v>43188</v>
      </c>
      <c r="B567">
        <v>5167.3</v>
      </c>
      <c r="C567">
        <v>7.184568964845317E-3</v>
      </c>
      <c r="D567">
        <v>0.54689207404928886</v>
      </c>
      <c r="E567">
        <v>1</v>
      </c>
      <c r="F567" t="b">
        <f>$C$567*$E$567&gt;0</f>
        <v>1</v>
      </c>
    </row>
    <row r="568" spans="1:6" x14ac:dyDescent="0.45">
      <c r="A568" s="3">
        <v>43193</v>
      </c>
      <c r="B568">
        <v>5152.12</v>
      </c>
      <c r="C568">
        <v>-2.9377044104271777E-3</v>
      </c>
      <c r="D568">
        <v>0.67897215593464011</v>
      </c>
      <c r="E568">
        <v>1</v>
      </c>
      <c r="F568" t="b">
        <f>$C$568*$E$568&gt;0</f>
        <v>0</v>
      </c>
    </row>
    <row r="569" spans="1:6" x14ac:dyDescent="0.45">
      <c r="A569" s="3">
        <v>43194</v>
      </c>
      <c r="B569">
        <v>5141.8</v>
      </c>
      <c r="C569">
        <v>-2.0030589349626648E-3</v>
      </c>
      <c r="D569">
        <v>0.50243541655561841</v>
      </c>
      <c r="E569">
        <v>1</v>
      </c>
      <c r="F569" t="b">
        <f>$C$569*$E$569&gt;0</f>
        <v>0</v>
      </c>
    </row>
    <row r="570" spans="1:6" x14ac:dyDescent="0.45">
      <c r="A570" s="3">
        <v>43195</v>
      </c>
      <c r="B570">
        <v>5276.67</v>
      </c>
      <c r="C570">
        <v>2.6230113967871116E-2</v>
      </c>
      <c r="D570">
        <v>0.3503042785076198</v>
      </c>
      <c r="E570">
        <v>-1</v>
      </c>
      <c r="F570" t="b">
        <f>$C$570*$E$570&gt;0</f>
        <v>0</v>
      </c>
    </row>
    <row r="571" spans="1:6" x14ac:dyDescent="0.45">
      <c r="A571" s="3">
        <v>43196</v>
      </c>
      <c r="B571">
        <v>5258.24</v>
      </c>
      <c r="C571">
        <v>-3.4927331062962752E-3</v>
      </c>
      <c r="D571">
        <v>0.53021769231948412</v>
      </c>
      <c r="E571">
        <v>1</v>
      </c>
      <c r="F571" t="b">
        <f>$C$571*$E$571&gt;0</f>
        <v>0</v>
      </c>
    </row>
    <row r="572" spans="1:6" x14ac:dyDescent="0.45">
      <c r="A572" s="3">
        <v>43199</v>
      </c>
      <c r="B572">
        <v>5263.39</v>
      </c>
      <c r="C572">
        <v>9.7941516553068375E-4</v>
      </c>
      <c r="D572">
        <v>0.36847276282205677</v>
      </c>
      <c r="E572">
        <v>-1</v>
      </c>
      <c r="F572" t="b">
        <f>$C$572*$E$572&gt;0</f>
        <v>0</v>
      </c>
    </row>
    <row r="573" spans="1:6" x14ac:dyDescent="0.45">
      <c r="A573" s="3">
        <v>43200</v>
      </c>
      <c r="B573">
        <v>5307.56</v>
      </c>
      <c r="C573">
        <v>8.3919299158907723E-3</v>
      </c>
      <c r="D573">
        <v>0.54871226171039378</v>
      </c>
      <c r="E573">
        <v>1</v>
      </c>
      <c r="F573" t="b">
        <f>$C$573*$E$573&gt;0</f>
        <v>1</v>
      </c>
    </row>
    <row r="574" spans="1:6" x14ac:dyDescent="0.45">
      <c r="A574" s="3">
        <v>43201</v>
      </c>
      <c r="B574">
        <v>5277.94</v>
      </c>
      <c r="C574">
        <v>-5.5807188237158023E-3</v>
      </c>
      <c r="D574">
        <v>0.68002166498785188</v>
      </c>
      <c r="E574">
        <v>1</v>
      </c>
      <c r="F574" t="b">
        <f>$C$574*$E$574&gt;0</f>
        <v>0</v>
      </c>
    </row>
    <row r="575" spans="1:6" x14ac:dyDescent="0.45">
      <c r="A575" s="3">
        <v>43202</v>
      </c>
      <c r="B575">
        <v>5309.22</v>
      </c>
      <c r="C575">
        <v>5.9265546785300938E-3</v>
      </c>
      <c r="D575">
        <v>0.50363342558815538</v>
      </c>
      <c r="E575">
        <v>1</v>
      </c>
      <c r="F575" t="b">
        <f>$C$575*$E$575&gt;0</f>
        <v>1</v>
      </c>
    </row>
    <row r="576" spans="1:6" x14ac:dyDescent="0.45">
      <c r="A576" s="3">
        <v>43203</v>
      </c>
      <c r="B576">
        <v>5315.02</v>
      </c>
      <c r="C576">
        <v>1.0924391906910191E-3</v>
      </c>
      <c r="D576">
        <v>0.65352856785937108</v>
      </c>
      <c r="E576">
        <v>1</v>
      </c>
      <c r="F576" t="b">
        <f>$C$576*$E$576&gt;0</f>
        <v>1</v>
      </c>
    </row>
    <row r="577" spans="1:6" x14ac:dyDescent="0.45">
      <c r="A577" s="3">
        <v>43206</v>
      </c>
      <c r="B577">
        <v>5312.96</v>
      </c>
      <c r="C577">
        <v>-3.8758085576351409E-4</v>
      </c>
      <c r="D577">
        <v>0.73626630865878628</v>
      </c>
      <c r="E577">
        <v>1</v>
      </c>
      <c r="F577" t="b">
        <f>$C$577*$E$577&gt;0</f>
        <v>0</v>
      </c>
    </row>
    <row r="578" spans="1:6" x14ac:dyDescent="0.45">
      <c r="A578" s="3">
        <v>43207</v>
      </c>
      <c r="B578">
        <v>5353.54</v>
      </c>
      <c r="C578">
        <v>7.6379268806840983E-3</v>
      </c>
      <c r="D578">
        <v>0.57742174477835784</v>
      </c>
      <c r="E578">
        <v>1</v>
      </c>
      <c r="F578" t="b">
        <f>$C$578*$E$578&gt;0</f>
        <v>1</v>
      </c>
    </row>
    <row r="579" spans="1:6" x14ac:dyDescent="0.45">
      <c r="A579" s="3">
        <v>43208</v>
      </c>
      <c r="B579">
        <v>5380.17</v>
      </c>
      <c r="C579">
        <v>4.9742787015694123E-3</v>
      </c>
      <c r="D579">
        <v>0.69582357647399651</v>
      </c>
      <c r="E579">
        <v>1</v>
      </c>
      <c r="F579" t="b">
        <f>$C$579*$E$579&gt;0</f>
        <v>1</v>
      </c>
    </row>
    <row r="580" spans="1:6" x14ac:dyDescent="0.45">
      <c r="A580" s="3">
        <v>43209</v>
      </c>
      <c r="B580">
        <v>5391.64</v>
      </c>
      <c r="C580">
        <v>2.1319028952617725E-3</v>
      </c>
      <c r="D580">
        <v>0.75937514651907267</v>
      </c>
      <c r="E580">
        <v>1</v>
      </c>
      <c r="F580" t="b">
        <f>$C$580*$E$580&gt;0</f>
        <v>1</v>
      </c>
    </row>
    <row r="581" spans="1:6" x14ac:dyDescent="0.45">
      <c r="A581" s="3">
        <v>43210</v>
      </c>
      <c r="B581">
        <v>5412.83</v>
      </c>
      <c r="C581">
        <v>3.9301585417423901E-3</v>
      </c>
      <c r="D581">
        <v>0.79722323334985046</v>
      </c>
      <c r="E581">
        <v>1</v>
      </c>
      <c r="F581" t="b">
        <f>$C$581*$E$581&gt;0</f>
        <v>1</v>
      </c>
    </row>
    <row r="582" spans="1:6" x14ac:dyDescent="0.45">
      <c r="A582" s="3">
        <v>43213</v>
      </c>
      <c r="B582">
        <v>5438.55</v>
      </c>
      <c r="C582">
        <v>4.7516733390851051E-3</v>
      </c>
      <c r="D582">
        <v>0.82242928634012757</v>
      </c>
      <c r="E582">
        <v>1</v>
      </c>
      <c r="F582" t="b">
        <f>$C$582*$E$582&gt;0</f>
        <v>1</v>
      </c>
    </row>
    <row r="583" spans="1:6" x14ac:dyDescent="0.45">
      <c r="A583" s="3">
        <v>43214</v>
      </c>
      <c r="B583">
        <v>5444.16</v>
      </c>
      <c r="C583">
        <v>1.0315249469068366E-3</v>
      </c>
      <c r="D583">
        <v>0.84057770186871772</v>
      </c>
      <c r="E583">
        <v>1</v>
      </c>
      <c r="F583" t="b">
        <f>$C$583*$E$583&gt;0</f>
        <v>1</v>
      </c>
    </row>
    <row r="584" spans="1:6" x14ac:dyDescent="0.45">
      <c r="A584" s="3">
        <v>43215</v>
      </c>
      <c r="B584">
        <v>5413.3</v>
      </c>
      <c r="C584">
        <v>-5.6684594133896704E-3</v>
      </c>
      <c r="D584">
        <v>0.8543753078799261</v>
      </c>
      <c r="E584">
        <v>1</v>
      </c>
      <c r="F584" t="b">
        <f>$C$584*$E$584&gt;0</f>
        <v>0</v>
      </c>
    </row>
    <row r="585" spans="1:6" x14ac:dyDescent="0.45">
      <c r="A585" s="3">
        <v>43216</v>
      </c>
      <c r="B585">
        <v>5453.58</v>
      </c>
      <c r="C585">
        <v>7.4409325180573305E-3</v>
      </c>
      <c r="D585">
        <v>0.77519795286676363</v>
      </c>
      <c r="E585">
        <v>1</v>
      </c>
      <c r="F585" t="b">
        <f>$C$585*$E$585&gt;0</f>
        <v>1</v>
      </c>
    </row>
    <row r="586" spans="1:6" x14ac:dyDescent="0.45">
      <c r="A586" s="3">
        <v>43217</v>
      </c>
      <c r="B586">
        <v>5483.19</v>
      </c>
      <c r="C586">
        <v>5.4294610145995126E-3</v>
      </c>
      <c r="D586">
        <v>0.80747981042814543</v>
      </c>
      <c r="E586">
        <v>1</v>
      </c>
      <c r="F586" t="b">
        <f>$C$586*$E$586&gt;0</f>
        <v>1</v>
      </c>
    </row>
    <row r="587" spans="1:6" x14ac:dyDescent="0.45">
      <c r="A587" s="3">
        <v>43220</v>
      </c>
      <c r="B587">
        <v>5520.5</v>
      </c>
      <c r="C587">
        <v>6.8044331857914919E-3</v>
      </c>
      <c r="D587">
        <v>0.82967504509209866</v>
      </c>
      <c r="E587">
        <v>1</v>
      </c>
      <c r="F587" t="b">
        <f>$C$587*$E$587&gt;0</f>
        <v>1</v>
      </c>
    </row>
    <row r="588" spans="1:6" x14ac:dyDescent="0.45">
      <c r="A588" s="3">
        <v>43222</v>
      </c>
      <c r="B588">
        <v>5529.22</v>
      </c>
      <c r="C588">
        <v>1.5795670682003937E-3</v>
      </c>
      <c r="D588">
        <v>0.84601125052926207</v>
      </c>
      <c r="E588">
        <v>1</v>
      </c>
      <c r="F588" t="b">
        <f>$C$588*$E$588&gt;0</f>
        <v>1</v>
      </c>
    </row>
    <row r="589" spans="1:6" x14ac:dyDescent="0.45">
      <c r="A589" s="3">
        <v>43223</v>
      </c>
      <c r="B589">
        <v>5501.66</v>
      </c>
      <c r="C589">
        <v>-4.9844281833604231E-3</v>
      </c>
      <c r="D589">
        <v>0.85862869743362424</v>
      </c>
      <c r="E589">
        <v>1</v>
      </c>
      <c r="F589" t="b">
        <f>$C$589*$E$589&gt;0</f>
        <v>0</v>
      </c>
    </row>
    <row r="590" spans="1:6" x14ac:dyDescent="0.45">
      <c r="A590" s="3">
        <v>43224</v>
      </c>
      <c r="B590">
        <v>5516.05</v>
      </c>
      <c r="C590">
        <v>2.6155742085116618E-3</v>
      </c>
      <c r="D590">
        <v>0.78293828932791099</v>
      </c>
      <c r="E590">
        <v>1</v>
      </c>
      <c r="F590" t="b">
        <f>$C$590*$E$590&gt;0</f>
        <v>1</v>
      </c>
    </row>
    <row r="591" spans="1:6" x14ac:dyDescent="0.45">
      <c r="A591" s="3">
        <v>43227</v>
      </c>
      <c r="B591">
        <v>5531.42</v>
      </c>
      <c r="C591">
        <v>2.7864141913143126E-3</v>
      </c>
      <c r="D591">
        <v>0.8126407349315431</v>
      </c>
      <c r="E591">
        <v>1</v>
      </c>
      <c r="F591" t="b">
        <f>$C$591*$E$591&gt;0</f>
        <v>1</v>
      </c>
    </row>
    <row r="592" spans="1:6" x14ac:dyDescent="0.45">
      <c r="A592" s="3">
        <v>43228</v>
      </c>
      <c r="B592">
        <v>5521.93</v>
      </c>
      <c r="C592">
        <v>-1.7156534850002458E-3</v>
      </c>
      <c r="D592">
        <v>0.8333922259305806</v>
      </c>
      <c r="E592">
        <v>1</v>
      </c>
      <c r="F592" t="b">
        <f>$C$592*$E$592&gt;0</f>
        <v>0</v>
      </c>
    </row>
    <row r="593" spans="1:6" x14ac:dyDescent="0.45">
      <c r="A593" s="3">
        <v>43229</v>
      </c>
      <c r="B593">
        <v>5534.63</v>
      </c>
      <c r="C593">
        <v>2.2999204988110034E-3</v>
      </c>
      <c r="D593">
        <v>0.73719068614962913</v>
      </c>
      <c r="E593">
        <v>1</v>
      </c>
      <c r="F593" t="b">
        <f>$C$593*$E$593&gt;0</f>
        <v>1</v>
      </c>
    </row>
    <row r="594" spans="1:6" x14ac:dyDescent="0.45">
      <c r="A594" s="3">
        <v>43230</v>
      </c>
      <c r="B594">
        <v>5545.95</v>
      </c>
      <c r="C594">
        <v>2.0453038414491864E-3</v>
      </c>
      <c r="D594">
        <v>0.7834522158665006</v>
      </c>
      <c r="E594">
        <v>1</v>
      </c>
      <c r="F594" t="b">
        <f>$C$594*$E$594&gt;0</f>
        <v>1</v>
      </c>
    </row>
    <row r="595" spans="1:6" x14ac:dyDescent="0.45">
      <c r="A595" s="3">
        <v>43231</v>
      </c>
      <c r="B595">
        <v>5541.94</v>
      </c>
      <c r="C595">
        <v>-7.230501537157652E-4</v>
      </c>
      <c r="D595">
        <v>0.81298657476112612</v>
      </c>
      <c r="E595">
        <v>1</v>
      </c>
      <c r="F595" t="b">
        <f>$C$595*$E$595&gt;0</f>
        <v>0</v>
      </c>
    </row>
    <row r="596" spans="1:6" x14ac:dyDescent="0.45">
      <c r="A596" s="3">
        <v>43234</v>
      </c>
      <c r="B596">
        <v>5540.68</v>
      </c>
      <c r="C596">
        <v>-2.2735720704292195E-4</v>
      </c>
      <c r="D596">
        <v>0.70092695041029041</v>
      </c>
      <c r="E596">
        <v>1</v>
      </c>
      <c r="F596" t="b">
        <f>$C$596*$E$596&gt;0</f>
        <v>0</v>
      </c>
    </row>
    <row r="597" spans="1:6" x14ac:dyDescent="0.45">
      <c r="A597" s="3">
        <v>43235</v>
      </c>
      <c r="B597">
        <v>5553.16</v>
      </c>
      <c r="C597">
        <v>2.2524311095388772E-3</v>
      </c>
      <c r="D597">
        <v>0.52934732888178093</v>
      </c>
      <c r="E597">
        <v>1</v>
      </c>
      <c r="F597" t="b">
        <f>$C$597*$E$597&gt;0</f>
        <v>1</v>
      </c>
    </row>
    <row r="598" spans="1:6" x14ac:dyDescent="0.45">
      <c r="A598" s="3">
        <v>43236</v>
      </c>
      <c r="B598">
        <v>5567.54</v>
      </c>
      <c r="C598">
        <v>2.5895165995577507E-3</v>
      </c>
      <c r="D598">
        <v>0.66895530948769411</v>
      </c>
      <c r="E598">
        <v>1</v>
      </c>
      <c r="F598" t="b">
        <f>$C$598*$E$598&gt;0</f>
        <v>1</v>
      </c>
    </row>
    <row r="599" spans="1:6" x14ac:dyDescent="0.45">
      <c r="A599" s="3">
        <v>43237</v>
      </c>
      <c r="B599">
        <v>5621.92</v>
      </c>
      <c r="C599">
        <v>9.7673299159053428E-3</v>
      </c>
      <c r="D599">
        <v>0.74456761866003307</v>
      </c>
      <c r="E599">
        <v>1</v>
      </c>
      <c r="F599" t="b">
        <f>$C$599*$E$599&gt;0</f>
        <v>1</v>
      </c>
    </row>
    <row r="600" spans="1:6" x14ac:dyDescent="0.45">
      <c r="A600" s="3">
        <v>43238</v>
      </c>
      <c r="B600">
        <v>5614.51</v>
      </c>
      <c r="C600">
        <v>-1.3180550416939107E-3</v>
      </c>
      <c r="D600">
        <v>0.78795738468716414</v>
      </c>
      <c r="E600">
        <v>1</v>
      </c>
      <c r="F600" t="b">
        <f>$C$600*$E$600&gt;0</f>
        <v>0</v>
      </c>
    </row>
    <row r="601" spans="1:6" x14ac:dyDescent="0.45">
      <c r="A601" s="3">
        <v>43241</v>
      </c>
      <c r="B601">
        <v>5637.51</v>
      </c>
      <c r="C601">
        <v>4.0965284592957563E-3</v>
      </c>
      <c r="D601">
        <v>0.65806088798724449</v>
      </c>
      <c r="E601">
        <v>1</v>
      </c>
      <c r="F601" t="b">
        <f>$C$601*$E$601&gt;0</f>
        <v>1</v>
      </c>
    </row>
    <row r="602" spans="1:6" x14ac:dyDescent="0.45">
      <c r="A602" s="3">
        <v>43242</v>
      </c>
      <c r="B602">
        <v>5640.1</v>
      </c>
      <c r="C602">
        <v>4.5942268838539135E-4</v>
      </c>
      <c r="D602">
        <v>0.73869357373436428</v>
      </c>
      <c r="E602">
        <v>1</v>
      </c>
      <c r="F602" t="b">
        <f>$C$602*$E$602&gt;0</f>
        <v>1</v>
      </c>
    </row>
    <row r="603" spans="1:6" x14ac:dyDescent="0.45">
      <c r="A603" s="3">
        <v>43243</v>
      </c>
      <c r="B603">
        <v>5565.85</v>
      </c>
      <c r="C603">
        <v>-1.3164660201060219E-2</v>
      </c>
      <c r="D603">
        <v>0.78436543007849979</v>
      </c>
      <c r="E603">
        <v>1</v>
      </c>
      <c r="F603" t="b">
        <f>$C$603*$E$603&gt;0</f>
        <v>0</v>
      </c>
    </row>
    <row r="604" spans="1:6" x14ac:dyDescent="0.45">
      <c r="A604" s="3">
        <v>43244</v>
      </c>
      <c r="B604">
        <v>5548.45</v>
      </c>
      <c r="C604">
        <v>-3.1262071381730205E-3</v>
      </c>
      <c r="D604">
        <v>0.6520910045578171</v>
      </c>
      <c r="E604">
        <v>1</v>
      </c>
      <c r="F604" t="b">
        <f>$C$604*$E$604&gt;0</f>
        <v>0</v>
      </c>
    </row>
    <row r="605" spans="1:6" x14ac:dyDescent="0.45">
      <c r="A605" s="3">
        <v>43245</v>
      </c>
      <c r="B605">
        <v>5542.55</v>
      </c>
      <c r="C605">
        <v>-1.0633600374878593E-3</v>
      </c>
      <c r="D605">
        <v>0.47228306444350021</v>
      </c>
      <c r="E605">
        <v>-1</v>
      </c>
      <c r="F605" t="b">
        <f>$C$605*$E$605&gt;0</f>
        <v>1</v>
      </c>
    </row>
    <row r="606" spans="1:6" x14ac:dyDescent="0.45">
      <c r="A606" s="3">
        <v>43248</v>
      </c>
      <c r="B606">
        <v>5508.93</v>
      </c>
      <c r="C606">
        <v>-6.0658000378887023E-3</v>
      </c>
      <c r="D606">
        <v>0.3320011031253573</v>
      </c>
      <c r="E606">
        <v>-1</v>
      </c>
      <c r="F606" t="b">
        <f>$C$606*$E$606&gt;0</f>
        <v>1</v>
      </c>
    </row>
    <row r="607" spans="1:6" x14ac:dyDescent="0.45">
      <c r="A607" s="3">
        <v>43249</v>
      </c>
      <c r="B607">
        <v>5438.06</v>
      </c>
      <c r="C607">
        <v>-1.286456716640072E-2</v>
      </c>
      <c r="D607">
        <v>0.25595748773705129</v>
      </c>
      <c r="E607">
        <v>-1</v>
      </c>
      <c r="F607" t="b">
        <f>$C$607*$E$607&gt;0</f>
        <v>1</v>
      </c>
    </row>
    <row r="608" spans="1:6" x14ac:dyDescent="0.45">
      <c r="A608" s="3">
        <v>43250</v>
      </c>
      <c r="B608">
        <v>5427.35</v>
      </c>
      <c r="C608">
        <v>-1.9694523414600651E-3</v>
      </c>
      <c r="D608">
        <v>0.21237164506813572</v>
      </c>
      <c r="E608">
        <v>-1</v>
      </c>
      <c r="F608" t="b">
        <f>$C$608*$E$608&gt;0</f>
        <v>1</v>
      </c>
    </row>
    <row r="609" spans="1:6" x14ac:dyDescent="0.45">
      <c r="A609" s="3">
        <v>43251</v>
      </c>
      <c r="B609">
        <v>5398.4</v>
      </c>
      <c r="C609">
        <v>-5.3340949081965849E-3</v>
      </c>
      <c r="D609">
        <v>0.18418846656780502</v>
      </c>
      <c r="E609">
        <v>-1</v>
      </c>
      <c r="F609" t="b">
        <f>$C$609*$E$609&gt;0</f>
        <v>1</v>
      </c>
    </row>
    <row r="610" spans="1:6" x14ac:dyDescent="0.45">
      <c r="A610" s="3">
        <v>43252</v>
      </c>
      <c r="B610">
        <v>5465.53</v>
      </c>
      <c r="C610">
        <v>1.2435165975103857E-2</v>
      </c>
      <c r="D610">
        <v>0.16430349931846558</v>
      </c>
      <c r="E610">
        <v>-1</v>
      </c>
      <c r="F610" t="b">
        <f>$C$610*$E$610&gt;0</f>
        <v>0</v>
      </c>
    </row>
    <row r="611" spans="1:6" x14ac:dyDescent="0.45">
      <c r="A611" s="3">
        <v>43255</v>
      </c>
      <c r="B611">
        <v>5472.91</v>
      </c>
      <c r="C611">
        <v>1.3502807595970889E-3</v>
      </c>
      <c r="D611">
        <v>0.25863675902673117</v>
      </c>
      <c r="E611">
        <v>-1</v>
      </c>
      <c r="F611" t="b">
        <f>$C$611*$E$611&gt;0</f>
        <v>0</v>
      </c>
    </row>
    <row r="612" spans="1:6" x14ac:dyDescent="0.45">
      <c r="A612" s="3">
        <v>43256</v>
      </c>
      <c r="B612">
        <v>5460.95</v>
      </c>
      <c r="C612">
        <v>-2.1853090951614584E-3</v>
      </c>
      <c r="D612">
        <v>0.41515086205167911</v>
      </c>
      <c r="E612">
        <v>-1</v>
      </c>
      <c r="F612" t="b">
        <f>$C$612*$E$612&gt;0</f>
        <v>1</v>
      </c>
    </row>
    <row r="613" spans="1:6" x14ac:dyDescent="0.45">
      <c r="A613" s="3">
        <v>43257</v>
      </c>
      <c r="B613">
        <v>5457.56</v>
      </c>
      <c r="C613">
        <v>-6.2077111125347084E-4</v>
      </c>
      <c r="D613">
        <v>0.30018819149899062</v>
      </c>
      <c r="E613">
        <v>-1</v>
      </c>
      <c r="F613" t="b">
        <f>$C$613*$E$613&gt;0</f>
        <v>1</v>
      </c>
    </row>
    <row r="614" spans="1:6" x14ac:dyDescent="0.45">
      <c r="A614" s="3">
        <v>43258</v>
      </c>
      <c r="B614">
        <v>5448.36</v>
      </c>
      <c r="C614">
        <v>-1.6857350171139984E-3</v>
      </c>
      <c r="D614">
        <v>0.2383873574486661</v>
      </c>
      <c r="E614">
        <v>-1</v>
      </c>
      <c r="F614" t="b">
        <f>$C$614*$E$614&gt;0</f>
        <v>1</v>
      </c>
    </row>
    <row r="615" spans="1:6" x14ac:dyDescent="0.45">
      <c r="A615" s="3">
        <v>43259</v>
      </c>
      <c r="B615">
        <v>5450.22</v>
      </c>
      <c r="C615">
        <v>3.4138713300890799E-4</v>
      </c>
      <c r="D615">
        <v>0.20135567686583233</v>
      </c>
      <c r="E615">
        <v>-1</v>
      </c>
      <c r="F615" t="b">
        <f>$C$615*$E$615&gt;0</f>
        <v>0</v>
      </c>
    </row>
    <row r="616" spans="1:6" x14ac:dyDescent="0.45">
      <c r="A616" s="3">
        <v>43262</v>
      </c>
      <c r="B616">
        <v>5473.91</v>
      </c>
      <c r="C616">
        <v>4.346613531196919E-3</v>
      </c>
      <c r="D616">
        <v>0.32387821989718851</v>
      </c>
      <c r="E616">
        <v>-1</v>
      </c>
      <c r="F616" t="b">
        <f>$C$616*$E$616&gt;0</f>
        <v>0</v>
      </c>
    </row>
    <row r="617" spans="1:6" x14ac:dyDescent="0.45">
      <c r="A617" s="3">
        <v>43263</v>
      </c>
      <c r="B617">
        <v>5453.37</v>
      </c>
      <c r="C617">
        <v>-3.7523452157598447E-3</v>
      </c>
      <c r="D617">
        <v>0.50096900695994906</v>
      </c>
      <c r="E617">
        <v>1</v>
      </c>
      <c r="F617" t="b">
        <f>$C$617*$E$617&gt;0</f>
        <v>0</v>
      </c>
    </row>
    <row r="618" spans="1:6" x14ac:dyDescent="0.45">
      <c r="A618" s="3">
        <v>43264</v>
      </c>
      <c r="B618">
        <v>5452.73</v>
      </c>
      <c r="C618">
        <v>-1.1735862411688114E-4</v>
      </c>
      <c r="D618">
        <v>0.3493323734408233</v>
      </c>
      <c r="E618">
        <v>-1</v>
      </c>
      <c r="F618" t="b">
        <f>$C$618*$E$618&gt;0</f>
        <v>1</v>
      </c>
    </row>
    <row r="619" spans="1:6" x14ac:dyDescent="0.45">
      <c r="A619" s="3">
        <v>43265</v>
      </c>
      <c r="B619">
        <v>5528.46</v>
      </c>
      <c r="C619">
        <v>1.3888455874397021E-2</v>
      </c>
      <c r="D619">
        <v>0.26526442541258727</v>
      </c>
      <c r="E619">
        <v>-1</v>
      </c>
      <c r="F619" t="b">
        <f>$C$619*$E$619&gt;0</f>
        <v>0</v>
      </c>
    </row>
    <row r="620" spans="1:6" x14ac:dyDescent="0.45">
      <c r="A620" s="3">
        <v>43266</v>
      </c>
      <c r="B620">
        <v>5501.88</v>
      </c>
      <c r="C620">
        <v>-4.8078488403642261E-3</v>
      </c>
      <c r="D620">
        <v>0.42479077982677849</v>
      </c>
      <c r="E620">
        <v>-1</v>
      </c>
      <c r="F620" t="b">
        <f>$C$620*$E$620&gt;0</f>
        <v>1</v>
      </c>
    </row>
    <row r="621" spans="1:6" x14ac:dyDescent="0.45">
      <c r="A621" s="3">
        <v>43269</v>
      </c>
      <c r="B621">
        <v>5450.48</v>
      </c>
      <c r="C621">
        <v>-9.3422611907203468E-3</v>
      </c>
      <c r="D621">
        <v>0.30537258234503761</v>
      </c>
      <c r="E621">
        <v>-1</v>
      </c>
      <c r="F621" t="b">
        <f>$C$621*$E$621&gt;0</f>
        <v>1</v>
      </c>
    </row>
    <row r="622" spans="1:6" x14ac:dyDescent="0.45">
      <c r="A622" s="3">
        <v>43270</v>
      </c>
      <c r="B622">
        <v>5390.63</v>
      </c>
      <c r="C622">
        <v>-1.09806842700092E-2</v>
      </c>
      <c r="D622">
        <v>0.24129902074841367</v>
      </c>
      <c r="E622">
        <v>-1</v>
      </c>
      <c r="F622" t="b">
        <f>$C$622*$E$622&gt;0</f>
        <v>1</v>
      </c>
    </row>
    <row r="623" spans="1:6" x14ac:dyDescent="0.45">
      <c r="A623" s="3">
        <v>43271</v>
      </c>
      <c r="B623">
        <v>5372.31</v>
      </c>
      <c r="C623">
        <v>-3.3984896014008781E-3</v>
      </c>
      <c r="D623">
        <v>0.20320909502788392</v>
      </c>
      <c r="E623">
        <v>-1</v>
      </c>
      <c r="F623" t="b">
        <f>$C$623*$E$623&gt;0</f>
        <v>1</v>
      </c>
    </row>
    <row r="624" spans="1:6" x14ac:dyDescent="0.45">
      <c r="A624" s="3">
        <v>43272</v>
      </c>
      <c r="B624">
        <v>5316.01</v>
      </c>
      <c r="C624">
        <v>-1.0479663310568488E-2</v>
      </c>
      <c r="D624">
        <v>0.17787537157388233</v>
      </c>
      <c r="E624">
        <v>-1</v>
      </c>
      <c r="F624" t="b">
        <f>$C$624*$E$624&gt;0</f>
        <v>1</v>
      </c>
    </row>
    <row r="625" spans="1:6" x14ac:dyDescent="0.45">
      <c r="A625" s="3">
        <v>43273</v>
      </c>
      <c r="B625">
        <v>5387.38</v>
      </c>
      <c r="C625">
        <v>1.3425482645818887E-2</v>
      </c>
      <c r="D625">
        <v>0.15965141755750503</v>
      </c>
      <c r="E625">
        <v>-1</v>
      </c>
      <c r="F625" t="b">
        <f>$C$625*$E$625&gt;0</f>
        <v>0</v>
      </c>
    </row>
    <row r="626" spans="1:6" x14ac:dyDescent="0.45">
      <c r="A626" s="3">
        <v>43276</v>
      </c>
      <c r="B626">
        <v>5283.86</v>
      </c>
      <c r="C626">
        <v>-1.9215277184828294E-2</v>
      </c>
      <c r="D626">
        <v>0.25024437117986165</v>
      </c>
      <c r="E626">
        <v>-1</v>
      </c>
      <c r="F626" t="b">
        <f>$C$626*$E$626&gt;0</f>
        <v>1</v>
      </c>
    </row>
    <row r="627" spans="1:6" x14ac:dyDescent="0.45">
      <c r="A627" s="3">
        <v>43277</v>
      </c>
      <c r="B627">
        <v>5281.29</v>
      </c>
      <c r="C627">
        <v>-4.8638684598001358E-4</v>
      </c>
      <c r="D627">
        <v>0.20883494045126463</v>
      </c>
      <c r="E627">
        <v>-1</v>
      </c>
      <c r="F627" t="b">
        <f>$C$627*$E$627&gt;0</f>
        <v>1</v>
      </c>
    </row>
    <row r="628" spans="1:6" x14ac:dyDescent="0.45">
      <c r="A628" s="3">
        <v>43278</v>
      </c>
      <c r="B628">
        <v>5327.2</v>
      </c>
      <c r="C628">
        <v>8.6929519113700948E-3</v>
      </c>
      <c r="D628">
        <v>0.18176786068067474</v>
      </c>
      <c r="E628">
        <v>-1</v>
      </c>
      <c r="F628" t="b">
        <f>$C$628*$E$628&gt;0</f>
        <v>0</v>
      </c>
    </row>
    <row r="629" spans="1:6" x14ac:dyDescent="0.45">
      <c r="A629" s="3">
        <v>43279</v>
      </c>
      <c r="B629">
        <v>5275.64</v>
      </c>
      <c r="C629">
        <v>-9.6786304249886213E-3</v>
      </c>
      <c r="D629">
        <v>0.28983253814325871</v>
      </c>
      <c r="E629">
        <v>-1</v>
      </c>
      <c r="F629" t="b">
        <f>$C$629*$E$629&gt;0</f>
        <v>1</v>
      </c>
    </row>
    <row r="630" spans="1:6" x14ac:dyDescent="0.45">
      <c r="A630" s="3">
        <v>43280</v>
      </c>
      <c r="B630">
        <v>5323.53</v>
      </c>
      <c r="C630">
        <v>9.077571631119552E-3</v>
      </c>
      <c r="D630">
        <v>0.23248484791820059</v>
      </c>
      <c r="E630">
        <v>-1</v>
      </c>
      <c r="F630" t="b">
        <f>$C$630*$E$630&gt;0</f>
        <v>0</v>
      </c>
    </row>
    <row r="631" spans="1:6" x14ac:dyDescent="0.45">
      <c r="A631" s="3">
        <v>43283</v>
      </c>
      <c r="B631">
        <v>5276.76</v>
      </c>
      <c r="C631">
        <v>-8.7855238911022093E-3</v>
      </c>
      <c r="D631">
        <v>0.37521711789455342</v>
      </c>
      <c r="E631">
        <v>-1</v>
      </c>
      <c r="F631" t="b">
        <f>$C$631*$E$631&gt;0</f>
        <v>1</v>
      </c>
    </row>
    <row r="632" spans="1:6" x14ac:dyDescent="0.45">
      <c r="A632" s="3">
        <v>43284</v>
      </c>
      <c r="B632">
        <v>5316.77</v>
      </c>
      <c r="C632">
        <v>7.5823042927858353E-3</v>
      </c>
      <c r="D632">
        <v>0.27898917446901111</v>
      </c>
      <c r="E632">
        <v>-1</v>
      </c>
      <c r="F632" t="b">
        <f>$C$632*$E$632&gt;0</f>
        <v>0</v>
      </c>
    </row>
    <row r="633" spans="1:6" x14ac:dyDescent="0.45">
      <c r="A633" s="3">
        <v>43285</v>
      </c>
      <c r="B633">
        <v>5320.5</v>
      </c>
      <c r="C633">
        <v>7.0155376290492732E-4</v>
      </c>
      <c r="D633">
        <v>0.44407086991092565</v>
      </c>
      <c r="E633">
        <v>-1</v>
      </c>
      <c r="F633" t="b">
        <f>$C$633*$E$633&gt;0</f>
        <v>0</v>
      </c>
    </row>
    <row r="634" spans="1:6" x14ac:dyDescent="0.45">
      <c r="A634" s="3">
        <v>43286</v>
      </c>
      <c r="B634">
        <v>5366.32</v>
      </c>
      <c r="C634">
        <v>8.6119725589699492E-3</v>
      </c>
      <c r="D634">
        <v>0.61331148933378199</v>
      </c>
      <c r="E634">
        <v>1</v>
      </c>
      <c r="F634" t="b">
        <f>$C$634*$E$634&gt;0</f>
        <v>1</v>
      </c>
    </row>
    <row r="635" spans="1:6" x14ac:dyDescent="0.45">
      <c r="A635" s="3">
        <v>43287</v>
      </c>
      <c r="B635">
        <v>5375.77</v>
      </c>
      <c r="C635">
        <v>1.7609833181773116E-3</v>
      </c>
      <c r="D635">
        <v>0.7149650910373837</v>
      </c>
      <c r="E635">
        <v>1</v>
      </c>
      <c r="F635" t="b">
        <f>$C$635*$E$635&gt;0</f>
        <v>1</v>
      </c>
    </row>
    <row r="636" spans="1:6" x14ac:dyDescent="0.45">
      <c r="A636" s="3">
        <v>43290</v>
      </c>
      <c r="B636">
        <v>5398.11</v>
      </c>
      <c r="C636">
        <v>4.1556837439100658E-3</v>
      </c>
      <c r="D636">
        <v>0.77029482584016273</v>
      </c>
      <c r="E636">
        <v>1</v>
      </c>
      <c r="F636" t="b">
        <f>$C$636*$E$636&gt;0</f>
        <v>1</v>
      </c>
    </row>
    <row r="637" spans="1:6" x14ac:dyDescent="0.45">
      <c r="A637" s="3">
        <v>43291</v>
      </c>
      <c r="B637">
        <v>5434.36</v>
      </c>
      <c r="C637">
        <v>6.715313322625871E-3</v>
      </c>
      <c r="D637">
        <v>0.8042630392671174</v>
      </c>
      <c r="E637">
        <v>1</v>
      </c>
      <c r="F637" t="b">
        <f>$C$637*$E$637&gt;0</f>
        <v>1</v>
      </c>
    </row>
    <row r="638" spans="1:6" x14ac:dyDescent="0.45">
      <c r="A638" s="3">
        <v>43292</v>
      </c>
      <c r="B638">
        <v>5353.93</v>
      </c>
      <c r="C638">
        <v>-1.4800270869062659E-2</v>
      </c>
      <c r="D638">
        <v>0.8273839290968974</v>
      </c>
      <c r="E638">
        <v>1</v>
      </c>
      <c r="F638" t="b">
        <f>$C$638*$E$638&gt;0</f>
        <v>0</v>
      </c>
    </row>
    <row r="639" spans="1:6" x14ac:dyDescent="0.45">
      <c r="A639" s="3">
        <v>43293</v>
      </c>
      <c r="B639">
        <v>5405.9</v>
      </c>
      <c r="C639">
        <v>9.7068882110897814E-3</v>
      </c>
      <c r="D639">
        <v>0.72640639214872438</v>
      </c>
      <c r="E639">
        <v>1</v>
      </c>
      <c r="F639" t="b">
        <f>$C$639*$E$639&gt;0</f>
        <v>1</v>
      </c>
    </row>
    <row r="640" spans="1:6" x14ac:dyDescent="0.45">
      <c r="A640" s="3">
        <v>43294</v>
      </c>
      <c r="B640">
        <v>5429.2</v>
      </c>
      <c r="C640">
        <v>4.3101056253354031E-3</v>
      </c>
      <c r="D640">
        <v>0.7769985982048998</v>
      </c>
      <c r="E640">
        <v>1</v>
      </c>
      <c r="F640" t="b">
        <f>$C$640*$E$640&gt;0</f>
        <v>1</v>
      </c>
    </row>
    <row r="641" spans="1:6" x14ac:dyDescent="0.45">
      <c r="A641" s="3">
        <v>43297</v>
      </c>
      <c r="B641">
        <v>5409.43</v>
      </c>
      <c r="C641">
        <v>-3.6414204671036954E-3</v>
      </c>
      <c r="D641">
        <v>0.80867436115580482</v>
      </c>
      <c r="E641">
        <v>1</v>
      </c>
      <c r="F641" t="b">
        <f>$C$641*$E$641&gt;0</f>
        <v>0</v>
      </c>
    </row>
    <row r="642" spans="1:6" x14ac:dyDescent="0.45">
      <c r="A642" s="3">
        <v>43298</v>
      </c>
      <c r="B642">
        <v>5422.54</v>
      </c>
      <c r="C642">
        <v>2.4235455491612434E-3</v>
      </c>
      <c r="D642">
        <v>0.69338125971213083</v>
      </c>
      <c r="E642">
        <v>1</v>
      </c>
      <c r="F642" t="b">
        <f>$C$642*$E$642&gt;0</f>
        <v>1</v>
      </c>
    </row>
    <row r="643" spans="1:6" x14ac:dyDescent="0.45">
      <c r="A643" s="3">
        <v>43299</v>
      </c>
      <c r="B643">
        <v>5447.44</v>
      </c>
      <c r="C643">
        <v>4.591943996724801E-3</v>
      </c>
      <c r="D643">
        <v>0.7580123348722505</v>
      </c>
      <c r="E643">
        <v>1</v>
      </c>
      <c r="F643" t="b">
        <f>$C$643*$E$643&gt;0</f>
        <v>1</v>
      </c>
    </row>
    <row r="644" spans="1:6" x14ac:dyDescent="0.45">
      <c r="A644" s="3">
        <v>43300</v>
      </c>
      <c r="B644">
        <v>5417.07</v>
      </c>
      <c r="C644">
        <v>-5.575095824827736E-3</v>
      </c>
      <c r="D644">
        <v>0.79636009293874155</v>
      </c>
      <c r="E644">
        <v>1</v>
      </c>
      <c r="F644" t="b">
        <f>$C$644*$E$644&gt;0</f>
        <v>0</v>
      </c>
    </row>
    <row r="645" spans="1:6" x14ac:dyDescent="0.45">
      <c r="A645" s="3">
        <v>43301</v>
      </c>
      <c r="B645">
        <v>5398.32</v>
      </c>
      <c r="C645">
        <v>-3.4612807292503378E-3</v>
      </c>
      <c r="D645">
        <v>0.67219773393936211</v>
      </c>
      <c r="E645">
        <v>1</v>
      </c>
      <c r="F645" t="b">
        <f>$C$645*$E$645&gt;0</f>
        <v>0</v>
      </c>
    </row>
    <row r="646" spans="1:6" x14ac:dyDescent="0.45">
      <c r="A646" s="3">
        <v>43304</v>
      </c>
      <c r="B646">
        <v>5378.25</v>
      </c>
      <c r="C646">
        <v>-3.7178233228114532E-3</v>
      </c>
      <c r="D646">
        <v>0.49447334462443465</v>
      </c>
      <c r="E646">
        <v>-1</v>
      </c>
      <c r="F646" t="b">
        <f>$C$646*$E$646&gt;0</f>
        <v>1</v>
      </c>
    </row>
    <row r="647" spans="1:6" x14ac:dyDescent="0.45">
      <c r="A647" s="3">
        <v>43305</v>
      </c>
      <c r="B647">
        <v>5434.19</v>
      </c>
      <c r="C647">
        <v>1.0401152791335466E-2</v>
      </c>
      <c r="D647">
        <v>0.34528409544787281</v>
      </c>
      <c r="E647">
        <v>-1</v>
      </c>
      <c r="F647" t="b">
        <f>$C$647*$E$647&gt;0</f>
        <v>0</v>
      </c>
    </row>
    <row r="648" spans="1:6" x14ac:dyDescent="0.45">
      <c r="A648" s="3">
        <v>43306</v>
      </c>
      <c r="B648">
        <v>5426.41</v>
      </c>
      <c r="C648">
        <v>-1.431676109962976E-3</v>
      </c>
      <c r="D648">
        <v>0.52495378337718723</v>
      </c>
      <c r="E648">
        <v>1</v>
      </c>
      <c r="F648" t="b">
        <f>$C$648*$E$648&gt;0</f>
        <v>0</v>
      </c>
    </row>
    <row r="649" spans="1:6" x14ac:dyDescent="0.45">
      <c r="A649" s="3">
        <v>43307</v>
      </c>
      <c r="B649">
        <v>5480.55</v>
      </c>
      <c r="C649">
        <v>9.9771303679596635E-3</v>
      </c>
      <c r="D649">
        <v>0.36484839943910047</v>
      </c>
      <c r="E649">
        <v>-1</v>
      </c>
      <c r="F649" t="b">
        <f>$C$649*$E$649&gt;0</f>
        <v>0</v>
      </c>
    </row>
    <row r="650" spans="1:6" x14ac:dyDescent="0.45">
      <c r="A650" s="3">
        <v>43308</v>
      </c>
      <c r="B650">
        <v>5511.76</v>
      </c>
      <c r="C650">
        <v>5.6946839277078887E-3</v>
      </c>
      <c r="D650">
        <v>0.54519619066089053</v>
      </c>
      <c r="E650">
        <v>1</v>
      </c>
      <c r="F650" t="b">
        <f>$C$650*$E$650&gt;0</f>
        <v>1</v>
      </c>
    </row>
    <row r="651" spans="1:6" x14ac:dyDescent="0.45">
      <c r="A651" s="3">
        <v>43311</v>
      </c>
      <c r="B651">
        <v>5491.22</v>
      </c>
      <c r="C651">
        <v>-3.7265773546018011E-3</v>
      </c>
      <c r="D651">
        <v>0.67808009391116797</v>
      </c>
      <c r="E651">
        <v>1</v>
      </c>
      <c r="F651" t="b">
        <f>$C$651*$E$651&gt;0</f>
        <v>0</v>
      </c>
    </row>
    <row r="652" spans="1:6" x14ac:dyDescent="0.45">
      <c r="A652" s="3">
        <v>43312</v>
      </c>
      <c r="B652">
        <v>5511.3</v>
      </c>
      <c r="C652">
        <v>3.6567465881898187E-3</v>
      </c>
      <c r="D652">
        <v>0.50128227302487105</v>
      </c>
      <c r="E652">
        <v>1</v>
      </c>
      <c r="F652" t="b">
        <f>$C$652*$E$652&gt;0</f>
        <v>1</v>
      </c>
    </row>
    <row r="653" spans="1:6" x14ac:dyDescent="0.45">
      <c r="A653" s="3">
        <v>43313</v>
      </c>
      <c r="B653">
        <v>5498.37</v>
      </c>
      <c r="C653">
        <v>-2.3460889445321431E-3</v>
      </c>
      <c r="D653">
        <v>0.65211232684321885</v>
      </c>
      <c r="E653">
        <v>1</v>
      </c>
      <c r="F653" t="b">
        <f>$C$653*$E$653&gt;0</f>
        <v>0</v>
      </c>
    </row>
    <row r="654" spans="1:6" x14ac:dyDescent="0.45">
      <c r="A654" s="3">
        <v>43314</v>
      </c>
      <c r="B654">
        <v>5460.98</v>
      </c>
      <c r="C654">
        <v>-6.800197149336995E-3</v>
      </c>
      <c r="D654">
        <v>0.47224683199961037</v>
      </c>
      <c r="E654">
        <v>-1</v>
      </c>
      <c r="F654" t="b">
        <f>$C$654*$E$654&gt;0</f>
        <v>1</v>
      </c>
    </row>
    <row r="655" spans="1:6" x14ac:dyDescent="0.45">
      <c r="A655" s="3">
        <v>43315</v>
      </c>
      <c r="B655">
        <v>5478.98</v>
      </c>
      <c r="C655">
        <v>3.296111686913239E-3</v>
      </c>
      <c r="D655">
        <v>0.33193825678715438</v>
      </c>
      <c r="E655">
        <v>-1</v>
      </c>
      <c r="F655" t="b">
        <f>$C$655*$E$655&gt;0</f>
        <v>0</v>
      </c>
    </row>
    <row r="656" spans="1:6" x14ac:dyDescent="0.45">
      <c r="A656" s="3">
        <v>43318</v>
      </c>
      <c r="B656">
        <v>5477.18</v>
      </c>
      <c r="C656">
        <v>-3.2852830271312694E-4</v>
      </c>
      <c r="D656">
        <v>0.51027224479731126</v>
      </c>
      <c r="E656">
        <v>1</v>
      </c>
      <c r="F656" t="b">
        <f>$C$656*$E$656&gt;0</f>
        <v>0</v>
      </c>
    </row>
    <row r="657" spans="1:6" x14ac:dyDescent="0.45">
      <c r="A657" s="3">
        <v>43319</v>
      </c>
      <c r="B657">
        <v>5521.31</v>
      </c>
      <c r="C657">
        <v>8.0570658623597691E-3</v>
      </c>
      <c r="D657">
        <v>0.35519213174977238</v>
      </c>
      <c r="E657">
        <v>-1</v>
      </c>
      <c r="F657" t="b">
        <f>$C$657*$E$657&gt;0</f>
        <v>0</v>
      </c>
    </row>
    <row r="658" spans="1:6" x14ac:dyDescent="0.45">
      <c r="A658" s="3">
        <v>43320</v>
      </c>
      <c r="B658">
        <v>5501.9</v>
      </c>
      <c r="C658">
        <v>-3.5154700605473099E-3</v>
      </c>
      <c r="D658">
        <v>0.53542240187524059</v>
      </c>
      <c r="E658">
        <v>1</v>
      </c>
      <c r="F658" t="b">
        <f>$C$658*$E$658&gt;0</f>
        <v>0</v>
      </c>
    </row>
    <row r="659" spans="1:6" x14ac:dyDescent="0.45">
      <c r="A659" s="3">
        <v>43321</v>
      </c>
      <c r="B659">
        <v>5502.25</v>
      </c>
      <c r="C659">
        <v>6.3614387757038315E-5</v>
      </c>
      <c r="D659">
        <v>0.37195935865441859</v>
      </c>
      <c r="E659">
        <v>-1</v>
      </c>
      <c r="F659" t="b">
        <f>$C$659*$E$659&gt;0</f>
        <v>0</v>
      </c>
    </row>
    <row r="660" spans="1:6" x14ac:dyDescent="0.45">
      <c r="A660" s="3">
        <v>43322</v>
      </c>
      <c r="B660">
        <v>5414.68</v>
      </c>
      <c r="C660">
        <v>-1.5915307374255949E-2</v>
      </c>
      <c r="D660">
        <v>0.55220581487988707</v>
      </c>
      <c r="E660">
        <v>1</v>
      </c>
      <c r="F660" t="b">
        <f>$C$660*$E$660&gt;0</f>
        <v>0</v>
      </c>
    </row>
    <row r="661" spans="1:6" x14ac:dyDescent="0.45">
      <c r="A661" s="3">
        <v>43325</v>
      </c>
      <c r="B661">
        <v>5412.32</v>
      </c>
      <c r="C661">
        <v>-4.3585216485564349E-4</v>
      </c>
      <c r="D661">
        <v>0.38390906573460376</v>
      </c>
      <c r="E661">
        <v>-1</v>
      </c>
      <c r="F661" t="b">
        <f>$C$661*$E$661&gt;0</f>
        <v>1</v>
      </c>
    </row>
    <row r="662" spans="1:6" x14ac:dyDescent="0.45">
      <c r="A662" s="3">
        <v>43326</v>
      </c>
      <c r="B662">
        <v>5403.41</v>
      </c>
      <c r="C662">
        <v>-1.646244124515861E-3</v>
      </c>
      <c r="D662">
        <v>0.28355211088901044</v>
      </c>
      <c r="E662">
        <v>-1</v>
      </c>
      <c r="F662" t="b">
        <f>$C$662*$E$662&gt;0</f>
        <v>1</v>
      </c>
    </row>
    <row r="663" spans="1:6" x14ac:dyDescent="0.45">
      <c r="A663" s="3">
        <v>43327</v>
      </c>
      <c r="B663">
        <v>5305.22</v>
      </c>
      <c r="C663">
        <v>-1.8171858141432851E-2</v>
      </c>
      <c r="D663">
        <v>0.22883976439935078</v>
      </c>
      <c r="E663">
        <v>-1</v>
      </c>
      <c r="F663" t="b">
        <f>$C$663*$E$663&gt;0</f>
        <v>1</v>
      </c>
    </row>
    <row r="664" spans="1:6" x14ac:dyDescent="0.45">
      <c r="A664" s="3">
        <v>43328</v>
      </c>
      <c r="B664">
        <v>5349.02</v>
      </c>
      <c r="C664">
        <v>8.2560195430161354E-3</v>
      </c>
      <c r="D664">
        <v>0.19517004623251411</v>
      </c>
      <c r="E664">
        <v>-1</v>
      </c>
      <c r="F664" t="b">
        <f>$C$664*$E$664&gt;0</f>
        <v>0</v>
      </c>
    </row>
    <row r="665" spans="1:6" x14ac:dyDescent="0.45">
      <c r="A665" s="3">
        <v>43329</v>
      </c>
      <c r="B665">
        <v>5344.93</v>
      </c>
      <c r="C665">
        <v>-7.6462604364913034E-4</v>
      </c>
      <c r="D665">
        <v>0.31329484929602264</v>
      </c>
      <c r="E665">
        <v>-1</v>
      </c>
      <c r="F665" t="b">
        <f>$C$665*$E$665&gt;0</f>
        <v>1</v>
      </c>
    </row>
    <row r="666" spans="1:6" x14ac:dyDescent="0.45">
      <c r="A666" s="3">
        <v>43332</v>
      </c>
      <c r="B666">
        <v>5379.65</v>
      </c>
      <c r="C666">
        <v>6.4958755306430138E-3</v>
      </c>
      <c r="D666">
        <v>0.24569482556898847</v>
      </c>
      <c r="E666">
        <v>-1</v>
      </c>
      <c r="F666" t="b">
        <f>$C$666*$E$666&gt;0</f>
        <v>0</v>
      </c>
    </row>
    <row r="667" spans="1:6" x14ac:dyDescent="0.45">
      <c r="A667" s="3">
        <v>43333</v>
      </c>
      <c r="B667">
        <v>5408.6</v>
      </c>
      <c r="C667">
        <v>5.3813909826849748E-3</v>
      </c>
      <c r="D667">
        <v>0.3958309190716468</v>
      </c>
      <c r="E667">
        <v>-1</v>
      </c>
      <c r="F667" t="b">
        <f>$C$667*$E$667&gt;0</f>
        <v>0</v>
      </c>
    </row>
    <row r="668" spans="1:6" x14ac:dyDescent="0.45">
      <c r="A668" s="3">
        <v>43334</v>
      </c>
      <c r="B668">
        <v>5420.61</v>
      </c>
      <c r="C668">
        <v>2.2205376622415063E-3</v>
      </c>
      <c r="D668">
        <v>0.57430299104132154</v>
      </c>
      <c r="E668">
        <v>1</v>
      </c>
      <c r="F668" t="b">
        <f>$C$668*$E$668&gt;0</f>
        <v>1</v>
      </c>
    </row>
    <row r="669" spans="1:6" x14ac:dyDescent="0.45">
      <c r="A669" s="3">
        <v>43335</v>
      </c>
      <c r="B669">
        <v>5419.33</v>
      </c>
      <c r="C669">
        <v>-2.3613578545578218E-4</v>
      </c>
      <c r="D669">
        <v>0.69417655851260929</v>
      </c>
      <c r="E669">
        <v>1</v>
      </c>
      <c r="F669" t="b">
        <f>$C$669*$E$669&gt;0</f>
        <v>0</v>
      </c>
    </row>
    <row r="670" spans="1:6" x14ac:dyDescent="0.45">
      <c r="A670" s="3">
        <v>43336</v>
      </c>
      <c r="B670">
        <v>5432.5</v>
      </c>
      <c r="C670">
        <v>2.4301897097980252E-3</v>
      </c>
      <c r="D670">
        <v>0.5207355938049204</v>
      </c>
      <c r="E670">
        <v>1</v>
      </c>
      <c r="F670" t="b">
        <f>$C$670*$E$670&gt;0</f>
        <v>1</v>
      </c>
    </row>
    <row r="671" spans="1:6" x14ac:dyDescent="0.45">
      <c r="A671" s="3">
        <v>43339</v>
      </c>
      <c r="B671">
        <v>5479.1</v>
      </c>
      <c r="C671">
        <v>8.5780027611597198E-3</v>
      </c>
      <c r="D671">
        <v>0.6639506449407977</v>
      </c>
      <c r="E671">
        <v>1</v>
      </c>
      <c r="F671" t="b">
        <f>$C$671*$E$671&gt;0</f>
        <v>1</v>
      </c>
    </row>
    <row r="672" spans="1:6" x14ac:dyDescent="0.45">
      <c r="A672" s="3">
        <v>43340</v>
      </c>
      <c r="B672">
        <v>5484.99</v>
      </c>
      <c r="C672">
        <v>1.0749940683687509E-3</v>
      </c>
      <c r="D672">
        <v>0.74188761280631499</v>
      </c>
      <c r="E672">
        <v>1</v>
      </c>
      <c r="F672" t="b">
        <f>$C$672*$E$672&gt;0</f>
        <v>1</v>
      </c>
    </row>
    <row r="673" spans="1:6" x14ac:dyDescent="0.45">
      <c r="A673" s="3">
        <v>43341</v>
      </c>
      <c r="B673">
        <v>5501.33</v>
      </c>
      <c r="C673">
        <v>2.9790391595974075E-3</v>
      </c>
      <c r="D673">
        <v>0.78632454586713618</v>
      </c>
      <c r="E673">
        <v>1</v>
      </c>
      <c r="F673" t="b">
        <f>$C$673*$E$673&gt;0</f>
        <v>1</v>
      </c>
    </row>
    <row r="674" spans="1:6" x14ac:dyDescent="0.45">
      <c r="A674" s="3">
        <v>43342</v>
      </c>
      <c r="B674">
        <v>5478.06</v>
      </c>
      <c r="C674">
        <v>-4.2298862275121918E-3</v>
      </c>
      <c r="D674">
        <v>0.81493584875844094</v>
      </c>
      <c r="E674">
        <v>1</v>
      </c>
      <c r="F674" t="b">
        <f>$C$674*$E$674&gt;0</f>
        <v>0</v>
      </c>
    </row>
    <row r="675" spans="1:6" x14ac:dyDescent="0.45">
      <c r="A675" s="3">
        <v>43343</v>
      </c>
      <c r="B675">
        <v>5406.85</v>
      </c>
      <c r="C675">
        <v>-1.2999127428323209E-2</v>
      </c>
      <c r="D675">
        <v>0.70431399994004174</v>
      </c>
      <c r="E675">
        <v>1</v>
      </c>
      <c r="F675" t="b">
        <f>$C$675*$E$675&gt;0</f>
        <v>0</v>
      </c>
    </row>
    <row r="676" spans="1:6" x14ac:dyDescent="0.45">
      <c r="A676" s="3">
        <v>43346</v>
      </c>
      <c r="B676">
        <v>5413.8</v>
      </c>
      <c r="C676">
        <v>1.2854064751195438E-3</v>
      </c>
      <c r="D676">
        <v>0.53361183621473962</v>
      </c>
      <c r="E676">
        <v>1</v>
      </c>
      <c r="F676" t="b">
        <f>$C$676*$E$676&gt;0</f>
        <v>1</v>
      </c>
    </row>
    <row r="677" spans="1:6" x14ac:dyDescent="0.45">
      <c r="A677" s="3">
        <v>43347</v>
      </c>
      <c r="B677">
        <v>5342.7</v>
      </c>
      <c r="C677">
        <v>-1.3133104289039244E-2</v>
      </c>
      <c r="D677">
        <v>0.67148756989477032</v>
      </c>
      <c r="E677">
        <v>1</v>
      </c>
      <c r="F677" t="b">
        <f>$C$677*$E$677&gt;0</f>
        <v>0</v>
      </c>
    </row>
    <row r="678" spans="1:6" x14ac:dyDescent="0.45">
      <c r="A678" s="3">
        <v>43348</v>
      </c>
      <c r="B678">
        <v>5260.22</v>
      </c>
      <c r="C678">
        <v>-1.5437887210586365E-2</v>
      </c>
      <c r="D678">
        <v>0.49360204840643646</v>
      </c>
      <c r="E678">
        <v>-1</v>
      </c>
      <c r="F678" t="b">
        <f>$C$678*$E$678&gt;0</f>
        <v>1</v>
      </c>
    </row>
    <row r="679" spans="1:6" x14ac:dyDescent="0.45">
      <c r="A679" s="3">
        <v>43349</v>
      </c>
      <c r="B679">
        <v>5243.84</v>
      </c>
      <c r="C679">
        <v>-3.1139382003034788E-3</v>
      </c>
      <c r="D679">
        <v>0.34470412163058678</v>
      </c>
      <c r="E679">
        <v>-1</v>
      </c>
      <c r="F679" t="b">
        <f>$C$679*$E$679&gt;0</f>
        <v>1</v>
      </c>
    </row>
    <row r="680" spans="1:6" x14ac:dyDescent="0.45">
      <c r="A680" s="3">
        <v>43350</v>
      </c>
      <c r="B680">
        <v>5252.22</v>
      </c>
      <c r="C680">
        <v>1.5980655397571653E-3</v>
      </c>
      <c r="D680">
        <v>0.26276218711626381</v>
      </c>
      <c r="E680">
        <v>-1</v>
      </c>
      <c r="F680" t="b">
        <f>$C$680*$E$680&gt;0</f>
        <v>0</v>
      </c>
    </row>
    <row r="681" spans="1:6" x14ac:dyDescent="0.45">
      <c r="A681" s="3">
        <v>43353</v>
      </c>
      <c r="B681">
        <v>5269.63</v>
      </c>
      <c r="C681">
        <v>3.3147887940718768E-3</v>
      </c>
      <c r="D681">
        <v>0.42124333348848159</v>
      </c>
      <c r="E681">
        <v>-1</v>
      </c>
      <c r="F681" t="b">
        <f>$C$681*$E$681&gt;0</f>
        <v>0</v>
      </c>
    </row>
    <row r="682" spans="1:6" x14ac:dyDescent="0.45">
      <c r="A682" s="3">
        <v>43354</v>
      </c>
      <c r="B682">
        <v>5283.79</v>
      </c>
      <c r="C682">
        <v>2.6870956784441624E-3</v>
      </c>
      <c r="D682">
        <v>0.59573817221467196</v>
      </c>
      <c r="E682">
        <v>1</v>
      </c>
      <c r="F682" t="b">
        <f>$C$682*$E$682&gt;0</f>
        <v>1</v>
      </c>
    </row>
    <row r="683" spans="1:6" x14ac:dyDescent="0.45">
      <c r="A683" s="3">
        <v>43355</v>
      </c>
      <c r="B683">
        <v>5332.13</v>
      </c>
      <c r="C683">
        <v>9.1487360398501139E-3</v>
      </c>
      <c r="D683">
        <v>0.70567914615009897</v>
      </c>
      <c r="E683">
        <v>1</v>
      </c>
      <c r="F683" t="b">
        <f>$C$683*$E$683&gt;0</f>
        <v>1</v>
      </c>
    </row>
    <row r="684" spans="1:6" x14ac:dyDescent="0.45">
      <c r="A684" s="3">
        <v>43356</v>
      </c>
      <c r="B684">
        <v>5328.12</v>
      </c>
      <c r="C684">
        <v>-7.5204468008094327E-4</v>
      </c>
      <c r="D684">
        <v>0.76496822938322251</v>
      </c>
      <c r="E684">
        <v>1</v>
      </c>
      <c r="F684" t="b">
        <f>$C$684*$E$684&gt;0</f>
        <v>0</v>
      </c>
    </row>
    <row r="685" spans="1:6" x14ac:dyDescent="0.45">
      <c r="A685" s="3">
        <v>43357</v>
      </c>
      <c r="B685">
        <v>5352.57</v>
      </c>
      <c r="C685">
        <v>4.588860611247414E-3</v>
      </c>
      <c r="D685">
        <v>0.62069456448144955</v>
      </c>
      <c r="E685">
        <v>1</v>
      </c>
      <c r="F685" t="b">
        <f>$C$685*$E$685&gt;0</f>
        <v>1</v>
      </c>
    </row>
    <row r="686" spans="1:6" x14ac:dyDescent="0.45">
      <c r="A686" s="3">
        <v>43360</v>
      </c>
      <c r="B686">
        <v>5348.87</v>
      </c>
      <c r="C686">
        <v>-6.9125672340575317E-4</v>
      </c>
      <c r="D686">
        <v>0.7188897451439713</v>
      </c>
      <c r="E686">
        <v>1</v>
      </c>
      <c r="F686" t="b">
        <f>$C$686*$E$686&gt;0</f>
        <v>0</v>
      </c>
    </row>
    <row r="687" spans="1:6" x14ac:dyDescent="0.45">
      <c r="A687" s="3">
        <v>43361</v>
      </c>
      <c r="B687">
        <v>5363.79</v>
      </c>
      <c r="C687">
        <v>2.7893742042712777E-3</v>
      </c>
      <c r="D687">
        <v>0.55296118647151704</v>
      </c>
      <c r="E687">
        <v>1</v>
      </c>
      <c r="F687" t="b">
        <f>$C$687*$E$687&gt;0</f>
        <v>1</v>
      </c>
    </row>
    <row r="688" spans="1:6" x14ac:dyDescent="0.45">
      <c r="A688" s="3">
        <v>43362</v>
      </c>
      <c r="B688">
        <v>5393.74</v>
      </c>
      <c r="C688">
        <v>5.583738364104418E-3</v>
      </c>
      <c r="D688">
        <v>0.68246412644759058</v>
      </c>
      <c r="E688">
        <v>1</v>
      </c>
      <c r="F688" t="b">
        <f>$C$688*$E$688&gt;0</f>
        <v>1</v>
      </c>
    </row>
    <row r="689" spans="1:6" x14ac:dyDescent="0.45">
      <c r="A689" s="3">
        <v>43363</v>
      </c>
      <c r="B689">
        <v>5451.59</v>
      </c>
      <c r="C689">
        <v>1.0725396478139526E-2</v>
      </c>
      <c r="D689">
        <v>0.75197160720028844</v>
      </c>
      <c r="E689">
        <v>1</v>
      </c>
      <c r="F689" t="b">
        <f>$C$689*$E$689&gt;0</f>
        <v>1</v>
      </c>
    </row>
    <row r="690" spans="1:6" x14ac:dyDescent="0.45">
      <c r="A690" s="3">
        <v>43364</v>
      </c>
      <c r="B690">
        <v>5494.17</v>
      </c>
      <c r="C690">
        <v>7.8105653579965129E-3</v>
      </c>
      <c r="D690">
        <v>0.79256269015565373</v>
      </c>
      <c r="E690">
        <v>1</v>
      </c>
      <c r="F690" t="b">
        <f>$C$690*$E$690&gt;0</f>
        <v>1</v>
      </c>
    </row>
    <row r="691" spans="1:6" x14ac:dyDescent="0.45">
      <c r="A691" s="3">
        <v>43367</v>
      </c>
      <c r="B691">
        <v>5476.17</v>
      </c>
      <c r="C691">
        <v>-3.2762000447746908E-3</v>
      </c>
      <c r="D691">
        <v>0.81920297065490999</v>
      </c>
      <c r="E691">
        <v>1</v>
      </c>
      <c r="F691" t="b">
        <f>$C$691*$E$691&gt;0</f>
        <v>0</v>
      </c>
    </row>
    <row r="692" spans="1:6" x14ac:dyDescent="0.45">
      <c r="A692" s="3">
        <v>43368</v>
      </c>
      <c r="B692">
        <v>5479.1</v>
      </c>
      <c r="C692">
        <v>5.3504547886573661E-4</v>
      </c>
      <c r="D692">
        <v>0.71183722911460756</v>
      </c>
      <c r="E692">
        <v>1</v>
      </c>
      <c r="F692" t="b">
        <f>$C$692*$E$692&gt;0</f>
        <v>1</v>
      </c>
    </row>
    <row r="693" spans="1:6" x14ac:dyDescent="0.45">
      <c r="A693" s="3">
        <v>43369</v>
      </c>
      <c r="B693">
        <v>5512.73</v>
      </c>
      <c r="C693">
        <v>6.1378693581060073E-3</v>
      </c>
      <c r="D693">
        <v>0.76849828616731508</v>
      </c>
      <c r="E693">
        <v>1</v>
      </c>
      <c r="F693" t="b">
        <f>$C$693*$E$693&gt;0</f>
        <v>1</v>
      </c>
    </row>
    <row r="694" spans="1:6" x14ac:dyDescent="0.45">
      <c r="A694" s="3">
        <v>43370</v>
      </c>
      <c r="B694">
        <v>5540.41</v>
      </c>
      <c r="C694">
        <v>5.0211056953632927E-3</v>
      </c>
      <c r="D694">
        <v>0.80309821494556632</v>
      </c>
      <c r="E694">
        <v>1</v>
      </c>
      <c r="F694" t="b">
        <f>$C$694*$E$694&gt;0</f>
        <v>1</v>
      </c>
    </row>
    <row r="695" spans="1:6" x14ac:dyDescent="0.45">
      <c r="A695" s="3">
        <v>43371</v>
      </c>
      <c r="B695">
        <v>5493.49</v>
      </c>
      <c r="C695">
        <v>-8.4686873354138381E-3</v>
      </c>
      <c r="D695">
        <v>0.82656111135189581</v>
      </c>
      <c r="E695">
        <v>1</v>
      </c>
      <c r="F695" t="b">
        <f>$C$695*$E$695&gt;0</f>
        <v>0</v>
      </c>
    </row>
    <row r="696" spans="1:6" x14ac:dyDescent="0.45">
      <c r="A696" s="3">
        <v>43374</v>
      </c>
      <c r="B696">
        <v>5506.82</v>
      </c>
      <c r="C696">
        <v>2.4265084672949744E-3</v>
      </c>
      <c r="D696">
        <v>0.72492023147525375</v>
      </c>
      <c r="E696">
        <v>1</v>
      </c>
      <c r="F696" t="b">
        <f>$C$696*$E$696&gt;0</f>
        <v>1</v>
      </c>
    </row>
    <row r="697" spans="1:6" x14ac:dyDescent="0.45">
      <c r="A697" s="3">
        <v>43375</v>
      </c>
      <c r="B697">
        <v>5467.89</v>
      </c>
      <c r="C697">
        <v>-7.069415742660845E-3</v>
      </c>
      <c r="D697">
        <v>0.77612959824210348</v>
      </c>
      <c r="E697">
        <v>1</v>
      </c>
      <c r="F697" t="b">
        <f>$C$697*$E$697&gt;0</f>
        <v>0</v>
      </c>
    </row>
    <row r="698" spans="1:6" x14ac:dyDescent="0.45">
      <c r="A698" s="3">
        <v>43376</v>
      </c>
      <c r="B698">
        <v>5491.4</v>
      </c>
      <c r="C698">
        <v>4.299647578864807E-3</v>
      </c>
      <c r="D698">
        <v>0.63853939817048899</v>
      </c>
      <c r="E698">
        <v>1</v>
      </c>
      <c r="F698" t="b">
        <f>$C$698*$E$698&gt;0</f>
        <v>1</v>
      </c>
    </row>
    <row r="699" spans="1:6" x14ac:dyDescent="0.45">
      <c r="A699" s="3">
        <v>43377</v>
      </c>
      <c r="B699">
        <v>5410.85</v>
      </c>
      <c r="C699">
        <v>-1.4668390574352541E-2</v>
      </c>
      <c r="D699">
        <v>0.72832346710223794</v>
      </c>
      <c r="E699">
        <v>1</v>
      </c>
      <c r="F699" t="b">
        <f>$C$699*$E$699&gt;0</f>
        <v>0</v>
      </c>
    </row>
    <row r="700" spans="1:6" x14ac:dyDescent="0.45">
      <c r="A700" s="3">
        <v>43378</v>
      </c>
      <c r="B700">
        <v>5359.36</v>
      </c>
      <c r="C700">
        <v>-9.5160649435857003E-3</v>
      </c>
      <c r="D700">
        <v>0.56602210370762718</v>
      </c>
      <c r="E700">
        <v>1</v>
      </c>
      <c r="F700" t="b">
        <f>$C$700*$E$700&gt;0</f>
        <v>0</v>
      </c>
    </row>
    <row r="701" spans="1:6" x14ac:dyDescent="0.45">
      <c r="A701" s="3">
        <v>43381</v>
      </c>
      <c r="B701">
        <v>5300.25</v>
      </c>
      <c r="C701">
        <v>-1.1029302006209663E-2</v>
      </c>
      <c r="D701">
        <v>0.39425191688614475</v>
      </c>
      <c r="E701">
        <v>-1</v>
      </c>
      <c r="F701" t="b">
        <f>$C$701*$E$701&gt;0</f>
        <v>1</v>
      </c>
    </row>
    <row r="702" spans="1:6" x14ac:dyDescent="0.45">
      <c r="A702" s="3">
        <v>43382</v>
      </c>
      <c r="B702">
        <v>5318.55</v>
      </c>
      <c r="C702">
        <v>3.4526673270129926E-3</v>
      </c>
      <c r="D702">
        <v>0.28901012884539268</v>
      </c>
      <c r="E702">
        <v>-1</v>
      </c>
      <c r="F702" t="b">
        <f>$C$702*$E$702&gt;0</f>
        <v>0</v>
      </c>
    </row>
    <row r="703" spans="1:6" x14ac:dyDescent="0.45">
      <c r="A703" s="3">
        <v>43383</v>
      </c>
      <c r="B703">
        <v>5206.22</v>
      </c>
      <c r="C703">
        <v>-2.112041815908472E-2</v>
      </c>
      <c r="D703">
        <v>0.45765610031514808</v>
      </c>
      <c r="E703">
        <v>-1</v>
      </c>
      <c r="F703" t="b">
        <f>$C$703*$E$703&gt;0</f>
        <v>1</v>
      </c>
    </row>
    <row r="704" spans="1:6" x14ac:dyDescent="0.45">
      <c r="A704" s="3">
        <v>43384</v>
      </c>
      <c r="B704">
        <v>5106.37</v>
      </c>
      <c r="C704">
        <v>-1.9178982063762229E-2</v>
      </c>
      <c r="D704">
        <v>0.32350870141691379</v>
      </c>
      <c r="E704">
        <v>-1</v>
      </c>
      <c r="F704" t="b">
        <f>$C$704*$E$704&gt;0</f>
        <v>1</v>
      </c>
    </row>
    <row r="705" spans="1:6" x14ac:dyDescent="0.45">
      <c r="A705" s="3">
        <v>43385</v>
      </c>
      <c r="B705">
        <v>5095.9799999999996</v>
      </c>
      <c r="C705">
        <v>-2.0347135048969234E-3</v>
      </c>
      <c r="D705">
        <v>0.25130521412316015</v>
      </c>
      <c r="E705">
        <v>-1</v>
      </c>
      <c r="F705" t="b">
        <f>$C$705*$E$705&gt;0</f>
        <v>1</v>
      </c>
    </row>
    <row r="706" spans="1:6" x14ac:dyDescent="0.45">
      <c r="A706" s="3">
        <v>43388</v>
      </c>
      <c r="B706">
        <v>5095.07</v>
      </c>
      <c r="C706">
        <v>-1.7857212940397549E-4</v>
      </c>
      <c r="D706">
        <v>0.20948020609045581</v>
      </c>
      <c r="E706">
        <v>-1</v>
      </c>
      <c r="F706" t="b">
        <f>$C$706*$E$706&gt;0</f>
        <v>1</v>
      </c>
    </row>
    <row r="707" spans="1:6" x14ac:dyDescent="0.45">
      <c r="A707" s="3">
        <v>43389</v>
      </c>
      <c r="B707">
        <v>5173.05</v>
      </c>
      <c r="C707">
        <v>1.5304990902970994E-2</v>
      </c>
      <c r="D707">
        <v>0.18220230191355793</v>
      </c>
      <c r="E707">
        <v>-1</v>
      </c>
      <c r="F707" t="b">
        <f>$C$707*$E$707&gt;0</f>
        <v>0</v>
      </c>
    </row>
    <row r="708" spans="1:6" x14ac:dyDescent="0.45">
      <c r="A708" s="3">
        <v>43390</v>
      </c>
      <c r="B708">
        <v>5144.95</v>
      </c>
      <c r="C708">
        <v>-5.431998530847415E-3</v>
      </c>
      <c r="D708">
        <v>0.29064300941212501</v>
      </c>
      <c r="E708">
        <v>-1</v>
      </c>
      <c r="F708" t="b">
        <f>$C$708*$E$708&gt;0</f>
        <v>1</v>
      </c>
    </row>
    <row r="709" spans="1:6" x14ac:dyDescent="0.45">
      <c r="A709" s="3">
        <v>43391</v>
      </c>
      <c r="B709">
        <v>5116.79</v>
      </c>
      <c r="C709">
        <v>-5.4733282150457585E-3</v>
      </c>
      <c r="D709">
        <v>0.23292888580178386</v>
      </c>
      <c r="E709">
        <v>-1</v>
      </c>
      <c r="F709" t="b">
        <f>$C$709*$E$709&gt;0</f>
        <v>1</v>
      </c>
    </row>
    <row r="710" spans="1:6" x14ac:dyDescent="0.45">
      <c r="A710" s="3">
        <v>43392</v>
      </c>
      <c r="B710">
        <v>5084.66</v>
      </c>
      <c r="C710">
        <v>-6.2793274689796341E-3</v>
      </c>
      <c r="D710">
        <v>0.19782862613350205</v>
      </c>
      <c r="E710">
        <v>-1</v>
      </c>
      <c r="F710" t="b">
        <f>$C$710*$E$710&gt;0</f>
        <v>1</v>
      </c>
    </row>
    <row r="711" spans="1:6" x14ac:dyDescent="0.45">
      <c r="A711" s="3">
        <v>43395</v>
      </c>
      <c r="B711">
        <v>5053.3100000000004</v>
      </c>
      <c r="C711">
        <v>-6.1656039931872186E-3</v>
      </c>
      <c r="D711">
        <v>0.17409477408636656</v>
      </c>
      <c r="E711">
        <v>-1</v>
      </c>
      <c r="F711" t="b">
        <f>$C$711*$E$711&gt;0</f>
        <v>1</v>
      </c>
    </row>
    <row r="712" spans="1:6" x14ac:dyDescent="0.45">
      <c r="A712" s="3">
        <v>43396</v>
      </c>
      <c r="B712">
        <v>4967.6899999999996</v>
      </c>
      <c r="C712">
        <v>-1.694335000227587E-2</v>
      </c>
      <c r="D712">
        <v>0.15682625421537036</v>
      </c>
      <c r="E712">
        <v>-1</v>
      </c>
      <c r="F712" t="b">
        <f>$C$712*$E$712&gt;0</f>
        <v>1</v>
      </c>
    </row>
    <row r="713" spans="1:6" x14ac:dyDescent="0.45">
      <c r="A713" s="3">
        <v>43397</v>
      </c>
      <c r="B713">
        <v>4953.09</v>
      </c>
      <c r="C713">
        <v>-2.9389917647839603E-3</v>
      </c>
      <c r="D713">
        <v>0.14359875264870367</v>
      </c>
      <c r="E713">
        <v>-1</v>
      </c>
      <c r="F713" t="b">
        <f>$C$713*$E$713&gt;0</f>
        <v>1</v>
      </c>
    </row>
    <row r="714" spans="1:6" x14ac:dyDescent="0.45">
      <c r="A714" s="3">
        <v>43398</v>
      </c>
      <c r="B714">
        <v>5032.3</v>
      </c>
      <c r="C714">
        <v>1.5992037293891315E-2</v>
      </c>
      <c r="D714">
        <v>0.13307849060892266</v>
      </c>
      <c r="E714">
        <v>-1</v>
      </c>
      <c r="F714" t="b">
        <f>$C$714*$E$714&gt;0</f>
        <v>0</v>
      </c>
    </row>
    <row r="715" spans="1:6" x14ac:dyDescent="0.45">
      <c r="A715" s="3">
        <v>43402</v>
      </c>
      <c r="B715">
        <v>4989.3500000000004</v>
      </c>
      <c r="C715">
        <v>-8.5348647735628003E-3</v>
      </c>
      <c r="D715">
        <v>0.20198107474342819</v>
      </c>
      <c r="E715">
        <v>-1</v>
      </c>
      <c r="F715" t="b">
        <f>$C$715*$E$715&gt;0</f>
        <v>1</v>
      </c>
    </row>
    <row r="716" spans="1:6" x14ac:dyDescent="0.45">
      <c r="A716" s="3">
        <v>43403</v>
      </c>
      <c r="B716">
        <v>4978.53</v>
      </c>
      <c r="C716">
        <v>-2.1686191588083936E-3</v>
      </c>
      <c r="D716">
        <v>0.17701146775389201</v>
      </c>
      <c r="E716">
        <v>-1</v>
      </c>
      <c r="F716" t="b">
        <f>$C$716*$E$716&gt;0</f>
        <v>1</v>
      </c>
    </row>
    <row r="717" spans="1:6" x14ac:dyDescent="0.45">
      <c r="A717" s="3">
        <v>43404</v>
      </c>
      <c r="B717">
        <v>5093.4399999999996</v>
      </c>
      <c r="C717">
        <v>2.3081110287574758E-2</v>
      </c>
      <c r="D717">
        <v>0.15900459277596019</v>
      </c>
      <c r="E717">
        <v>-1</v>
      </c>
      <c r="F717" t="b">
        <f>$C$717*$E$717&gt;0</f>
        <v>0</v>
      </c>
    </row>
    <row r="718" spans="1:6" x14ac:dyDescent="0.45">
      <c r="A718" s="3">
        <v>43405</v>
      </c>
      <c r="B718">
        <v>5085.78</v>
      </c>
      <c r="C718">
        <v>-1.5038952063830546E-3</v>
      </c>
      <c r="D718">
        <v>0.24910443796136403</v>
      </c>
      <c r="E718">
        <v>-1</v>
      </c>
      <c r="F718" t="b">
        <f>$C$718*$E$718&gt;0</f>
        <v>1</v>
      </c>
    </row>
    <row r="719" spans="1:6" x14ac:dyDescent="0.45">
      <c r="A719" s="3">
        <v>43409</v>
      </c>
      <c r="B719">
        <v>5101.3900000000003</v>
      </c>
      <c r="C719">
        <v>3.0693423624301719E-3</v>
      </c>
      <c r="D719">
        <v>0.20811088455108229</v>
      </c>
      <c r="E719">
        <v>-1</v>
      </c>
      <c r="F719" t="b">
        <f>$C$719*$E$719&gt;0</f>
        <v>0</v>
      </c>
    </row>
    <row r="720" spans="1:6" x14ac:dyDescent="0.45">
      <c r="A720" s="3">
        <v>43410</v>
      </c>
      <c r="B720">
        <v>5075.1899999999996</v>
      </c>
      <c r="C720">
        <v>-5.1358551296805111E-3</v>
      </c>
      <c r="D720">
        <v>0.3353937225452896</v>
      </c>
      <c r="E720">
        <v>-1</v>
      </c>
      <c r="F720" t="b">
        <f>$C$720*$E$720&gt;0</f>
        <v>1</v>
      </c>
    </row>
    <row r="721" spans="1:6" x14ac:dyDescent="0.45">
      <c r="A721" s="3">
        <v>43411</v>
      </c>
      <c r="B721">
        <v>5137.9399999999996</v>
      </c>
      <c r="C721">
        <v>1.2364069128446342E-2</v>
      </c>
      <c r="D721">
        <v>0.25775768479877309</v>
      </c>
      <c r="E721">
        <v>-1</v>
      </c>
      <c r="F721" t="b">
        <f>$C$721*$E$721&gt;0</f>
        <v>0</v>
      </c>
    </row>
    <row r="722" spans="1:6" x14ac:dyDescent="0.45">
      <c r="A722" s="3">
        <v>43412</v>
      </c>
      <c r="B722">
        <v>5131.45</v>
      </c>
      <c r="C722">
        <v>-1.2631521582578964E-3</v>
      </c>
      <c r="D722">
        <v>0.41394022833558586</v>
      </c>
      <c r="E722">
        <v>-1</v>
      </c>
      <c r="F722" t="b">
        <f>$C$722*$E$722&gt;0</f>
        <v>1</v>
      </c>
    </row>
    <row r="723" spans="1:6" x14ac:dyDescent="0.45">
      <c r="A723" s="3">
        <v>43413</v>
      </c>
      <c r="B723">
        <v>5106.75</v>
      </c>
      <c r="C723">
        <v>-4.813454286800023E-3</v>
      </c>
      <c r="D723">
        <v>0.29948635856023648</v>
      </c>
      <c r="E723">
        <v>-1</v>
      </c>
      <c r="F723" t="b">
        <f>$C$723*$E$723&gt;0</f>
        <v>1</v>
      </c>
    </row>
    <row r="724" spans="1:6" x14ac:dyDescent="0.45">
      <c r="A724" s="3">
        <v>43416</v>
      </c>
      <c r="B724">
        <v>5059.09</v>
      </c>
      <c r="C724">
        <v>-9.3327458755568804E-3</v>
      </c>
      <c r="D724">
        <v>0.23796499575512256</v>
      </c>
      <c r="E724">
        <v>-1</v>
      </c>
      <c r="F724" t="b">
        <f>$C$724*$E$724&gt;0</f>
        <v>1</v>
      </c>
    </row>
    <row r="725" spans="1:6" x14ac:dyDescent="0.45">
      <c r="A725" s="3">
        <v>43417</v>
      </c>
      <c r="B725">
        <v>5101.8500000000004</v>
      </c>
      <c r="C725">
        <v>8.4521129294004016E-3</v>
      </c>
      <c r="D725">
        <v>0.20107138267111649</v>
      </c>
      <c r="E725">
        <v>-1</v>
      </c>
      <c r="F725" t="b">
        <f>$C$725*$E$725&gt;0</f>
        <v>0</v>
      </c>
    </row>
    <row r="726" spans="1:6" x14ac:dyDescent="0.45">
      <c r="A726" s="3">
        <v>43418</v>
      </c>
      <c r="B726">
        <v>5068.8500000000004</v>
      </c>
      <c r="C726">
        <v>-6.4682419122474855E-3</v>
      </c>
      <c r="D726">
        <v>0.32345072458293173</v>
      </c>
      <c r="E726">
        <v>-1</v>
      </c>
      <c r="F726" t="b">
        <f>$C$726*$E$726&gt;0</f>
        <v>1</v>
      </c>
    </row>
    <row r="727" spans="1:6" x14ac:dyDescent="0.45">
      <c r="A727" s="3">
        <v>43420</v>
      </c>
      <c r="B727">
        <v>5025.2</v>
      </c>
      <c r="C727">
        <v>-8.6114207364590412E-3</v>
      </c>
      <c r="D727">
        <v>0.25127398633963011</v>
      </c>
      <c r="E727">
        <v>-1</v>
      </c>
      <c r="F727" t="b">
        <f>$C$727*$E$727&gt;0</f>
        <v>1</v>
      </c>
    </row>
    <row r="728" spans="1:6" x14ac:dyDescent="0.45">
      <c r="A728" s="3">
        <v>43423</v>
      </c>
      <c r="B728">
        <v>4985.45</v>
      </c>
      <c r="C728">
        <v>-7.9101329300326206E-3</v>
      </c>
      <c r="D728">
        <v>0.20946105350810179</v>
      </c>
      <c r="E728">
        <v>-1</v>
      </c>
      <c r="F728" t="b">
        <f>$C$728*$E$728&gt;0</f>
        <v>1</v>
      </c>
    </row>
    <row r="729" spans="1:6" x14ac:dyDescent="0.45">
      <c r="A729" s="3">
        <v>43424</v>
      </c>
      <c r="B729">
        <v>4924.8900000000003</v>
      </c>
      <c r="C729">
        <v>-1.2147348784964151E-2</v>
      </c>
      <c r="D729">
        <v>0.18218930639328848</v>
      </c>
      <c r="E729">
        <v>-1</v>
      </c>
      <c r="F729" t="b">
        <f>$C$729*$E$729&gt;0</f>
        <v>1</v>
      </c>
    </row>
    <row r="730" spans="1:6" x14ac:dyDescent="0.45">
      <c r="A730" s="3">
        <v>43425</v>
      </c>
      <c r="B730">
        <v>4975.5</v>
      </c>
      <c r="C730">
        <v>1.0276371655001393E-2</v>
      </c>
      <c r="D730">
        <v>0.16283232017521726</v>
      </c>
      <c r="E730">
        <v>-1</v>
      </c>
      <c r="F730" t="b">
        <f>$C$730*$E$730&gt;0</f>
        <v>0</v>
      </c>
    </row>
    <row r="731" spans="1:6" x14ac:dyDescent="0.45">
      <c r="A731" s="3">
        <v>43426</v>
      </c>
      <c r="B731">
        <v>4938.1400000000003</v>
      </c>
      <c r="C731">
        <v>-7.5087930861219565E-3</v>
      </c>
      <c r="D731">
        <v>0.25602373911223031</v>
      </c>
      <c r="E731">
        <v>-1</v>
      </c>
      <c r="F731" t="b">
        <f>$C$731*$E$731&gt;0</f>
        <v>1</v>
      </c>
    </row>
    <row r="732" spans="1:6" x14ac:dyDescent="0.45">
      <c r="A732" s="3">
        <v>43427</v>
      </c>
      <c r="B732">
        <v>4946.95</v>
      </c>
      <c r="C732">
        <v>1.7840725455331441E-3</v>
      </c>
      <c r="D732">
        <v>0.21239502497391502</v>
      </c>
      <c r="E732">
        <v>-1</v>
      </c>
      <c r="F732" t="b">
        <f>$C$732*$E$732&gt;0</f>
        <v>0</v>
      </c>
    </row>
    <row r="733" spans="1:6" x14ac:dyDescent="0.45">
      <c r="A733" s="3">
        <v>43430</v>
      </c>
      <c r="B733">
        <v>4994.9799999999996</v>
      </c>
      <c r="C733">
        <v>9.7090126239398611E-3</v>
      </c>
      <c r="D733">
        <v>0.34257470374102489</v>
      </c>
      <c r="E733">
        <v>-1</v>
      </c>
      <c r="F733" t="b">
        <f>$C$733*$E$733&gt;0</f>
        <v>0</v>
      </c>
    </row>
    <row r="734" spans="1:6" x14ac:dyDescent="0.45">
      <c r="A734" s="3">
        <v>43431</v>
      </c>
      <c r="B734">
        <v>4983.1499999999996</v>
      </c>
      <c r="C734">
        <v>-2.3683778513627907E-3</v>
      </c>
      <c r="D734">
        <v>0.52208687744650839</v>
      </c>
      <c r="E734">
        <v>1</v>
      </c>
      <c r="F734" t="b">
        <f>$C$734*$E$734&gt;0</f>
        <v>0</v>
      </c>
    </row>
    <row r="735" spans="1:6" x14ac:dyDescent="0.45">
      <c r="A735" s="3">
        <v>43432</v>
      </c>
      <c r="B735">
        <v>4983.24</v>
      </c>
      <c r="C735">
        <v>1.8060865115465674E-5</v>
      </c>
      <c r="D735">
        <v>0.36288482869320626</v>
      </c>
      <c r="E735">
        <v>-1</v>
      </c>
      <c r="F735" t="b">
        <f>$C$735*$E$735&gt;0</f>
        <v>0</v>
      </c>
    </row>
  </sheetData>
  <dataValidations count="1">
    <dataValidation type="list" allowBlank="1" showInputMessage="1" showErrorMessage="1" sqref="K6" xr:uid="{00000000-0002-0000-0300-000000000000}">
      <formula1>"backpropagation,momentum,learning"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earn">
                <anchor moveWithCells="1">
                  <from>
                    <xdr:col>13</xdr:col>
                    <xdr:colOff>514350</xdr:colOff>
                    <xdr:row>2</xdr:row>
                    <xdr:rowOff>142875</xdr:rowOff>
                  </from>
                  <to>
                    <xdr:col>14</xdr:col>
                    <xdr:colOff>504825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Q2260"/>
  <sheetViews>
    <sheetView workbookViewId="0"/>
  </sheetViews>
  <sheetFormatPr defaultColWidth="10.6640625" defaultRowHeight="14.25" x14ac:dyDescent="0.45"/>
  <cols>
    <col min="9" max="9" width="12.73046875" bestFit="1" customWidth="1"/>
    <col min="10" max="10" width="12" style="6" bestFit="1" customWidth="1"/>
  </cols>
  <sheetData>
    <row r="1" spans="1:17" x14ac:dyDescent="0.45">
      <c r="A1" s="3" t="s">
        <v>12</v>
      </c>
      <c r="B1" t="s">
        <v>28</v>
      </c>
      <c r="C1" t="s">
        <v>50</v>
      </c>
      <c r="D1" t="s">
        <v>7</v>
      </c>
      <c r="E1" t="s">
        <v>50</v>
      </c>
      <c r="F1" t="s">
        <v>30</v>
      </c>
      <c r="H1" t="s">
        <v>31</v>
      </c>
      <c r="J1" s="6" t="s">
        <v>13</v>
      </c>
      <c r="K1" t="s">
        <v>48</v>
      </c>
      <c r="L1" t="s">
        <v>49</v>
      </c>
    </row>
    <row r="2" spans="1:17" x14ac:dyDescent="0.45">
      <c r="A2" s="3">
        <v>42373</v>
      </c>
      <c r="B2">
        <v>15.2</v>
      </c>
      <c r="D2">
        <v>4522.45</v>
      </c>
      <c r="F2">
        <v>167.34800000000001</v>
      </c>
      <c r="H2">
        <v>7.1446619199999999E-3</v>
      </c>
      <c r="O2" t="s">
        <v>23</v>
      </c>
      <c r="P2">
        <v>6</v>
      </c>
    </row>
    <row r="3" spans="1:17" x14ac:dyDescent="0.45">
      <c r="A3" s="3">
        <v>42374</v>
      </c>
      <c r="B3">
        <v>15.31</v>
      </c>
      <c r="C3">
        <v>7.2368421052633192E-3</v>
      </c>
      <c r="D3">
        <v>4537.63</v>
      </c>
      <c r="E3">
        <v>3.356587690300783E-3</v>
      </c>
      <c r="F3">
        <v>167.31299999999999</v>
      </c>
      <c r="G3">
        <f>F2/F3-1</f>
        <v>2.0918876596565106E-4</v>
      </c>
      <c r="H3">
        <v>7.22305498E-3</v>
      </c>
      <c r="I3">
        <f>H2-H3</f>
        <v>-7.8393060000000146E-5</v>
      </c>
      <c r="O3" t="s">
        <v>24</v>
      </c>
      <c r="P3">
        <v>20</v>
      </c>
    </row>
    <row r="4" spans="1:17" x14ac:dyDescent="0.45">
      <c r="A4" s="3">
        <v>42375</v>
      </c>
      <c r="B4">
        <v>15.54</v>
      </c>
      <c r="C4">
        <v>1.5022860875244959E-2</v>
      </c>
      <c r="D4">
        <v>4480.47</v>
      </c>
      <c r="E4">
        <v>-1.2596884276593667E-2</v>
      </c>
      <c r="F4">
        <v>167.7105</v>
      </c>
      <c r="G4">
        <f t="shared" ref="G4:G67" si="0">F3/F4-1</f>
        <v>-2.3701557147585151E-3</v>
      </c>
      <c r="H4">
        <v>7.4056522500000003E-3</v>
      </c>
      <c r="I4">
        <f t="shared" ref="I4:I67" si="1">H3-H4</f>
        <v>-1.8259727000000028E-4</v>
      </c>
      <c r="O4" t="s">
        <v>16</v>
      </c>
      <c r="P4">
        <v>0.5</v>
      </c>
    </row>
    <row r="5" spans="1:17" x14ac:dyDescent="0.45">
      <c r="A5" s="3">
        <v>42376</v>
      </c>
      <c r="B5">
        <v>15.494999999999999</v>
      </c>
      <c r="C5">
        <v>-2.8957528957529455E-3</v>
      </c>
      <c r="D5">
        <v>4403.58</v>
      </c>
      <c r="E5">
        <v>-1.7161146040482467E-2</v>
      </c>
      <c r="F5">
        <v>166.62450000000001</v>
      </c>
      <c r="G5">
        <f t="shared" si="0"/>
        <v>6.5176489651881386E-3</v>
      </c>
      <c r="H5">
        <v>7.5643457299999998E-3</v>
      </c>
      <c r="I5">
        <f t="shared" si="1"/>
        <v>-1.586934799999995E-4</v>
      </c>
      <c r="O5" t="s">
        <v>26</v>
      </c>
      <c r="P5" t="s">
        <v>27</v>
      </c>
    </row>
    <row r="6" spans="1:17" x14ac:dyDescent="0.45">
      <c r="A6" s="3">
        <v>42377</v>
      </c>
      <c r="B6">
        <v>15.3</v>
      </c>
      <c r="C6">
        <v>-1.2584704743465513E-2</v>
      </c>
      <c r="D6">
        <v>4333.76</v>
      </c>
      <c r="E6">
        <v>-1.58552813846915E-2</v>
      </c>
      <c r="F6">
        <v>167.154</v>
      </c>
      <c r="G6">
        <f t="shared" si="0"/>
        <v>-3.1677375354463022E-3</v>
      </c>
      <c r="H6">
        <v>7.5033823799999996E-3</v>
      </c>
      <c r="I6">
        <f t="shared" si="1"/>
        <v>6.0963350000000152E-5</v>
      </c>
      <c r="O6" t="s">
        <v>29</v>
      </c>
      <c r="P6">
        <v>1</v>
      </c>
    </row>
    <row r="7" spans="1:17" x14ac:dyDescent="0.45">
      <c r="A7" s="3">
        <v>42380</v>
      </c>
      <c r="B7">
        <v>15.19</v>
      </c>
      <c r="C7">
        <v>-7.1895424836602162E-3</v>
      </c>
      <c r="D7">
        <v>4312.74</v>
      </c>
      <c r="E7">
        <v>-4.8502916635901894E-3</v>
      </c>
      <c r="F7">
        <v>166.76150000000001</v>
      </c>
      <c r="G7">
        <f t="shared" si="0"/>
        <v>2.3536607670233689E-3</v>
      </c>
      <c r="H7">
        <v>7.5208494700000003E-3</v>
      </c>
      <c r="I7">
        <f t="shared" si="1"/>
        <v>-1.7467090000000685E-5</v>
      </c>
    </row>
    <row r="8" spans="1:17" x14ac:dyDescent="0.45">
      <c r="A8" s="3">
        <v>42381</v>
      </c>
      <c r="B8">
        <v>15.82</v>
      </c>
      <c r="C8">
        <v>4.1474654377880338E-2</v>
      </c>
      <c r="D8">
        <v>4378.75</v>
      </c>
      <c r="E8">
        <v>1.5305814864795986E-2</v>
      </c>
      <c r="F8">
        <v>167.06450000000001</v>
      </c>
      <c r="G8">
        <f t="shared" si="0"/>
        <v>-1.8136707678770847E-3</v>
      </c>
      <c r="H8">
        <v>7.4907130100000004E-3</v>
      </c>
      <c r="I8">
        <f t="shared" si="1"/>
        <v>3.0136459999999948E-5</v>
      </c>
      <c r="O8" t="s">
        <v>21</v>
      </c>
      <c r="P8" s="3">
        <v>42736</v>
      </c>
    </row>
    <row r="9" spans="1:17" x14ac:dyDescent="0.45">
      <c r="A9" s="3">
        <v>42382</v>
      </c>
      <c r="B9">
        <v>15.755000000000001</v>
      </c>
      <c r="C9">
        <v>-4.1087231352717746E-3</v>
      </c>
      <c r="D9">
        <v>4391.9399999999996</v>
      </c>
      <c r="E9">
        <v>3.0122751926919822E-3</v>
      </c>
      <c r="F9">
        <v>167.73349999999999</v>
      </c>
      <c r="G9">
        <f t="shared" si="0"/>
        <v>-3.9884698047795153E-3</v>
      </c>
      <c r="H9">
        <v>7.3744711000000001E-3</v>
      </c>
      <c r="I9">
        <f t="shared" si="1"/>
        <v>1.1624191000000027E-4</v>
      </c>
      <c r="J9" s="6">
        <v>1</v>
      </c>
      <c r="K9">
        <v>1</v>
      </c>
      <c r="L9" t="b">
        <f>$K$9*$C$9&gt;0</f>
        <v>0</v>
      </c>
      <c r="O9" t="s">
        <v>32</v>
      </c>
      <c r="P9">
        <v>3</v>
      </c>
    </row>
    <row r="10" spans="1:17" x14ac:dyDescent="0.45">
      <c r="A10" s="3">
        <v>42383</v>
      </c>
      <c r="B10">
        <v>15.484999999999999</v>
      </c>
      <c r="C10">
        <v>-1.7137416693113416E-2</v>
      </c>
      <c r="D10">
        <v>4312.8900000000003</v>
      </c>
      <c r="E10">
        <v>-1.7998879766116804E-2</v>
      </c>
      <c r="F10">
        <v>167.14150000000001</v>
      </c>
      <c r="G10">
        <f t="shared" si="0"/>
        <v>3.5419091009711856E-3</v>
      </c>
      <c r="H10">
        <v>7.6724538200000003E-3</v>
      </c>
      <c r="I10">
        <f t="shared" si="1"/>
        <v>-2.9798272000000018E-4</v>
      </c>
      <c r="J10" s="6">
        <v>1</v>
      </c>
      <c r="K10">
        <v>1</v>
      </c>
      <c r="L10" t="b">
        <f>$K$10*$C$10&gt;0</f>
        <v>0</v>
      </c>
    </row>
    <row r="11" spans="1:17" x14ac:dyDescent="0.45">
      <c r="A11" s="3">
        <v>42384</v>
      </c>
      <c r="B11">
        <v>15.365</v>
      </c>
      <c r="C11">
        <v>-7.7494349370358373E-3</v>
      </c>
      <c r="D11">
        <v>4210.16</v>
      </c>
      <c r="E11">
        <v>-2.3819295182580746E-2</v>
      </c>
      <c r="F11">
        <v>167.40600000000001</v>
      </c>
      <c r="G11">
        <f t="shared" si="0"/>
        <v>-1.5799911592176974E-3</v>
      </c>
      <c r="H11">
        <v>7.72952849E-3</v>
      </c>
      <c r="I11">
        <f t="shared" si="1"/>
        <v>-5.7074669999999765E-5</v>
      </c>
      <c r="J11" s="6">
        <v>1</v>
      </c>
      <c r="K11">
        <v>1</v>
      </c>
      <c r="L11" t="b">
        <f>$K$11*$C$11&gt;0</f>
        <v>0</v>
      </c>
      <c r="O11" t="s">
        <v>18</v>
      </c>
      <c r="P11">
        <f>SUMPRODUCT(($A$3:$A$735&gt;=$P$8)*($L$3:$L$735)*1)</f>
        <v>226</v>
      </c>
      <c r="Q11">
        <f>P11/P12</f>
        <v>0.47181628392484343</v>
      </c>
    </row>
    <row r="12" spans="1:17" x14ac:dyDescent="0.45">
      <c r="A12" s="3">
        <v>42387</v>
      </c>
      <c r="B12">
        <v>15.12</v>
      </c>
      <c r="C12">
        <v>-1.5945330296127658E-2</v>
      </c>
      <c r="D12">
        <v>4189.57</v>
      </c>
      <c r="E12">
        <v>-4.8905504778916642E-3</v>
      </c>
      <c r="F12">
        <v>167.32050000000001</v>
      </c>
      <c r="G12">
        <f t="shared" si="0"/>
        <v>5.1099536518228739E-4</v>
      </c>
      <c r="H12">
        <v>7.8069067500000002E-3</v>
      </c>
      <c r="I12">
        <f t="shared" si="1"/>
        <v>-7.7378260000000171E-5</v>
      </c>
      <c r="J12" s="6">
        <v>1</v>
      </c>
      <c r="K12">
        <v>1</v>
      </c>
      <c r="L12" t="b">
        <f>$K$12*$C$12&gt;0</f>
        <v>0</v>
      </c>
      <c r="O12" t="s">
        <v>20</v>
      </c>
      <c r="P12">
        <f>SUMPRODUCT(($A$3:$A$735&gt;=$P$8)*1)</f>
        <v>479</v>
      </c>
    </row>
    <row r="13" spans="1:17" x14ac:dyDescent="0.45">
      <c r="A13" s="3">
        <v>42388</v>
      </c>
      <c r="B13">
        <v>15.404999999999999</v>
      </c>
      <c r="C13">
        <v>1.8849206349206282E-2</v>
      </c>
      <c r="D13">
        <v>4272.26</v>
      </c>
      <c r="E13">
        <v>1.9737109058925117E-2</v>
      </c>
      <c r="F13">
        <v>167.04949999999999</v>
      </c>
      <c r="G13">
        <f t="shared" si="0"/>
        <v>1.6222736374549296E-3</v>
      </c>
      <c r="H13">
        <v>7.5282873400000002E-3</v>
      </c>
      <c r="I13">
        <f t="shared" si="1"/>
        <v>2.7861941000000001E-4</v>
      </c>
      <c r="J13" s="6">
        <v>1</v>
      </c>
      <c r="K13">
        <v>1</v>
      </c>
      <c r="L13" t="b">
        <f>$K$13*$C$13&gt;0</f>
        <v>1</v>
      </c>
    </row>
    <row r="14" spans="1:17" x14ac:dyDescent="0.45">
      <c r="A14" s="3">
        <v>42389</v>
      </c>
      <c r="B14">
        <v>14.81</v>
      </c>
      <c r="C14">
        <v>-3.8623823433949989E-2</v>
      </c>
      <c r="D14">
        <v>4124.95</v>
      </c>
      <c r="E14">
        <v>-3.4480579365488095E-2</v>
      </c>
      <c r="F14">
        <v>167.9975</v>
      </c>
      <c r="G14">
        <f t="shared" si="0"/>
        <v>-5.6429411151952547E-3</v>
      </c>
      <c r="H14">
        <v>7.6455265300000002E-3</v>
      </c>
      <c r="I14">
        <f t="shared" si="1"/>
        <v>-1.1723918999999999E-4</v>
      </c>
      <c r="J14" s="6">
        <v>1</v>
      </c>
      <c r="K14">
        <v>1</v>
      </c>
      <c r="L14" t="b">
        <f>$K$14*$C$14&gt;0</f>
        <v>0</v>
      </c>
    </row>
    <row r="15" spans="1:17" x14ac:dyDescent="0.45">
      <c r="A15" s="3">
        <v>42390</v>
      </c>
      <c r="B15">
        <v>15.16</v>
      </c>
      <c r="C15">
        <v>2.363268062120194E-2</v>
      </c>
      <c r="D15">
        <v>4206.3999999999996</v>
      </c>
      <c r="E15">
        <v>1.974569388719849E-2</v>
      </c>
      <c r="F15">
        <v>168.06100000000001</v>
      </c>
      <c r="G15">
        <f t="shared" si="0"/>
        <v>-3.7783899893495398E-4</v>
      </c>
      <c r="H15">
        <v>7.4980921000000001E-3</v>
      </c>
      <c r="I15">
        <f t="shared" si="1"/>
        <v>1.4743443000000012E-4</v>
      </c>
      <c r="J15" s="6">
        <v>1</v>
      </c>
      <c r="K15">
        <v>1</v>
      </c>
      <c r="L15" t="b">
        <f>$K$15*$C$15&gt;0</f>
        <v>1</v>
      </c>
    </row>
    <row r="16" spans="1:17" x14ac:dyDescent="0.45">
      <c r="A16" s="3">
        <v>42391</v>
      </c>
      <c r="B16">
        <v>15.835000000000001</v>
      </c>
      <c r="C16">
        <v>4.4525065963060717E-2</v>
      </c>
      <c r="D16">
        <v>4336.6899999999996</v>
      </c>
      <c r="E16">
        <v>3.0974229745150295E-2</v>
      </c>
      <c r="F16">
        <v>167.30350000000001</v>
      </c>
      <c r="G16">
        <f t="shared" si="0"/>
        <v>4.527699659600648E-3</v>
      </c>
      <c r="H16">
        <v>7.2065713900000003E-3</v>
      </c>
      <c r="I16">
        <f t="shared" si="1"/>
        <v>2.9152070999999974E-4</v>
      </c>
      <c r="J16" s="6">
        <v>1</v>
      </c>
      <c r="K16">
        <v>1</v>
      </c>
      <c r="L16" t="b">
        <f>$K$16*$C$16&gt;0</f>
        <v>1</v>
      </c>
    </row>
    <row r="17" spans="1:14" x14ac:dyDescent="0.45">
      <c r="A17" s="3">
        <v>42394</v>
      </c>
      <c r="B17">
        <v>15.8</v>
      </c>
      <c r="C17">
        <v>-2.2102936532996109E-3</v>
      </c>
      <c r="D17">
        <v>4311.33</v>
      </c>
      <c r="E17">
        <v>-5.8477779135699404E-3</v>
      </c>
      <c r="F17">
        <v>167.65899999999999</v>
      </c>
      <c r="G17">
        <f t="shared" si="0"/>
        <v>-2.1203752855497582E-3</v>
      </c>
      <c r="H17">
        <v>7.1996019199999997E-3</v>
      </c>
      <c r="I17">
        <f t="shared" si="1"/>
        <v>6.9694700000006229E-6</v>
      </c>
      <c r="J17" s="6">
        <v>1</v>
      </c>
      <c r="K17">
        <v>1</v>
      </c>
      <c r="L17" t="b">
        <f>$K$17*$C$17&gt;0</f>
        <v>0</v>
      </c>
    </row>
    <row r="18" spans="1:14" x14ac:dyDescent="0.45">
      <c r="A18" s="3">
        <v>42395</v>
      </c>
      <c r="B18">
        <v>15.86</v>
      </c>
      <c r="C18">
        <v>3.7974683544304E-3</v>
      </c>
      <c r="D18">
        <v>4356.8100000000004</v>
      </c>
      <c r="E18">
        <v>1.0548948932232127E-2</v>
      </c>
      <c r="F18">
        <v>168.2045</v>
      </c>
      <c r="G18">
        <f t="shared" si="0"/>
        <v>-3.2430761364886651E-3</v>
      </c>
      <c r="H18">
        <v>7.1630558999999996E-3</v>
      </c>
      <c r="I18">
        <f t="shared" si="1"/>
        <v>3.6546020000000068E-5</v>
      </c>
      <c r="J18" s="6">
        <v>1</v>
      </c>
      <c r="K18">
        <v>1</v>
      </c>
      <c r="L18" t="b">
        <f>$K$18*$C$18&gt;0</f>
        <v>1</v>
      </c>
    </row>
    <row r="19" spans="1:14" x14ac:dyDescent="0.45">
      <c r="A19" s="3">
        <v>42396</v>
      </c>
      <c r="B19">
        <v>16.3</v>
      </c>
      <c r="C19">
        <v>2.774274905422458E-2</v>
      </c>
      <c r="D19">
        <v>4380.3599999999997</v>
      </c>
      <c r="E19">
        <v>5.405330964627586E-3</v>
      </c>
      <c r="F19">
        <v>168.315</v>
      </c>
      <c r="G19">
        <f t="shared" si="0"/>
        <v>-6.5650714434251078E-4</v>
      </c>
      <c r="H19">
        <v>7.0099663499999998E-3</v>
      </c>
      <c r="I19">
        <f t="shared" si="1"/>
        <v>1.5308954999999989E-4</v>
      </c>
      <c r="J19" s="6">
        <v>1</v>
      </c>
      <c r="K19">
        <v>1</v>
      </c>
      <c r="L19" t="b">
        <f>$K$19*$C$19&gt;0</f>
        <v>1</v>
      </c>
    </row>
    <row r="20" spans="1:14" x14ac:dyDescent="0.45">
      <c r="A20" s="3">
        <v>42397</v>
      </c>
      <c r="B20">
        <v>15.904999999999999</v>
      </c>
      <c r="C20">
        <v>-2.423312883435591E-2</v>
      </c>
      <c r="D20">
        <v>4322.16</v>
      </c>
      <c r="E20">
        <v>-1.3286579185272429E-2</v>
      </c>
      <c r="F20">
        <v>168.97</v>
      </c>
      <c r="G20">
        <f t="shared" si="0"/>
        <v>-3.8764277682429293E-3</v>
      </c>
      <c r="H20">
        <v>6.8880207900000002E-3</v>
      </c>
      <c r="I20">
        <f t="shared" si="1"/>
        <v>1.2194555999999954E-4</v>
      </c>
      <c r="J20" s="6">
        <v>1</v>
      </c>
      <c r="K20">
        <v>1</v>
      </c>
      <c r="L20" t="b">
        <f>$K$20*$C$20&gt;0</f>
        <v>0</v>
      </c>
      <c r="N20" s="3"/>
    </row>
    <row r="21" spans="1:14" x14ac:dyDescent="0.45">
      <c r="A21" s="3">
        <v>42398</v>
      </c>
      <c r="B21">
        <v>16.329999999999998</v>
      </c>
      <c r="C21">
        <v>2.6721156868909191E-2</v>
      </c>
      <c r="D21">
        <v>4417.0200000000004</v>
      </c>
      <c r="E21">
        <v>2.1947359653506693E-2</v>
      </c>
      <c r="F21">
        <v>170.44300000000001</v>
      </c>
      <c r="G21">
        <f t="shared" si="0"/>
        <v>-8.6421853640220592E-3</v>
      </c>
      <c r="H21">
        <v>6.8148380699999999E-3</v>
      </c>
      <c r="I21">
        <f t="shared" si="1"/>
        <v>7.3182720000000354E-5</v>
      </c>
      <c r="J21" s="6">
        <v>1</v>
      </c>
      <c r="K21">
        <v>1</v>
      </c>
      <c r="L21" t="b">
        <f>$K$21*$C$21&gt;0</f>
        <v>1</v>
      </c>
      <c r="N21" s="3"/>
    </row>
    <row r="22" spans="1:14" x14ac:dyDescent="0.45">
      <c r="A22" s="3">
        <v>42401</v>
      </c>
      <c r="B22">
        <v>16.344999999999999</v>
      </c>
      <c r="C22">
        <v>9.1855480710356652E-4</v>
      </c>
      <c r="D22">
        <v>4392.33</v>
      </c>
      <c r="E22">
        <v>-5.5897414999254158E-3</v>
      </c>
      <c r="F22">
        <v>170.04</v>
      </c>
      <c r="G22">
        <f t="shared" si="0"/>
        <v>2.3700305810399058E-3</v>
      </c>
      <c r="H22">
        <v>6.8270781499999997E-3</v>
      </c>
      <c r="I22">
        <f t="shared" si="1"/>
        <v>-1.2240079999999848E-5</v>
      </c>
      <c r="J22" s="6">
        <v>1</v>
      </c>
      <c r="K22">
        <v>1</v>
      </c>
      <c r="L22" t="b">
        <f>$K$22*$C$22&gt;0</f>
        <v>1</v>
      </c>
      <c r="N22" s="3"/>
    </row>
    <row r="23" spans="1:14" x14ac:dyDescent="0.45">
      <c r="A23" s="3">
        <v>42402</v>
      </c>
      <c r="B23">
        <v>16.274999999999999</v>
      </c>
      <c r="C23">
        <v>-4.282655246252709E-3</v>
      </c>
      <c r="D23">
        <v>4283.99</v>
      </c>
      <c r="E23">
        <v>-2.4665724114536047E-2</v>
      </c>
      <c r="F23">
        <v>170.6405</v>
      </c>
      <c r="G23">
        <f t="shared" si="0"/>
        <v>-3.5190942361280619E-3</v>
      </c>
      <c r="H23">
        <v>6.8155328200000002E-3</v>
      </c>
      <c r="I23">
        <f t="shared" si="1"/>
        <v>1.1545329999999507E-5</v>
      </c>
      <c r="J23" s="6">
        <v>1</v>
      </c>
      <c r="K23">
        <v>1</v>
      </c>
      <c r="L23" t="b">
        <f>$K$23*$C$23&gt;0</f>
        <v>0</v>
      </c>
      <c r="N23" s="3"/>
    </row>
    <row r="24" spans="1:14" x14ac:dyDescent="0.45">
      <c r="A24" s="3">
        <v>42404</v>
      </c>
      <c r="B24">
        <v>15.675000000000001</v>
      </c>
      <c r="C24">
        <v>-3.6866359447004449E-2</v>
      </c>
      <c r="D24">
        <v>4228.53</v>
      </c>
      <c r="E24">
        <v>-1.294587522379842E-2</v>
      </c>
      <c r="F24">
        <v>170.61949999999999</v>
      </c>
      <c r="G24">
        <f t="shared" si="0"/>
        <v>1.2308089051971116E-4</v>
      </c>
      <c r="H24">
        <v>6.94261848E-3</v>
      </c>
      <c r="I24">
        <f t="shared" si="1"/>
        <v>-1.2708565999999984E-4</v>
      </c>
      <c r="J24" s="6">
        <v>1</v>
      </c>
      <c r="K24">
        <v>1</v>
      </c>
      <c r="L24" t="b">
        <f>$K$24*$C$24&gt;0</f>
        <v>0</v>
      </c>
      <c r="N24" s="3"/>
    </row>
    <row r="25" spans="1:14" x14ac:dyDescent="0.45">
      <c r="A25" s="3">
        <v>42405</v>
      </c>
      <c r="B25">
        <v>15.205</v>
      </c>
      <c r="C25">
        <v>-2.9984051036682668E-2</v>
      </c>
      <c r="D25">
        <v>4200.67</v>
      </c>
      <c r="E25">
        <v>-6.5885780637714442E-3</v>
      </c>
      <c r="F25">
        <v>171.03800000000001</v>
      </c>
      <c r="G25">
        <f t="shared" si="0"/>
        <v>-2.4468246822344497E-3</v>
      </c>
      <c r="H25">
        <v>6.9984660499999999E-3</v>
      </c>
      <c r="I25">
        <f t="shared" si="1"/>
        <v>-5.5847569999999819E-5</v>
      </c>
      <c r="J25" s="6">
        <v>1</v>
      </c>
      <c r="K25">
        <v>1</v>
      </c>
      <c r="L25" t="b">
        <f>$K$25*$C$25&gt;0</f>
        <v>0</v>
      </c>
      <c r="N25" s="3"/>
    </row>
    <row r="26" spans="1:14" x14ac:dyDescent="0.45">
      <c r="A26" s="3">
        <v>42408</v>
      </c>
      <c r="B26">
        <v>14.81</v>
      </c>
      <c r="C26">
        <v>-2.5978296612956253E-2</v>
      </c>
      <c r="D26">
        <v>4066.31</v>
      </c>
      <c r="E26">
        <v>-3.1985373761804659E-2</v>
      </c>
      <c r="F26">
        <v>172.6585</v>
      </c>
      <c r="G26">
        <f t="shared" si="0"/>
        <v>-9.3855790476575773E-3</v>
      </c>
      <c r="H26">
        <v>7.3071241300000003E-3</v>
      </c>
      <c r="I26">
        <f t="shared" si="1"/>
        <v>-3.086580800000004E-4</v>
      </c>
      <c r="J26" s="6">
        <v>1</v>
      </c>
      <c r="K26">
        <v>1</v>
      </c>
      <c r="L26" t="b">
        <f>$K$26*$C$26&gt;0</f>
        <v>0</v>
      </c>
      <c r="N26" s="3"/>
    </row>
    <row r="27" spans="1:14" x14ac:dyDescent="0.45">
      <c r="A27" s="3">
        <v>42409</v>
      </c>
      <c r="B27">
        <v>14.75</v>
      </c>
      <c r="C27">
        <v>-4.051316677920358E-3</v>
      </c>
      <c r="D27">
        <v>3997.54</v>
      </c>
      <c r="E27">
        <v>-1.6912139015471062E-2</v>
      </c>
      <c r="F27">
        <v>172.36699999999999</v>
      </c>
      <c r="G27">
        <f t="shared" si="0"/>
        <v>1.6911589805475025E-3</v>
      </c>
      <c r="H27">
        <v>7.4474350700000002E-3</v>
      </c>
      <c r="I27">
        <f t="shared" si="1"/>
        <v>-1.4031093999999997E-4</v>
      </c>
      <c r="J27" s="6">
        <v>1</v>
      </c>
      <c r="K27">
        <v>1</v>
      </c>
      <c r="L27" t="b">
        <f>$K$27*$C$27&gt;0</f>
        <v>0</v>
      </c>
      <c r="N27" s="3"/>
    </row>
    <row r="28" spans="1:14" x14ac:dyDescent="0.45">
      <c r="A28" s="3">
        <v>42410</v>
      </c>
      <c r="B28">
        <v>14.965</v>
      </c>
      <c r="C28">
        <v>1.4576271186440559E-2</v>
      </c>
      <c r="D28">
        <v>4061.2</v>
      </c>
      <c r="E28">
        <v>1.5924793748155031E-2</v>
      </c>
      <c r="F28">
        <v>172.10400000000001</v>
      </c>
      <c r="G28">
        <f t="shared" si="0"/>
        <v>1.5281457723235192E-3</v>
      </c>
      <c r="H28">
        <v>7.2043767099999999E-3</v>
      </c>
      <c r="I28">
        <f t="shared" si="1"/>
        <v>2.4305836000000029E-4</v>
      </c>
      <c r="J28" s="6">
        <v>1</v>
      </c>
      <c r="K28">
        <v>1</v>
      </c>
      <c r="L28" t="b">
        <f>$K$28*$C$28&gt;0</f>
        <v>1</v>
      </c>
      <c r="N28" s="3"/>
    </row>
    <row r="29" spans="1:14" x14ac:dyDescent="0.45">
      <c r="A29" s="3">
        <v>42411</v>
      </c>
      <c r="B29">
        <v>14.64</v>
      </c>
      <c r="C29">
        <v>-2.1717340461075763E-2</v>
      </c>
      <c r="D29">
        <v>3896.71</v>
      </c>
      <c r="E29">
        <v>-4.0502807052102741E-2</v>
      </c>
      <c r="F29">
        <v>173.33349999999999</v>
      </c>
      <c r="G29">
        <f t="shared" si="0"/>
        <v>-7.0932624103244857E-3</v>
      </c>
      <c r="H29">
        <v>7.5398046599999997E-3</v>
      </c>
      <c r="I29">
        <f t="shared" si="1"/>
        <v>-3.3542794999999979E-4</v>
      </c>
      <c r="J29" s="6">
        <v>1</v>
      </c>
      <c r="K29">
        <v>1</v>
      </c>
      <c r="L29" t="b">
        <f>$K$29*$C$29&gt;0</f>
        <v>0</v>
      </c>
      <c r="N29" s="3"/>
    </row>
    <row r="30" spans="1:14" x14ac:dyDescent="0.45">
      <c r="A30" s="3">
        <v>42412</v>
      </c>
      <c r="B30">
        <v>14.895</v>
      </c>
      <c r="C30">
        <v>1.741803278688514E-2</v>
      </c>
      <c r="D30">
        <v>3995.06</v>
      </c>
      <c r="E30">
        <v>2.5239240282186826E-2</v>
      </c>
      <c r="F30">
        <v>171.934</v>
      </c>
      <c r="G30">
        <f t="shared" si="0"/>
        <v>8.1397512999172861E-3</v>
      </c>
      <c r="H30">
        <v>7.4380613900000003E-3</v>
      </c>
      <c r="I30">
        <f t="shared" si="1"/>
        <v>1.0174326999999941E-4</v>
      </c>
      <c r="J30" s="6">
        <v>1</v>
      </c>
      <c r="K30">
        <v>1</v>
      </c>
      <c r="L30" t="b">
        <f>$K$30*$C$30&gt;0</f>
        <v>1</v>
      </c>
      <c r="N30" s="3"/>
    </row>
    <row r="31" spans="1:14" x14ac:dyDescent="0.45">
      <c r="A31" s="3">
        <v>42415</v>
      </c>
      <c r="B31">
        <v>15.36</v>
      </c>
      <c r="C31">
        <v>3.1218529707955689E-2</v>
      </c>
      <c r="D31">
        <v>4115.25</v>
      </c>
      <c r="E31">
        <v>3.0084654548367284E-2</v>
      </c>
      <c r="F31">
        <v>172.2</v>
      </c>
      <c r="G31">
        <f t="shared" si="0"/>
        <v>-1.5447154471543989E-3</v>
      </c>
      <c r="H31">
        <v>7.2543048799999996E-3</v>
      </c>
      <c r="I31">
        <f t="shared" si="1"/>
        <v>1.8375651000000076E-4</v>
      </c>
      <c r="J31" s="6">
        <v>1</v>
      </c>
      <c r="K31">
        <v>1</v>
      </c>
      <c r="L31" t="b">
        <f>$K$31*$C$31&gt;0</f>
        <v>1</v>
      </c>
      <c r="N31" s="3"/>
    </row>
    <row r="32" spans="1:14" x14ac:dyDescent="0.45">
      <c r="A32" s="3">
        <v>42416</v>
      </c>
      <c r="B32">
        <v>15.38</v>
      </c>
      <c r="C32">
        <v>1.3020833333334814E-3</v>
      </c>
      <c r="D32">
        <v>4110.66</v>
      </c>
      <c r="E32">
        <v>-1.1153635866594236E-3</v>
      </c>
      <c r="F32">
        <v>171.25299999999999</v>
      </c>
      <c r="G32">
        <f t="shared" si="0"/>
        <v>5.529830134362701E-3</v>
      </c>
      <c r="H32">
        <v>7.0762048500000001E-3</v>
      </c>
      <c r="I32">
        <f t="shared" si="1"/>
        <v>1.7810002999999949E-4</v>
      </c>
      <c r="J32" s="6">
        <v>1</v>
      </c>
      <c r="K32">
        <v>1</v>
      </c>
      <c r="L32" t="b">
        <f>$K$32*$C$32&gt;0</f>
        <v>1</v>
      </c>
      <c r="N32" s="3"/>
    </row>
    <row r="33" spans="1:14" x14ac:dyDescent="0.45">
      <c r="A33" s="3">
        <v>42417</v>
      </c>
      <c r="B33">
        <v>15.71</v>
      </c>
      <c r="C33">
        <v>2.1456436931079237E-2</v>
      </c>
      <c r="D33">
        <v>4233.47</v>
      </c>
      <c r="E33">
        <v>2.9875980986021844E-2</v>
      </c>
      <c r="F33">
        <v>171.143</v>
      </c>
      <c r="G33">
        <f t="shared" si="0"/>
        <v>6.4273735998532366E-4</v>
      </c>
      <c r="H33">
        <v>6.9190927099999997E-3</v>
      </c>
      <c r="I33">
        <f t="shared" si="1"/>
        <v>1.5711214000000036E-4</v>
      </c>
      <c r="J33" s="6">
        <v>1</v>
      </c>
      <c r="K33">
        <v>1</v>
      </c>
      <c r="L33" t="b">
        <f>$K$33*$C$33&gt;0</f>
        <v>1</v>
      </c>
      <c r="N33" s="3"/>
    </row>
    <row r="34" spans="1:14" x14ac:dyDescent="0.45">
      <c r="A34" s="3">
        <v>42418</v>
      </c>
      <c r="B34">
        <v>15.99</v>
      </c>
      <c r="C34">
        <v>1.7823042647994836E-2</v>
      </c>
      <c r="D34">
        <v>4239.76</v>
      </c>
      <c r="E34">
        <v>1.485778805566218E-3</v>
      </c>
      <c r="F34">
        <v>172.11</v>
      </c>
      <c r="G34">
        <f t="shared" si="0"/>
        <v>-5.6184997966417516E-3</v>
      </c>
      <c r="H34">
        <v>6.7124713099999999E-3</v>
      </c>
      <c r="I34">
        <f t="shared" si="1"/>
        <v>2.0662139999999985E-4</v>
      </c>
      <c r="J34" s="6">
        <v>1</v>
      </c>
      <c r="K34">
        <v>1</v>
      </c>
      <c r="L34" t="b">
        <f>$K$34*$C$34&gt;0</f>
        <v>1</v>
      </c>
      <c r="N34" s="3"/>
    </row>
    <row r="35" spans="1:14" x14ac:dyDescent="0.45">
      <c r="A35" s="3">
        <v>42419</v>
      </c>
      <c r="B35">
        <v>15.94</v>
      </c>
      <c r="C35">
        <v>-3.1269543464665928E-3</v>
      </c>
      <c r="D35">
        <v>4223.04</v>
      </c>
      <c r="E35">
        <v>-3.9436194501576427E-3</v>
      </c>
      <c r="F35">
        <v>172.33850000000001</v>
      </c>
      <c r="G35">
        <f t="shared" si="0"/>
        <v>-1.3258790113642727E-3</v>
      </c>
      <c r="H35">
        <v>6.8523700399999998E-3</v>
      </c>
      <c r="I35">
        <f t="shared" si="1"/>
        <v>-1.3989872999999996E-4</v>
      </c>
      <c r="J35" s="6">
        <v>1</v>
      </c>
      <c r="K35">
        <v>1</v>
      </c>
      <c r="L35" t="b">
        <f>$K$35*$C$35&gt;0</f>
        <v>0</v>
      </c>
      <c r="N35" s="3"/>
    </row>
    <row r="36" spans="1:14" x14ac:dyDescent="0.45">
      <c r="A36" s="3">
        <v>42422</v>
      </c>
      <c r="B36">
        <v>16.329999999999998</v>
      </c>
      <c r="C36">
        <v>2.4466750313676178E-2</v>
      </c>
      <c r="D36">
        <v>4298.7</v>
      </c>
      <c r="E36">
        <v>1.7916003637190148E-2</v>
      </c>
      <c r="F36">
        <v>172.95500000000001</v>
      </c>
      <c r="G36">
        <f t="shared" si="0"/>
        <v>-3.5645109999711266E-3</v>
      </c>
      <c r="H36">
        <v>6.7201308199999997E-3</v>
      </c>
      <c r="I36">
        <f t="shared" si="1"/>
        <v>1.3223922000000013E-4</v>
      </c>
      <c r="J36" s="6">
        <v>1</v>
      </c>
      <c r="K36">
        <v>1</v>
      </c>
      <c r="L36" t="b">
        <f>$K$36*$C$36&gt;0</f>
        <v>1</v>
      </c>
      <c r="N36" s="3"/>
    </row>
    <row r="37" spans="1:14" x14ac:dyDescent="0.45">
      <c r="A37" s="3">
        <v>42423</v>
      </c>
      <c r="B37">
        <v>15.984999999999999</v>
      </c>
      <c r="C37">
        <v>-2.1126760563380254E-2</v>
      </c>
      <c r="D37">
        <v>4238.42</v>
      </c>
      <c r="E37">
        <v>-1.4022844115662791E-2</v>
      </c>
      <c r="F37">
        <v>172.9195</v>
      </c>
      <c r="G37">
        <f t="shared" si="0"/>
        <v>2.0529784090284053E-4</v>
      </c>
      <c r="H37">
        <v>6.6851322199999999E-3</v>
      </c>
      <c r="I37">
        <f t="shared" si="1"/>
        <v>3.4998599999999831E-5</v>
      </c>
      <c r="J37" s="6">
        <v>1</v>
      </c>
      <c r="K37">
        <v>1</v>
      </c>
      <c r="L37" t="b">
        <f>$K$37*$C$37&gt;0</f>
        <v>0</v>
      </c>
      <c r="N37" s="3"/>
    </row>
    <row r="38" spans="1:14" x14ac:dyDescent="0.45">
      <c r="A38" s="3">
        <v>42424</v>
      </c>
      <c r="B38">
        <v>15.555</v>
      </c>
      <c r="C38">
        <v>-2.6900218955270505E-2</v>
      </c>
      <c r="D38">
        <v>4155.34</v>
      </c>
      <c r="E38">
        <v>-1.9601644008852337E-2</v>
      </c>
      <c r="F38">
        <v>173.6695</v>
      </c>
      <c r="G38">
        <f t="shared" si="0"/>
        <v>-4.3185475860758604E-3</v>
      </c>
      <c r="H38">
        <v>6.8813947500000004E-3</v>
      </c>
      <c r="I38">
        <f t="shared" si="1"/>
        <v>-1.9626253000000048E-4</v>
      </c>
      <c r="J38" s="6">
        <v>1</v>
      </c>
      <c r="K38">
        <v>1</v>
      </c>
      <c r="L38" t="b">
        <f>$K$38*$C$38&gt;0</f>
        <v>0</v>
      </c>
      <c r="N38" s="3"/>
    </row>
    <row r="39" spans="1:14" x14ac:dyDescent="0.45">
      <c r="A39" s="3">
        <v>42425</v>
      </c>
      <c r="B39">
        <v>15.91</v>
      </c>
      <c r="C39">
        <v>2.2822243651559049E-2</v>
      </c>
      <c r="D39">
        <v>4248.45</v>
      </c>
      <c r="E39">
        <v>2.2407312037041383E-2</v>
      </c>
      <c r="F39">
        <v>173.72049999999999</v>
      </c>
      <c r="G39">
        <f t="shared" si="0"/>
        <v>-2.9357502424864901E-4</v>
      </c>
      <c r="H39">
        <v>6.8570641699999997E-3</v>
      </c>
      <c r="I39">
        <f t="shared" si="1"/>
        <v>2.4330580000000643E-5</v>
      </c>
      <c r="J39" s="6">
        <v>1</v>
      </c>
      <c r="K39">
        <v>1</v>
      </c>
      <c r="L39" t="b">
        <f>$K$39*$C$39&gt;0</f>
        <v>1</v>
      </c>
      <c r="N39" s="3"/>
    </row>
    <row r="40" spans="1:14" x14ac:dyDescent="0.45">
      <c r="A40" s="3">
        <v>42426</v>
      </c>
      <c r="B40">
        <v>15.81</v>
      </c>
      <c r="C40">
        <v>-6.2853551225644511E-3</v>
      </c>
      <c r="D40">
        <v>4314.57</v>
      </c>
      <c r="E40">
        <v>1.5563323094304859E-2</v>
      </c>
      <c r="F40">
        <v>173.43950000000001</v>
      </c>
      <c r="G40">
        <f t="shared" si="0"/>
        <v>1.6201614972366496E-3</v>
      </c>
      <c r="H40">
        <v>6.6629484000000003E-3</v>
      </c>
      <c r="I40">
        <f t="shared" si="1"/>
        <v>1.9411576999999944E-4</v>
      </c>
      <c r="J40" s="6">
        <v>1</v>
      </c>
      <c r="K40">
        <v>1</v>
      </c>
      <c r="L40" t="b">
        <f>$K$40*$C$40&gt;0</f>
        <v>0</v>
      </c>
      <c r="N40" s="3"/>
    </row>
    <row r="41" spans="1:14" x14ac:dyDescent="0.45">
      <c r="A41" s="3">
        <v>42429</v>
      </c>
      <c r="B41">
        <v>16.015000000000001</v>
      </c>
      <c r="C41">
        <v>1.2966476913345959E-2</v>
      </c>
      <c r="D41">
        <v>4353.55</v>
      </c>
      <c r="E41">
        <v>9.0345040177817193E-3</v>
      </c>
      <c r="F41">
        <v>173.87649999999999</v>
      </c>
      <c r="G41">
        <f t="shared" si="0"/>
        <v>-2.5132781025611894E-3</v>
      </c>
      <c r="H41">
        <v>6.6875593299999996E-3</v>
      </c>
      <c r="I41">
        <f t="shared" si="1"/>
        <v>-2.4610929999999316E-5</v>
      </c>
      <c r="J41" s="6">
        <v>1</v>
      </c>
      <c r="K41">
        <v>1</v>
      </c>
      <c r="L41" t="b">
        <f>$K$41*$C$41&gt;0</f>
        <v>1</v>
      </c>
      <c r="N41" s="3"/>
    </row>
    <row r="42" spans="1:14" x14ac:dyDescent="0.45">
      <c r="A42" s="3">
        <v>42430</v>
      </c>
      <c r="B42">
        <v>16.16</v>
      </c>
      <c r="C42">
        <v>9.0540118638775535E-3</v>
      </c>
      <c r="D42">
        <v>4406.84</v>
      </c>
      <c r="E42">
        <v>1.2240585269492676E-2</v>
      </c>
      <c r="F42">
        <v>172.86949999999999</v>
      </c>
      <c r="G42">
        <f t="shared" si="0"/>
        <v>5.8252034048806856E-3</v>
      </c>
      <c r="H42">
        <v>6.3191835800000002E-3</v>
      </c>
      <c r="I42">
        <f t="shared" si="1"/>
        <v>3.6837574999999938E-4</v>
      </c>
      <c r="J42" s="6">
        <v>1</v>
      </c>
      <c r="K42">
        <v>1</v>
      </c>
      <c r="L42" t="b">
        <f>$K$42*$C$42&gt;0</f>
        <v>1</v>
      </c>
      <c r="N42" s="3"/>
    </row>
    <row r="43" spans="1:14" x14ac:dyDescent="0.45">
      <c r="A43" s="3">
        <v>42431</v>
      </c>
      <c r="B43">
        <v>16.035</v>
      </c>
      <c r="C43">
        <v>-7.7351485148514643E-3</v>
      </c>
      <c r="D43">
        <v>4424.8900000000003</v>
      </c>
      <c r="E43">
        <v>4.0959054560638641E-3</v>
      </c>
      <c r="F43">
        <v>171.51150000000001</v>
      </c>
      <c r="G43">
        <f t="shared" si="0"/>
        <v>7.9178364133016821E-3</v>
      </c>
      <c r="H43">
        <v>6.1575816399999997E-3</v>
      </c>
      <c r="I43">
        <f t="shared" si="1"/>
        <v>1.6160194000000051E-4</v>
      </c>
      <c r="J43" s="6">
        <v>1</v>
      </c>
      <c r="K43">
        <v>1</v>
      </c>
      <c r="L43" t="b">
        <f>$K$43*$C$43&gt;0</f>
        <v>0</v>
      </c>
      <c r="N43" s="3"/>
    </row>
    <row r="44" spans="1:14" x14ac:dyDescent="0.45">
      <c r="A44" s="3">
        <v>42432</v>
      </c>
      <c r="B44">
        <v>15.95</v>
      </c>
      <c r="C44">
        <v>-5.3009042719052157E-3</v>
      </c>
      <c r="D44">
        <v>4416.08</v>
      </c>
      <c r="E44">
        <v>-1.9910099460100916E-3</v>
      </c>
      <c r="F44">
        <v>172.23349999999999</v>
      </c>
      <c r="G44">
        <f t="shared" si="0"/>
        <v>-4.1919835572056252E-3</v>
      </c>
      <c r="H44">
        <v>6.09259003E-3</v>
      </c>
      <c r="I44">
        <f t="shared" si="1"/>
        <v>6.4991609999999651E-5</v>
      </c>
      <c r="J44" s="6">
        <v>1</v>
      </c>
      <c r="K44">
        <v>1</v>
      </c>
      <c r="L44" t="b">
        <f>$K$44*$C$44&gt;0</f>
        <v>0</v>
      </c>
      <c r="N44" s="3"/>
    </row>
    <row r="45" spans="1:14" x14ac:dyDescent="0.45">
      <c r="A45" s="3">
        <v>42433</v>
      </c>
      <c r="B45">
        <v>15.9</v>
      </c>
      <c r="C45">
        <v>-3.1347962382444194E-3</v>
      </c>
      <c r="D45">
        <v>4456.62</v>
      </c>
      <c r="E45">
        <v>9.1800873172587227E-3</v>
      </c>
      <c r="F45">
        <v>171.26150000000001</v>
      </c>
      <c r="G45">
        <f t="shared" si="0"/>
        <v>5.6755312781913148E-3</v>
      </c>
      <c r="H45">
        <v>6.0218809200000001E-3</v>
      </c>
      <c r="I45">
        <f t="shared" si="1"/>
        <v>7.0709109999999957E-5</v>
      </c>
      <c r="J45" s="6">
        <v>1</v>
      </c>
      <c r="K45">
        <v>1</v>
      </c>
      <c r="L45" t="b">
        <f>$K$45*$C$45&gt;0</f>
        <v>0</v>
      </c>
      <c r="N45" s="3"/>
    </row>
    <row r="46" spans="1:14" x14ac:dyDescent="0.45">
      <c r="A46" s="3">
        <v>42436</v>
      </c>
      <c r="B46">
        <v>15.765000000000001</v>
      </c>
      <c r="C46">
        <v>-8.4905660377357917E-3</v>
      </c>
      <c r="D46">
        <v>4442.29</v>
      </c>
      <c r="E46">
        <v>-3.2154412985625491E-3</v>
      </c>
      <c r="F46">
        <v>171.16499999999999</v>
      </c>
      <c r="G46">
        <f t="shared" si="0"/>
        <v>5.6378348377306153E-4</v>
      </c>
      <c r="H46">
        <v>5.9825711200000003E-3</v>
      </c>
      <c r="I46">
        <f t="shared" si="1"/>
        <v>3.9309799999999798E-5</v>
      </c>
      <c r="J46" s="6">
        <v>1</v>
      </c>
      <c r="K46">
        <v>1</v>
      </c>
      <c r="L46" t="b">
        <f>$K$46*$C$46&gt;0</f>
        <v>0</v>
      </c>
      <c r="N46" s="3"/>
    </row>
    <row r="47" spans="1:14" x14ac:dyDescent="0.45">
      <c r="A47" s="3">
        <v>42437</v>
      </c>
      <c r="B47">
        <v>15.72</v>
      </c>
      <c r="C47">
        <v>-2.8544243577545148E-3</v>
      </c>
      <c r="D47">
        <v>4404.0200000000004</v>
      </c>
      <c r="E47">
        <v>-8.6149260854198051E-3</v>
      </c>
      <c r="F47">
        <v>172.09200000000001</v>
      </c>
      <c r="G47">
        <f t="shared" si="0"/>
        <v>-5.3866536503731632E-3</v>
      </c>
      <c r="H47">
        <v>5.9755855999999996E-3</v>
      </c>
      <c r="I47">
        <f t="shared" si="1"/>
        <v>6.9855200000006751E-6</v>
      </c>
      <c r="J47" s="6">
        <v>1</v>
      </c>
      <c r="K47">
        <v>1</v>
      </c>
      <c r="L47" t="b">
        <f>$K$47*$C$47&gt;0</f>
        <v>0</v>
      </c>
      <c r="N47" s="3"/>
    </row>
    <row r="48" spans="1:14" x14ac:dyDescent="0.45">
      <c r="A48" s="3">
        <v>42438</v>
      </c>
      <c r="B48">
        <v>15.955</v>
      </c>
      <c r="C48">
        <v>1.4949109414758244E-2</v>
      </c>
      <c r="D48">
        <v>4425.6499999999996</v>
      </c>
      <c r="E48">
        <v>4.9114218373211838E-3</v>
      </c>
      <c r="F48">
        <v>171.07849999999999</v>
      </c>
      <c r="G48">
        <f t="shared" si="0"/>
        <v>5.9241810046266608E-3</v>
      </c>
      <c r="H48">
        <v>6.1366364000000001E-3</v>
      </c>
      <c r="I48">
        <f t="shared" si="1"/>
        <v>-1.6105080000000053E-4</v>
      </c>
      <c r="J48" s="6">
        <v>1</v>
      </c>
      <c r="K48">
        <v>1</v>
      </c>
      <c r="L48" t="b">
        <f>$K$48*$C$48&gt;0</f>
        <v>1</v>
      </c>
      <c r="N48" s="3"/>
    </row>
    <row r="49" spans="1:14" x14ac:dyDescent="0.45">
      <c r="A49" s="3">
        <v>42439</v>
      </c>
      <c r="B49">
        <v>15.74</v>
      </c>
      <c r="C49">
        <v>-1.3475399561266088E-2</v>
      </c>
      <c r="D49">
        <v>4350.3500000000004</v>
      </c>
      <c r="E49">
        <v>-1.7014449854823477E-2</v>
      </c>
      <c r="F49">
        <v>170.5025</v>
      </c>
      <c r="G49">
        <f t="shared" si="0"/>
        <v>3.3782495857832551E-3</v>
      </c>
      <c r="H49">
        <v>5.7766733799999997E-3</v>
      </c>
      <c r="I49">
        <f t="shared" si="1"/>
        <v>3.5996302000000039E-4</v>
      </c>
      <c r="J49" s="6">
        <v>1</v>
      </c>
      <c r="K49">
        <v>1</v>
      </c>
      <c r="L49" t="b">
        <f>$K$49*$C$49&gt;0</f>
        <v>0</v>
      </c>
      <c r="N49" s="3"/>
    </row>
    <row r="50" spans="1:14" x14ac:dyDescent="0.45">
      <c r="A50" s="3">
        <v>42440</v>
      </c>
      <c r="B50">
        <v>16.445</v>
      </c>
      <c r="C50">
        <v>4.479034307496832E-2</v>
      </c>
      <c r="D50">
        <v>4492.79</v>
      </c>
      <c r="E50">
        <v>3.2742193156872323E-2</v>
      </c>
      <c r="F50">
        <v>172.166</v>
      </c>
      <c r="G50">
        <f t="shared" si="0"/>
        <v>-9.6621864944297364E-3</v>
      </c>
      <c r="H50">
        <v>5.0781726499999997E-3</v>
      </c>
      <c r="I50">
        <f t="shared" si="1"/>
        <v>6.9850073000000002E-4</v>
      </c>
      <c r="J50" s="6">
        <v>1</v>
      </c>
      <c r="K50">
        <v>1</v>
      </c>
      <c r="L50" t="b">
        <f>$K$50*$C$50&gt;0</f>
        <v>1</v>
      </c>
      <c r="N50" s="3"/>
    </row>
    <row r="51" spans="1:14" x14ac:dyDescent="0.45">
      <c r="A51" s="3">
        <v>42443</v>
      </c>
      <c r="B51">
        <v>16.445</v>
      </c>
      <c r="C51">
        <v>0</v>
      </c>
      <c r="D51">
        <v>4506.59</v>
      </c>
      <c r="E51">
        <v>3.0715880332712331E-3</v>
      </c>
      <c r="F51">
        <v>173.2405</v>
      </c>
      <c r="G51">
        <f t="shared" si="0"/>
        <v>-6.2023603025851415E-3</v>
      </c>
      <c r="H51">
        <v>4.8828022200000003E-3</v>
      </c>
      <c r="I51">
        <f t="shared" si="1"/>
        <v>1.9537042999999941E-4</v>
      </c>
      <c r="J51" s="6">
        <v>1</v>
      </c>
      <c r="K51">
        <v>1</v>
      </c>
      <c r="L51" t="b">
        <f>$K$51*$C$51&gt;0</f>
        <v>0</v>
      </c>
      <c r="N51" s="3"/>
    </row>
    <row r="52" spans="1:14" x14ac:dyDescent="0.45">
      <c r="A52" s="3">
        <v>42444</v>
      </c>
      <c r="B52">
        <v>16.3</v>
      </c>
      <c r="C52">
        <v>-8.8172696868348277E-3</v>
      </c>
      <c r="D52">
        <v>4472.63</v>
      </c>
      <c r="E52">
        <v>-7.5356311534885423E-3</v>
      </c>
      <c r="F52">
        <v>172.54400000000001</v>
      </c>
      <c r="G52">
        <f t="shared" si="0"/>
        <v>4.0366515207714837E-3</v>
      </c>
      <c r="H52">
        <v>5.2157960099999999E-3</v>
      </c>
      <c r="I52">
        <f t="shared" si="1"/>
        <v>-3.3299378999999962E-4</v>
      </c>
      <c r="J52" s="6">
        <v>1</v>
      </c>
      <c r="K52">
        <v>1</v>
      </c>
      <c r="L52" t="b">
        <f>$K$52*$C$52&gt;0</f>
        <v>0</v>
      </c>
      <c r="N52" s="3"/>
    </row>
    <row r="53" spans="1:14" x14ac:dyDescent="0.45">
      <c r="A53" s="3">
        <v>42445</v>
      </c>
      <c r="B53">
        <v>16.295000000000002</v>
      </c>
      <c r="C53">
        <v>-3.0674846625755592E-4</v>
      </c>
      <c r="D53">
        <v>4463</v>
      </c>
      <c r="E53">
        <v>-2.1530956059410133E-3</v>
      </c>
      <c r="F53">
        <v>172.536</v>
      </c>
      <c r="G53">
        <f t="shared" si="0"/>
        <v>4.6367134974856228E-5</v>
      </c>
      <c r="H53">
        <v>5.4528664599999997E-3</v>
      </c>
      <c r="I53">
        <f t="shared" si="1"/>
        <v>-2.3707044999999975E-4</v>
      </c>
      <c r="J53" s="6">
        <v>1</v>
      </c>
      <c r="K53">
        <v>1</v>
      </c>
      <c r="L53" t="b">
        <f>$K$53*$C$53&gt;0</f>
        <v>0</v>
      </c>
      <c r="N53" s="3"/>
    </row>
    <row r="54" spans="1:14" x14ac:dyDescent="0.45">
      <c r="A54" s="3">
        <v>42446</v>
      </c>
      <c r="B54">
        <v>15.824999999999999</v>
      </c>
      <c r="C54">
        <v>-2.8843203436637155E-2</v>
      </c>
      <c r="D54">
        <v>4442.8900000000003</v>
      </c>
      <c r="E54">
        <v>-4.5059377100604703E-3</v>
      </c>
      <c r="F54">
        <v>174.35749999999999</v>
      </c>
      <c r="G54">
        <f t="shared" si="0"/>
        <v>-1.0446926573276061E-2</v>
      </c>
      <c r="H54">
        <v>5.5085439100000001E-3</v>
      </c>
      <c r="I54">
        <f t="shared" si="1"/>
        <v>-5.567745000000044E-5</v>
      </c>
      <c r="J54" s="6">
        <v>1</v>
      </c>
      <c r="K54">
        <v>1</v>
      </c>
      <c r="L54" t="b">
        <f>$K$54*$C$54&gt;0</f>
        <v>0</v>
      </c>
      <c r="N54" s="3"/>
    </row>
    <row r="55" spans="1:14" x14ac:dyDescent="0.45">
      <c r="A55" s="3">
        <v>42447</v>
      </c>
      <c r="B55">
        <v>15.53</v>
      </c>
      <c r="C55">
        <v>-1.8641390205371255E-2</v>
      </c>
      <c r="D55">
        <v>4462.51</v>
      </c>
      <c r="E55">
        <v>4.4160445115679625E-3</v>
      </c>
      <c r="F55">
        <v>174.96799999999999</v>
      </c>
      <c r="G55">
        <f t="shared" si="0"/>
        <v>-3.4892094554432873E-3</v>
      </c>
      <c r="H55">
        <v>5.4875113799999998E-3</v>
      </c>
      <c r="I55">
        <f t="shared" si="1"/>
        <v>2.1032530000000306E-5</v>
      </c>
      <c r="J55" s="6">
        <v>1</v>
      </c>
      <c r="K55">
        <v>1</v>
      </c>
      <c r="L55" t="b">
        <f>$K$55*$C$55&gt;0</f>
        <v>0</v>
      </c>
      <c r="N55" s="3"/>
    </row>
    <row r="56" spans="1:14" x14ac:dyDescent="0.45">
      <c r="A56" s="3">
        <v>42450</v>
      </c>
      <c r="B56">
        <v>15.51</v>
      </c>
      <c r="C56">
        <v>-1.2878300064391723E-3</v>
      </c>
      <c r="D56">
        <v>4427.8</v>
      </c>
      <c r="E56">
        <v>-7.7781338305124015E-3</v>
      </c>
      <c r="F56">
        <v>174.54400000000001</v>
      </c>
      <c r="G56">
        <f t="shared" si="0"/>
        <v>2.4291869098906904E-3</v>
      </c>
      <c r="H56">
        <v>6.1318920299999998E-3</v>
      </c>
      <c r="I56">
        <f t="shared" si="1"/>
        <v>-6.4438064999999996E-4</v>
      </c>
      <c r="J56" s="6">
        <v>1</v>
      </c>
      <c r="K56">
        <v>1</v>
      </c>
      <c r="L56" t="b">
        <f>$K$56*$C$56&gt;0</f>
        <v>0</v>
      </c>
      <c r="N56" s="3"/>
    </row>
    <row r="57" spans="1:14" x14ac:dyDescent="0.45">
      <c r="A57" s="3">
        <v>42451</v>
      </c>
      <c r="B57">
        <v>15.615</v>
      </c>
      <c r="C57">
        <v>6.7698259187620735E-3</v>
      </c>
      <c r="D57">
        <v>4431.97</v>
      </c>
      <c r="E57">
        <v>9.4177695469532807E-4</v>
      </c>
      <c r="F57">
        <v>175.11699999999999</v>
      </c>
      <c r="G57">
        <f t="shared" si="0"/>
        <v>-3.272098082995778E-3</v>
      </c>
      <c r="H57">
        <v>6.2447816499999996E-3</v>
      </c>
      <c r="I57">
        <f t="shared" si="1"/>
        <v>-1.1288961999999982E-4</v>
      </c>
      <c r="J57" s="6">
        <v>1</v>
      </c>
      <c r="K57">
        <v>1</v>
      </c>
      <c r="L57" t="b">
        <f>$K$57*$C$57&gt;0</f>
        <v>1</v>
      </c>
      <c r="N57" s="3"/>
    </row>
    <row r="58" spans="1:14" x14ac:dyDescent="0.45">
      <c r="A58" s="3">
        <v>42452</v>
      </c>
      <c r="B58">
        <v>15.705</v>
      </c>
      <c r="C58">
        <v>5.7636887608070175E-3</v>
      </c>
      <c r="D58">
        <v>4423.9799999999996</v>
      </c>
      <c r="E58">
        <v>-1.8028100370717226E-3</v>
      </c>
      <c r="F58">
        <v>175.29</v>
      </c>
      <c r="G58">
        <f t="shared" si="0"/>
        <v>-9.8693593473675456E-4</v>
      </c>
      <c r="H58">
        <v>6.3515453800000003E-3</v>
      </c>
      <c r="I58">
        <f t="shared" si="1"/>
        <v>-1.0676373000000072E-4</v>
      </c>
      <c r="J58" s="6">
        <v>1</v>
      </c>
      <c r="K58">
        <v>1</v>
      </c>
      <c r="L58" t="b">
        <f>$K$58*$C$58&gt;0</f>
        <v>1</v>
      </c>
      <c r="N58" s="3"/>
    </row>
    <row r="59" spans="1:14" x14ac:dyDescent="0.45">
      <c r="A59" s="3">
        <v>42453</v>
      </c>
      <c r="B59">
        <v>15.414999999999999</v>
      </c>
      <c r="C59">
        <v>-1.846545686087242E-2</v>
      </c>
      <c r="D59">
        <v>4329.68</v>
      </c>
      <c r="E59">
        <v>-2.1315647900758905E-2</v>
      </c>
      <c r="F59">
        <v>175.69450000000001</v>
      </c>
      <c r="G59">
        <f t="shared" si="0"/>
        <v>-2.3022917621212668E-3</v>
      </c>
      <c r="H59">
        <v>6.6035993300000003E-3</v>
      </c>
      <c r="I59">
        <f t="shared" si="1"/>
        <v>-2.5205395000000002E-4</v>
      </c>
      <c r="J59" s="6">
        <v>1</v>
      </c>
      <c r="K59">
        <v>1</v>
      </c>
      <c r="L59" t="b">
        <f>$K$59*$C$59&gt;0</f>
        <v>0</v>
      </c>
      <c r="N59" s="3"/>
    </row>
    <row r="60" spans="1:14" x14ac:dyDescent="0.45">
      <c r="A60" s="3">
        <v>42458</v>
      </c>
      <c r="B60">
        <v>15.595000000000001</v>
      </c>
      <c r="C60">
        <v>1.1676938047356478E-2</v>
      </c>
      <c r="D60">
        <v>4366.67</v>
      </c>
      <c r="E60">
        <v>8.5433565529091648E-3</v>
      </c>
      <c r="F60">
        <v>176.82300000000001</v>
      </c>
      <c r="G60">
        <f t="shared" si="0"/>
        <v>-6.3820883029922504E-3</v>
      </c>
      <c r="H60">
        <v>6.8458974899999999E-3</v>
      </c>
      <c r="I60">
        <f t="shared" si="1"/>
        <v>-2.4229815999999953E-4</v>
      </c>
      <c r="J60" s="6">
        <v>1</v>
      </c>
      <c r="K60">
        <v>1</v>
      </c>
      <c r="L60" t="b">
        <f>$K$60*$C$60&gt;0</f>
        <v>1</v>
      </c>
      <c r="N60" s="3"/>
    </row>
    <row r="61" spans="1:14" x14ac:dyDescent="0.45">
      <c r="A61" s="3">
        <v>42459</v>
      </c>
      <c r="B61">
        <v>15.59</v>
      </c>
      <c r="C61">
        <v>-3.2061558191731621E-4</v>
      </c>
      <c r="D61">
        <v>4444.42</v>
      </c>
      <c r="E61">
        <v>1.7805329919595492E-2</v>
      </c>
      <c r="F61">
        <v>176.43450000000001</v>
      </c>
      <c r="G61">
        <f t="shared" si="0"/>
        <v>2.201950298835964E-3</v>
      </c>
      <c r="H61">
        <v>6.8217847900000003E-3</v>
      </c>
      <c r="I61">
        <f t="shared" si="1"/>
        <v>2.411269999999955E-5</v>
      </c>
      <c r="J61" s="6">
        <v>1</v>
      </c>
      <c r="K61">
        <v>1</v>
      </c>
      <c r="L61" t="b">
        <f>$K$61*$C$61&gt;0</f>
        <v>0</v>
      </c>
      <c r="N61" s="3"/>
    </row>
    <row r="62" spans="1:14" x14ac:dyDescent="0.45">
      <c r="A62" s="3">
        <v>42460</v>
      </c>
      <c r="B62">
        <v>15.395</v>
      </c>
      <c r="C62">
        <v>-1.2508017960230933E-2</v>
      </c>
      <c r="D62">
        <v>4385.0600000000004</v>
      </c>
      <c r="E62">
        <v>-1.335607345840395E-2</v>
      </c>
      <c r="F62">
        <v>176.89449999999999</v>
      </c>
      <c r="G62">
        <f t="shared" si="0"/>
        <v>-2.6004200243646691E-3</v>
      </c>
      <c r="H62">
        <v>6.7861984200000003E-3</v>
      </c>
      <c r="I62">
        <f t="shared" si="1"/>
        <v>3.5586370000000034E-5</v>
      </c>
      <c r="J62" s="6">
        <v>1</v>
      </c>
      <c r="K62">
        <v>1</v>
      </c>
      <c r="L62" t="b">
        <f>$K$62*$C$62&gt;0</f>
        <v>0</v>
      </c>
      <c r="N62" s="3"/>
    </row>
    <row r="63" spans="1:14" x14ac:dyDescent="0.45">
      <c r="A63" s="3">
        <v>42461</v>
      </c>
      <c r="B63">
        <v>15.395</v>
      </c>
      <c r="C63">
        <v>0</v>
      </c>
      <c r="D63">
        <v>4322.24</v>
      </c>
      <c r="E63">
        <v>-1.432591572293207E-2</v>
      </c>
      <c r="F63">
        <v>177.982</v>
      </c>
      <c r="G63">
        <f t="shared" si="0"/>
        <v>-6.1101684440000303E-3</v>
      </c>
      <c r="H63">
        <v>6.8920810500000002E-3</v>
      </c>
      <c r="I63">
        <f t="shared" si="1"/>
        <v>-1.0588262999999994E-4</v>
      </c>
      <c r="J63" s="6">
        <v>1</v>
      </c>
      <c r="K63">
        <v>1</v>
      </c>
      <c r="L63" t="b">
        <f>$K$63*$C$63&gt;0</f>
        <v>0</v>
      </c>
      <c r="N63" s="3"/>
    </row>
    <row r="64" spans="1:14" x14ac:dyDescent="0.45">
      <c r="A64" s="3">
        <v>42464</v>
      </c>
      <c r="B64">
        <v>14.445</v>
      </c>
      <c r="C64">
        <v>-6.170834686586546E-2</v>
      </c>
      <c r="D64">
        <v>4345.22</v>
      </c>
      <c r="E64">
        <v>5.3166876434442845E-3</v>
      </c>
      <c r="F64">
        <v>178.6755</v>
      </c>
      <c r="G64">
        <f t="shared" si="0"/>
        <v>-3.8813379562391281E-3</v>
      </c>
      <c r="H64">
        <v>6.9442307199999997E-3</v>
      </c>
      <c r="I64">
        <f t="shared" si="1"/>
        <v>-5.2149669999999523E-5</v>
      </c>
      <c r="J64" s="6">
        <v>1</v>
      </c>
      <c r="K64">
        <v>1</v>
      </c>
      <c r="L64" t="b">
        <f>$K$64*$C$64&gt;0</f>
        <v>0</v>
      </c>
      <c r="N64" s="3"/>
    </row>
    <row r="65" spans="1:14" x14ac:dyDescent="0.45">
      <c r="A65" s="3">
        <v>42466</v>
      </c>
      <c r="B65">
        <v>14.19</v>
      </c>
      <c r="C65">
        <v>-1.7653167185877505E-2</v>
      </c>
      <c r="D65">
        <v>4284.6400000000003</v>
      </c>
      <c r="E65">
        <v>-1.3941756688959361E-2</v>
      </c>
      <c r="F65">
        <v>179.316</v>
      </c>
      <c r="G65">
        <f t="shared" si="0"/>
        <v>-3.5719065783309523E-3</v>
      </c>
      <c r="H65">
        <v>7.3408856600000001E-3</v>
      </c>
      <c r="I65">
        <f t="shared" si="1"/>
        <v>-3.9665494000000034E-4</v>
      </c>
      <c r="J65" s="6">
        <v>1</v>
      </c>
      <c r="K65">
        <v>1</v>
      </c>
      <c r="L65" t="b">
        <f>$K$65*$C$65&gt;0</f>
        <v>0</v>
      </c>
      <c r="N65" s="3"/>
    </row>
    <row r="66" spans="1:14" x14ac:dyDescent="0.45">
      <c r="A66" s="3">
        <v>42467</v>
      </c>
      <c r="B66">
        <v>14.19</v>
      </c>
      <c r="C66">
        <v>0</v>
      </c>
      <c r="D66">
        <v>4245.91</v>
      </c>
      <c r="E66">
        <v>-9.0392658426380335E-3</v>
      </c>
      <c r="F66">
        <v>180.16849999999999</v>
      </c>
      <c r="G66">
        <f t="shared" si="0"/>
        <v>-4.7316817312681447E-3</v>
      </c>
      <c r="H66">
        <v>7.52093768E-3</v>
      </c>
      <c r="I66">
        <f t="shared" si="1"/>
        <v>-1.8005201999999991E-4</v>
      </c>
      <c r="J66" s="6">
        <v>1</v>
      </c>
      <c r="K66">
        <v>1</v>
      </c>
      <c r="L66" t="b">
        <f>$K$66*$C$66&gt;0</f>
        <v>0</v>
      </c>
      <c r="N66" s="3"/>
    </row>
    <row r="67" spans="1:14" x14ac:dyDescent="0.45">
      <c r="A67" s="3">
        <v>42468</v>
      </c>
      <c r="B67">
        <v>14.23</v>
      </c>
      <c r="C67">
        <v>2.8188865398168783E-3</v>
      </c>
      <c r="D67">
        <v>4303.12</v>
      </c>
      <c r="E67">
        <v>1.3474143352072865E-2</v>
      </c>
      <c r="F67">
        <v>179.85599999999999</v>
      </c>
      <c r="G67">
        <f t="shared" si="0"/>
        <v>1.7375011120006612E-3</v>
      </c>
      <c r="H67">
        <v>7.5019662399999996E-3</v>
      </c>
      <c r="I67">
        <f t="shared" si="1"/>
        <v>1.8971440000000415E-5</v>
      </c>
      <c r="J67" s="6">
        <v>1</v>
      </c>
      <c r="K67">
        <v>1</v>
      </c>
      <c r="L67" t="b">
        <f>$K$67*$C$67&gt;0</f>
        <v>1</v>
      </c>
      <c r="N67" s="3"/>
    </row>
    <row r="68" spans="1:14" x14ac:dyDescent="0.45">
      <c r="A68" s="3">
        <v>42471</v>
      </c>
      <c r="B68">
        <v>14.395</v>
      </c>
      <c r="C68">
        <v>1.159522136331681E-2</v>
      </c>
      <c r="D68">
        <v>4312.63</v>
      </c>
      <c r="E68">
        <v>2.2100243544218579E-3</v>
      </c>
      <c r="F68">
        <v>179.47749999999999</v>
      </c>
      <c r="G68">
        <f t="shared" ref="G68:G131" si="2">F67/F68-1</f>
        <v>2.1088994442199915E-3</v>
      </c>
      <c r="H68">
        <v>7.4521911399999998E-3</v>
      </c>
      <c r="I68">
        <f t="shared" ref="I68:I131" si="3">H67-H68</f>
        <v>4.9775099999999767E-5</v>
      </c>
      <c r="J68" s="6">
        <v>1</v>
      </c>
      <c r="K68">
        <v>1</v>
      </c>
      <c r="L68" t="b">
        <f>$K$68*$C$68&gt;0</f>
        <v>1</v>
      </c>
      <c r="N68" s="3"/>
    </row>
    <row r="69" spans="1:14" x14ac:dyDescent="0.45">
      <c r="A69" s="3">
        <v>42472</v>
      </c>
      <c r="B69">
        <v>14.8</v>
      </c>
      <c r="C69">
        <v>2.8134769017019945E-2</v>
      </c>
      <c r="D69">
        <v>4345.91</v>
      </c>
      <c r="E69">
        <v>7.7168688248236972E-3</v>
      </c>
      <c r="F69">
        <v>178.05600000000001</v>
      </c>
      <c r="G69">
        <f t="shared" si="2"/>
        <v>7.9834434110614971E-3</v>
      </c>
      <c r="H69">
        <v>7.32309564E-3</v>
      </c>
      <c r="I69">
        <f t="shared" si="3"/>
        <v>1.2909549999999981E-4</v>
      </c>
      <c r="J69" s="6">
        <v>1</v>
      </c>
      <c r="K69">
        <v>1</v>
      </c>
      <c r="L69" t="b">
        <f>$K$69*$C$69&gt;0</f>
        <v>1</v>
      </c>
      <c r="N69" s="3"/>
    </row>
    <row r="70" spans="1:14" x14ac:dyDescent="0.45">
      <c r="A70" s="3">
        <v>42473</v>
      </c>
      <c r="B70">
        <v>15.05</v>
      </c>
      <c r="C70">
        <v>1.6891891891891886E-2</v>
      </c>
      <c r="D70">
        <v>4490.3100000000004</v>
      </c>
      <c r="E70">
        <v>3.3226642981562193E-2</v>
      </c>
      <c r="F70">
        <v>179.15600000000001</v>
      </c>
      <c r="G70">
        <f t="shared" si="2"/>
        <v>-6.1399004219785391E-3</v>
      </c>
      <c r="H70">
        <v>7.0547753900000003E-3</v>
      </c>
      <c r="I70">
        <f t="shared" si="3"/>
        <v>2.6832024999999971E-4</v>
      </c>
      <c r="J70" s="6">
        <v>1</v>
      </c>
      <c r="K70">
        <v>1</v>
      </c>
      <c r="L70" t="b">
        <f>$K$70*$C$70&gt;0</f>
        <v>1</v>
      </c>
      <c r="N70" s="3"/>
    </row>
    <row r="71" spans="1:14" x14ac:dyDescent="0.45">
      <c r="A71" s="3">
        <v>42474</v>
      </c>
      <c r="B71">
        <v>15.09</v>
      </c>
      <c r="C71">
        <v>2.6578073089700283E-3</v>
      </c>
      <c r="D71">
        <v>4511.51</v>
      </c>
      <c r="E71">
        <v>4.7212775955334241E-3</v>
      </c>
      <c r="F71">
        <v>178.36500000000001</v>
      </c>
      <c r="G71">
        <f t="shared" si="2"/>
        <v>4.4347265438846595E-3</v>
      </c>
      <c r="H71">
        <v>7.01215543E-3</v>
      </c>
      <c r="I71">
        <f t="shared" si="3"/>
        <v>4.2619960000000318E-5</v>
      </c>
      <c r="J71" s="6">
        <v>1</v>
      </c>
      <c r="K71">
        <v>1</v>
      </c>
      <c r="L71" t="b">
        <f>$K$71*$C$71&gt;0</f>
        <v>1</v>
      </c>
      <c r="N71" s="3"/>
    </row>
    <row r="72" spans="1:14" x14ac:dyDescent="0.45">
      <c r="A72" s="3">
        <v>42475</v>
      </c>
      <c r="B72">
        <v>15.14</v>
      </c>
      <c r="C72">
        <v>3.3134526176277213E-3</v>
      </c>
      <c r="D72">
        <v>4495.17</v>
      </c>
      <c r="E72">
        <v>-3.621847230749875E-3</v>
      </c>
      <c r="F72">
        <v>179.20650000000001</v>
      </c>
      <c r="G72">
        <f t="shared" si="2"/>
        <v>-4.6957002117669067E-3</v>
      </c>
      <c r="H72">
        <v>7.0419111999999997E-3</v>
      </c>
      <c r="I72">
        <f t="shared" si="3"/>
        <v>-2.9755769999999758E-5</v>
      </c>
      <c r="J72" s="6">
        <v>1</v>
      </c>
      <c r="K72">
        <v>1</v>
      </c>
      <c r="L72" t="b">
        <f>$K$72*$C$72&gt;0</f>
        <v>1</v>
      </c>
      <c r="N72" s="3"/>
    </row>
    <row r="73" spans="1:14" x14ac:dyDescent="0.45">
      <c r="A73" s="3">
        <v>42478</v>
      </c>
      <c r="B73">
        <v>15.06</v>
      </c>
      <c r="C73">
        <v>-5.2840158520475189E-3</v>
      </c>
      <c r="D73">
        <v>4506.84</v>
      </c>
      <c r="E73">
        <v>2.5961198352899562E-3</v>
      </c>
      <c r="F73">
        <v>178.44749999999999</v>
      </c>
      <c r="G73">
        <f t="shared" si="2"/>
        <v>4.2533518261673731E-3</v>
      </c>
      <c r="H73">
        <v>7.1353495299999996E-3</v>
      </c>
      <c r="I73">
        <f t="shared" si="3"/>
        <v>-9.3438329999999924E-5</v>
      </c>
      <c r="J73" s="6">
        <v>1</v>
      </c>
      <c r="K73">
        <v>1</v>
      </c>
      <c r="L73" t="b">
        <f>$K$73*$C$73&gt;0</f>
        <v>0</v>
      </c>
      <c r="N73" s="3"/>
    </row>
    <row r="74" spans="1:14" x14ac:dyDescent="0.45">
      <c r="A74" s="3">
        <v>42479</v>
      </c>
      <c r="B74">
        <v>15.23</v>
      </c>
      <c r="C74">
        <v>1.1288180610889764E-2</v>
      </c>
      <c r="D74">
        <v>4566.4799999999996</v>
      </c>
      <c r="E74">
        <v>1.3233218840695393E-2</v>
      </c>
      <c r="F74">
        <v>178.16149999999999</v>
      </c>
      <c r="G74">
        <f t="shared" si="2"/>
        <v>1.6052850924581641E-3</v>
      </c>
      <c r="H74">
        <v>6.94197423E-3</v>
      </c>
      <c r="I74">
        <f t="shared" si="3"/>
        <v>1.9337529999999964E-4</v>
      </c>
      <c r="J74" s="6">
        <v>1</v>
      </c>
      <c r="K74">
        <v>1</v>
      </c>
      <c r="L74" t="b">
        <f>$K$74*$C$74&gt;0</f>
        <v>1</v>
      </c>
      <c r="N74" s="3"/>
    </row>
    <row r="75" spans="1:14" x14ac:dyDescent="0.45">
      <c r="A75" s="3">
        <v>42480</v>
      </c>
      <c r="B75">
        <v>15.175000000000001</v>
      </c>
      <c r="C75">
        <v>-3.6112934996717083E-3</v>
      </c>
      <c r="D75">
        <v>4591.92</v>
      </c>
      <c r="E75">
        <v>5.5710306406686616E-3</v>
      </c>
      <c r="F75">
        <v>178.61600000000001</v>
      </c>
      <c r="G75">
        <f t="shared" si="2"/>
        <v>-2.5445648766069251E-3</v>
      </c>
      <c r="H75">
        <v>6.91192764E-3</v>
      </c>
      <c r="I75">
        <f t="shared" si="3"/>
        <v>3.0046589999999963E-5</v>
      </c>
      <c r="J75" s="6">
        <v>1</v>
      </c>
      <c r="K75">
        <v>1</v>
      </c>
      <c r="L75" t="b">
        <f>$K$75*$C$75&gt;0</f>
        <v>0</v>
      </c>
      <c r="N75" s="3"/>
    </row>
    <row r="76" spans="1:14" x14ac:dyDescent="0.45">
      <c r="A76" s="3">
        <v>42481</v>
      </c>
      <c r="B76">
        <v>14.98</v>
      </c>
      <c r="C76">
        <v>-1.285008237232288E-2</v>
      </c>
      <c r="D76">
        <v>4582.83</v>
      </c>
      <c r="E76">
        <v>-1.9795641039043188E-3</v>
      </c>
      <c r="F76">
        <v>177.49449999999999</v>
      </c>
      <c r="G76">
        <f t="shared" si="2"/>
        <v>6.318505643837069E-3</v>
      </c>
      <c r="H76">
        <v>6.7572862200000004E-3</v>
      </c>
      <c r="I76">
        <f t="shared" si="3"/>
        <v>1.5464141999999969E-4</v>
      </c>
      <c r="J76" s="6">
        <v>1</v>
      </c>
      <c r="K76">
        <v>1</v>
      </c>
      <c r="L76" t="b">
        <f>$K$76*$C$76&gt;0</f>
        <v>0</v>
      </c>
      <c r="N76" s="3"/>
    </row>
    <row r="77" spans="1:14" x14ac:dyDescent="0.45">
      <c r="A77" s="3">
        <v>42482</v>
      </c>
      <c r="B77">
        <v>14.945</v>
      </c>
      <c r="C77">
        <v>-2.3364485981308691E-3</v>
      </c>
      <c r="D77">
        <v>4569.66</v>
      </c>
      <c r="E77">
        <v>-2.8737701376660985E-3</v>
      </c>
      <c r="F77">
        <v>178.5925</v>
      </c>
      <c r="G77">
        <f t="shared" si="2"/>
        <v>-6.1480745272058934E-3</v>
      </c>
      <c r="H77">
        <v>6.6715086599999996E-3</v>
      </c>
      <c r="I77">
        <f t="shared" si="3"/>
        <v>8.5777560000000787E-5</v>
      </c>
      <c r="J77" s="6">
        <v>1</v>
      </c>
      <c r="K77">
        <v>1</v>
      </c>
      <c r="L77" t="b">
        <f>$K$77*$C$77&gt;0</f>
        <v>0</v>
      </c>
      <c r="N77" s="3"/>
    </row>
    <row r="78" spans="1:14" x14ac:dyDescent="0.45">
      <c r="A78" s="3">
        <v>42485</v>
      </c>
      <c r="B78">
        <v>14.785</v>
      </c>
      <c r="C78">
        <v>-1.0705921712947486E-2</v>
      </c>
      <c r="D78">
        <v>4546.12</v>
      </c>
      <c r="E78">
        <v>-5.1513679354699971E-3</v>
      </c>
      <c r="F78">
        <v>178.57900000000001</v>
      </c>
      <c r="G78">
        <f t="shared" si="2"/>
        <v>7.559679469593128E-5</v>
      </c>
      <c r="H78">
        <v>6.7591034199999999E-3</v>
      </c>
      <c r="I78">
        <f t="shared" si="3"/>
        <v>-8.7594760000000299E-5</v>
      </c>
      <c r="J78" s="6">
        <v>1</v>
      </c>
      <c r="K78">
        <v>1</v>
      </c>
      <c r="L78" t="b">
        <f>$K$78*$C$78&gt;0</f>
        <v>0</v>
      </c>
      <c r="N78" s="3"/>
    </row>
    <row r="79" spans="1:14" x14ac:dyDescent="0.45">
      <c r="A79" s="3">
        <v>42486</v>
      </c>
      <c r="B79">
        <v>14.98</v>
      </c>
      <c r="C79">
        <v>1.3189042948934748E-2</v>
      </c>
      <c r="D79">
        <v>4533.18</v>
      </c>
      <c r="E79">
        <v>-2.8463832894862762E-3</v>
      </c>
      <c r="F79">
        <v>177.99950000000001</v>
      </c>
      <c r="G79">
        <f t="shared" si="2"/>
        <v>3.2556271225481215E-3</v>
      </c>
      <c r="H79">
        <v>6.7621228999999996E-3</v>
      </c>
      <c r="I79">
        <f t="shared" si="3"/>
        <v>-3.0194799999997551E-6</v>
      </c>
      <c r="J79" s="6">
        <v>1</v>
      </c>
      <c r="K79">
        <v>1</v>
      </c>
      <c r="L79" t="b">
        <f>$K$79*$C$79&gt;0</f>
        <v>1</v>
      </c>
      <c r="N79" s="3"/>
    </row>
    <row r="80" spans="1:14" x14ac:dyDescent="0.45">
      <c r="A80" s="3">
        <v>42487</v>
      </c>
      <c r="B80">
        <v>14.96</v>
      </c>
      <c r="C80">
        <v>-1.3351134846462109E-3</v>
      </c>
      <c r="D80">
        <v>4559.3999999999996</v>
      </c>
      <c r="E80">
        <v>5.7840191653539819E-3</v>
      </c>
      <c r="F80">
        <v>177.9265</v>
      </c>
      <c r="G80">
        <f t="shared" si="2"/>
        <v>4.102817736537645E-4</v>
      </c>
      <c r="H80">
        <v>6.8324677099999998E-3</v>
      </c>
      <c r="I80">
        <f t="shared" si="3"/>
        <v>-7.0344810000000195E-5</v>
      </c>
      <c r="J80" s="6">
        <v>1</v>
      </c>
      <c r="K80">
        <v>1</v>
      </c>
      <c r="L80" t="b">
        <f>$K$80*$C$80&gt;0</f>
        <v>0</v>
      </c>
      <c r="N80" s="3"/>
    </row>
    <row r="81" spans="1:14" x14ac:dyDescent="0.45">
      <c r="A81" s="3">
        <v>42488</v>
      </c>
      <c r="B81">
        <v>14.85</v>
      </c>
      <c r="C81">
        <v>-7.3529411764706731E-3</v>
      </c>
      <c r="D81">
        <v>4557.3599999999997</v>
      </c>
      <c r="E81">
        <v>-4.4742729306490592E-4</v>
      </c>
      <c r="F81">
        <v>178.87049999999999</v>
      </c>
      <c r="G81">
        <f t="shared" si="2"/>
        <v>-5.2775611406016276E-3</v>
      </c>
      <c r="H81">
        <v>6.9268271700000002E-3</v>
      </c>
      <c r="I81">
        <f t="shared" si="3"/>
        <v>-9.4359460000000353E-5</v>
      </c>
      <c r="J81" s="6">
        <v>1</v>
      </c>
      <c r="K81">
        <v>1</v>
      </c>
      <c r="L81" t="b">
        <f>$K$81*$C$81&gt;0</f>
        <v>0</v>
      </c>
      <c r="N81" s="3"/>
    </row>
    <row r="82" spans="1:14" x14ac:dyDescent="0.45">
      <c r="A82" s="3">
        <v>42489</v>
      </c>
      <c r="B82">
        <v>14.48</v>
      </c>
      <c r="C82">
        <v>-2.4915824915824891E-2</v>
      </c>
      <c r="D82">
        <v>4428.96</v>
      </c>
      <c r="E82">
        <v>-2.817420611933219E-2</v>
      </c>
      <c r="F82">
        <v>178.88399999999999</v>
      </c>
      <c r="G82">
        <f t="shared" si="2"/>
        <v>-7.5467900986114778E-5</v>
      </c>
      <c r="H82">
        <v>7.0061832599999999E-3</v>
      </c>
      <c r="I82">
        <f t="shared" si="3"/>
        <v>-7.9356089999999685E-5</v>
      </c>
      <c r="J82" s="6">
        <v>1</v>
      </c>
      <c r="K82">
        <v>1</v>
      </c>
      <c r="L82" t="b">
        <f>$K$82*$C$82&gt;0</f>
        <v>0</v>
      </c>
      <c r="N82" s="3"/>
    </row>
    <row r="83" spans="1:14" x14ac:dyDescent="0.45">
      <c r="A83" s="3">
        <v>42492</v>
      </c>
      <c r="B83">
        <v>14.795</v>
      </c>
      <c r="C83">
        <v>2.1754143646408819E-2</v>
      </c>
      <c r="D83">
        <v>4442.75</v>
      </c>
      <c r="E83">
        <v>3.1135977746468146E-3</v>
      </c>
      <c r="F83">
        <v>179.0155</v>
      </c>
      <c r="G83">
        <f t="shared" si="2"/>
        <v>-7.3457326320913729E-4</v>
      </c>
      <c r="H83">
        <v>7.0176430800000002E-3</v>
      </c>
      <c r="I83">
        <f t="shared" si="3"/>
        <v>-1.1459820000000315E-5</v>
      </c>
      <c r="J83" s="6">
        <v>1</v>
      </c>
      <c r="K83">
        <v>1</v>
      </c>
      <c r="L83" t="b">
        <f>$K$83*$C$83&gt;0</f>
        <v>1</v>
      </c>
      <c r="N83" s="3"/>
    </row>
    <row r="84" spans="1:14" x14ac:dyDescent="0.45">
      <c r="A84" s="3">
        <v>42493</v>
      </c>
      <c r="B84">
        <v>14.82</v>
      </c>
      <c r="C84">
        <v>1.6897600540723978E-3</v>
      </c>
      <c r="D84">
        <v>4371.9799999999996</v>
      </c>
      <c r="E84">
        <v>-1.5929323054414635E-2</v>
      </c>
      <c r="F84">
        <v>180.9315</v>
      </c>
      <c r="G84">
        <f t="shared" si="2"/>
        <v>-1.0589643041703622E-2</v>
      </c>
      <c r="H84">
        <v>7.0518255899999997E-3</v>
      </c>
      <c r="I84">
        <f t="shared" si="3"/>
        <v>-3.4182509999999486E-5</v>
      </c>
      <c r="J84" s="6">
        <v>1</v>
      </c>
      <c r="K84">
        <v>1</v>
      </c>
      <c r="L84" t="b">
        <f>$K$84*$C$84&gt;0</f>
        <v>1</v>
      </c>
      <c r="N84" s="3"/>
    </row>
    <row r="85" spans="1:14" x14ac:dyDescent="0.45">
      <c r="A85" s="3">
        <v>42494</v>
      </c>
      <c r="B85">
        <v>14.275</v>
      </c>
      <c r="C85">
        <v>-3.6774628879892024E-2</v>
      </c>
      <c r="D85">
        <v>4324.2299999999996</v>
      </c>
      <c r="E85">
        <v>-1.0921824893983967E-2</v>
      </c>
      <c r="F85">
        <v>180.94499999999999</v>
      </c>
      <c r="G85">
        <f t="shared" si="2"/>
        <v>-7.4608306391388268E-5</v>
      </c>
      <c r="H85">
        <v>7.2653183400000002E-3</v>
      </c>
      <c r="I85">
        <f t="shared" si="3"/>
        <v>-2.1349275000000049E-4</v>
      </c>
      <c r="J85" s="6">
        <v>1</v>
      </c>
      <c r="K85">
        <v>1</v>
      </c>
      <c r="L85" t="b">
        <f>$K$85*$C$85&gt;0</f>
        <v>0</v>
      </c>
      <c r="N85" s="3"/>
    </row>
    <row r="86" spans="1:14" x14ac:dyDescent="0.45">
      <c r="A86" s="3">
        <v>42495</v>
      </c>
      <c r="B86">
        <v>14.355</v>
      </c>
      <c r="C86">
        <v>5.6042031523642066E-3</v>
      </c>
      <c r="D86">
        <v>4319.46</v>
      </c>
      <c r="E86">
        <v>-1.1030865610754947E-3</v>
      </c>
      <c r="F86">
        <v>181.8655</v>
      </c>
      <c r="G86">
        <f t="shared" si="2"/>
        <v>-5.0614327621236743E-3</v>
      </c>
      <c r="H86">
        <v>7.32276374E-3</v>
      </c>
      <c r="I86">
        <f t="shared" si="3"/>
        <v>-5.7445399999999855E-5</v>
      </c>
      <c r="J86" s="6">
        <v>1</v>
      </c>
      <c r="K86">
        <v>1</v>
      </c>
      <c r="L86" t="b">
        <f>$K$86*$C$86&gt;0</f>
        <v>1</v>
      </c>
      <c r="N86" s="3"/>
    </row>
    <row r="87" spans="1:14" x14ac:dyDescent="0.45">
      <c r="A87" s="3">
        <v>42496</v>
      </c>
      <c r="B87">
        <v>14.21</v>
      </c>
      <c r="C87">
        <v>-1.0101010101010055E-2</v>
      </c>
      <c r="D87">
        <v>4301.24</v>
      </c>
      <c r="E87">
        <v>-4.2181198575748091E-3</v>
      </c>
      <c r="F87">
        <v>182.35900000000001</v>
      </c>
      <c r="G87">
        <f t="shared" si="2"/>
        <v>-2.7062004068897361E-3</v>
      </c>
      <c r="H87">
        <v>7.4250929899999998E-3</v>
      </c>
      <c r="I87">
        <f t="shared" si="3"/>
        <v>-1.0232924999999983E-4</v>
      </c>
      <c r="J87" s="6">
        <v>1</v>
      </c>
      <c r="K87">
        <v>1</v>
      </c>
      <c r="L87" t="b">
        <f>$K$87*$C$87&gt;0</f>
        <v>0</v>
      </c>
      <c r="N87" s="3"/>
    </row>
    <row r="88" spans="1:14" x14ac:dyDescent="0.45">
      <c r="A88" s="3">
        <v>42499</v>
      </c>
      <c r="B88">
        <v>14.555</v>
      </c>
      <c r="C88">
        <v>2.4278676988036541E-2</v>
      </c>
      <c r="D88">
        <v>4322.8100000000004</v>
      </c>
      <c r="E88">
        <v>5.0148329318988605E-3</v>
      </c>
      <c r="F88">
        <v>182.785</v>
      </c>
      <c r="G88">
        <f t="shared" si="2"/>
        <v>-2.3306069972918175E-3</v>
      </c>
      <c r="H88">
        <v>7.4009385800000004E-3</v>
      </c>
      <c r="I88">
        <f t="shared" si="3"/>
        <v>2.4154409999999418E-5</v>
      </c>
      <c r="J88" s="6">
        <v>1</v>
      </c>
      <c r="K88">
        <v>1</v>
      </c>
      <c r="L88" t="b">
        <f>$K$88*$C$88&gt;0</f>
        <v>1</v>
      </c>
      <c r="N88" s="3"/>
    </row>
    <row r="89" spans="1:14" x14ac:dyDescent="0.45">
      <c r="A89" s="3">
        <v>42500</v>
      </c>
      <c r="B89">
        <v>14.625</v>
      </c>
      <c r="C89">
        <v>4.809343868086513E-3</v>
      </c>
      <c r="D89">
        <v>4338.21</v>
      </c>
      <c r="E89">
        <v>3.5624975421080229E-3</v>
      </c>
      <c r="F89">
        <v>182.46449999999999</v>
      </c>
      <c r="G89">
        <f t="shared" si="2"/>
        <v>1.7565060600830407E-3</v>
      </c>
      <c r="H89">
        <v>7.3204675500000002E-3</v>
      </c>
      <c r="I89">
        <f t="shared" si="3"/>
        <v>8.0471030000000242E-5</v>
      </c>
      <c r="J89" s="6">
        <v>1</v>
      </c>
      <c r="K89">
        <v>1</v>
      </c>
      <c r="L89" t="b">
        <f>$K$89*$C$89&gt;0</f>
        <v>1</v>
      </c>
      <c r="N89" s="3"/>
    </row>
    <row r="90" spans="1:14" x14ac:dyDescent="0.45">
      <c r="A90" s="3">
        <v>42501</v>
      </c>
      <c r="B90">
        <v>14.7</v>
      </c>
      <c r="C90">
        <v>5.12820512820511E-3</v>
      </c>
      <c r="D90">
        <v>4316.67</v>
      </c>
      <c r="E90">
        <v>-4.9651814919056125E-3</v>
      </c>
      <c r="F90">
        <v>182.43350000000001</v>
      </c>
      <c r="G90">
        <f t="shared" si="2"/>
        <v>1.6992493155032484E-4</v>
      </c>
      <c r="H90">
        <v>7.27350555E-3</v>
      </c>
      <c r="I90">
        <f t="shared" si="3"/>
        <v>4.6962000000000219E-5</v>
      </c>
      <c r="J90" s="6">
        <v>1</v>
      </c>
      <c r="K90">
        <v>1</v>
      </c>
      <c r="L90" t="b">
        <f>$K$90*$C$90&gt;0</f>
        <v>1</v>
      </c>
      <c r="N90" s="3"/>
    </row>
    <row r="91" spans="1:14" x14ac:dyDescent="0.45">
      <c r="A91" s="3">
        <v>42502</v>
      </c>
      <c r="B91">
        <v>14.86</v>
      </c>
      <c r="C91">
        <v>1.0884353741496655E-2</v>
      </c>
      <c r="D91">
        <v>4293.2700000000004</v>
      </c>
      <c r="E91">
        <v>-5.42084523486841E-3</v>
      </c>
      <c r="F91">
        <v>181.65049999999999</v>
      </c>
      <c r="G91">
        <f t="shared" si="2"/>
        <v>4.310475335878694E-3</v>
      </c>
      <c r="H91">
        <v>7.1579881599999999E-3</v>
      </c>
      <c r="I91">
        <f t="shared" si="3"/>
        <v>1.1551739000000005E-4</v>
      </c>
      <c r="J91" s="6">
        <v>1</v>
      </c>
      <c r="K91">
        <v>1</v>
      </c>
      <c r="L91" t="b">
        <f>$K$91*$C$91&gt;0</f>
        <v>1</v>
      </c>
      <c r="N91" s="3"/>
    </row>
    <row r="92" spans="1:14" x14ac:dyDescent="0.45">
      <c r="A92" s="3">
        <v>42503</v>
      </c>
      <c r="B92">
        <v>15.095000000000001</v>
      </c>
      <c r="C92">
        <v>1.5814266487214068E-2</v>
      </c>
      <c r="D92">
        <v>4319.99</v>
      </c>
      <c r="E92">
        <v>6.2236942936269024E-3</v>
      </c>
      <c r="F92">
        <v>182.28550000000001</v>
      </c>
      <c r="G92">
        <f t="shared" si="2"/>
        <v>-3.4835464148273987E-3</v>
      </c>
      <c r="H92">
        <v>7.1350822999999997E-3</v>
      </c>
      <c r="I92">
        <f t="shared" si="3"/>
        <v>2.2905860000000181E-5</v>
      </c>
      <c r="J92" s="6">
        <v>1</v>
      </c>
      <c r="K92">
        <v>1</v>
      </c>
      <c r="L92" t="b">
        <f>$K$92*$C$92&gt;0</f>
        <v>1</v>
      </c>
      <c r="N92" s="3"/>
    </row>
    <row r="93" spans="1:14" x14ac:dyDescent="0.45">
      <c r="A93" s="3">
        <v>42506</v>
      </c>
      <c r="B93">
        <v>15.03</v>
      </c>
      <c r="C93">
        <v>-4.3060616098046234E-3</v>
      </c>
      <c r="D93">
        <v>4312.28</v>
      </c>
      <c r="E93">
        <v>-1.784726353533217E-3</v>
      </c>
      <c r="F93">
        <v>181.8175</v>
      </c>
      <c r="G93">
        <f t="shared" si="2"/>
        <v>2.574009652536402E-3</v>
      </c>
      <c r="H93">
        <v>7.1348449899999999E-3</v>
      </c>
      <c r="I93">
        <f t="shared" si="3"/>
        <v>2.3730999999978242E-7</v>
      </c>
      <c r="J93" s="6">
        <v>1</v>
      </c>
      <c r="K93">
        <v>1</v>
      </c>
      <c r="L93" t="b">
        <f>$K$93*$C$93&gt;0</f>
        <v>0</v>
      </c>
      <c r="N93" s="3"/>
    </row>
    <row r="94" spans="1:14" x14ac:dyDescent="0.45">
      <c r="A94" s="3">
        <v>42507</v>
      </c>
      <c r="B94">
        <v>15.06</v>
      </c>
      <c r="C94">
        <v>1.9960079840319889E-3</v>
      </c>
      <c r="D94">
        <v>4297.57</v>
      </c>
      <c r="E94">
        <v>-3.4111885128053077E-3</v>
      </c>
      <c r="F94">
        <v>182.10650000000001</v>
      </c>
      <c r="G94">
        <f t="shared" si="2"/>
        <v>-1.5869834410084938E-3</v>
      </c>
      <c r="H94">
        <v>7.0383224600000004E-3</v>
      </c>
      <c r="I94">
        <f t="shared" si="3"/>
        <v>9.6522529999999544E-5</v>
      </c>
      <c r="J94" s="6">
        <v>1</v>
      </c>
      <c r="K94">
        <v>1</v>
      </c>
      <c r="L94" t="b">
        <f>$K$94*$C$94&gt;0</f>
        <v>1</v>
      </c>
      <c r="N94" s="3"/>
    </row>
    <row r="95" spans="1:14" x14ac:dyDescent="0.45">
      <c r="A95" s="3">
        <v>42508</v>
      </c>
      <c r="B95">
        <v>15.15</v>
      </c>
      <c r="C95">
        <v>5.9760956175298752E-3</v>
      </c>
      <c r="D95">
        <v>4319.3</v>
      </c>
      <c r="E95">
        <v>5.0563457954146962E-3</v>
      </c>
      <c r="F95">
        <v>181.3785</v>
      </c>
      <c r="G95">
        <f t="shared" si="2"/>
        <v>4.0137061448848321E-3</v>
      </c>
      <c r="H95">
        <v>7.0295818400000001E-3</v>
      </c>
      <c r="I95">
        <f t="shared" si="3"/>
        <v>8.7406200000002612E-6</v>
      </c>
      <c r="J95" s="6">
        <v>1</v>
      </c>
      <c r="K95">
        <v>1</v>
      </c>
      <c r="L95" t="b">
        <f>$K$95*$C$95&gt;0</f>
        <v>1</v>
      </c>
      <c r="N95" s="3"/>
    </row>
    <row r="96" spans="1:14" x14ac:dyDescent="0.45">
      <c r="A96" s="3">
        <v>42509</v>
      </c>
      <c r="B96">
        <v>14.95</v>
      </c>
      <c r="C96">
        <v>-1.320132013201325E-2</v>
      </c>
      <c r="D96">
        <v>4282.54</v>
      </c>
      <c r="E96">
        <v>-8.5106382978723527E-3</v>
      </c>
      <c r="F96">
        <v>181.39150000000001</v>
      </c>
      <c r="G96">
        <f t="shared" si="2"/>
        <v>-7.1668187318629784E-5</v>
      </c>
      <c r="H96">
        <v>6.9912660999999999E-3</v>
      </c>
      <c r="I96">
        <f t="shared" si="3"/>
        <v>3.8315740000000216E-5</v>
      </c>
      <c r="J96" s="6">
        <v>1</v>
      </c>
      <c r="K96">
        <v>1</v>
      </c>
      <c r="L96" t="b">
        <f>$K$96*$C$96&gt;0</f>
        <v>0</v>
      </c>
      <c r="N96" s="3"/>
    </row>
    <row r="97" spans="1:14" x14ac:dyDescent="0.45">
      <c r="A97" s="3">
        <v>42510</v>
      </c>
      <c r="B97">
        <v>15.205</v>
      </c>
      <c r="C97">
        <v>1.7056856187291025E-2</v>
      </c>
      <c r="D97">
        <v>4353.8999999999996</v>
      </c>
      <c r="E97">
        <v>1.666300840155599E-2</v>
      </c>
      <c r="F97">
        <v>181.398</v>
      </c>
      <c r="G97">
        <f t="shared" si="2"/>
        <v>-3.5832809622937667E-5</v>
      </c>
      <c r="H97">
        <v>6.9743651000000002E-3</v>
      </c>
      <c r="I97">
        <f t="shared" si="3"/>
        <v>1.6900999999999722E-5</v>
      </c>
      <c r="J97" s="6">
        <v>1</v>
      </c>
      <c r="K97">
        <v>1</v>
      </c>
      <c r="L97" t="b">
        <f>$K$97*$C$97&gt;0</f>
        <v>1</v>
      </c>
      <c r="N97" s="3"/>
    </row>
    <row r="98" spans="1:14" x14ac:dyDescent="0.45">
      <c r="A98" s="3">
        <v>42513</v>
      </c>
      <c r="B98">
        <v>15.03</v>
      </c>
      <c r="C98">
        <v>-1.1509371917132527E-2</v>
      </c>
      <c r="D98">
        <v>4325.1000000000004</v>
      </c>
      <c r="E98">
        <v>-6.6147591814234019E-3</v>
      </c>
      <c r="F98">
        <v>180.99350000000001</v>
      </c>
      <c r="G98">
        <f t="shared" si="2"/>
        <v>2.2348868882031692E-3</v>
      </c>
      <c r="H98">
        <v>6.8866528000000003E-3</v>
      </c>
      <c r="I98">
        <f t="shared" si="3"/>
        <v>8.7712299999999875E-5</v>
      </c>
      <c r="J98" s="6">
        <v>1</v>
      </c>
      <c r="K98">
        <v>1</v>
      </c>
      <c r="L98" t="b">
        <f>$K$98*$C$98&gt;0</f>
        <v>0</v>
      </c>
      <c r="N98" s="3"/>
    </row>
    <row r="99" spans="1:14" x14ac:dyDescent="0.45">
      <c r="A99" s="3">
        <v>42514</v>
      </c>
      <c r="B99">
        <v>15.21</v>
      </c>
      <c r="C99">
        <v>1.1976047904191711E-2</v>
      </c>
      <c r="D99">
        <v>4431.5200000000004</v>
      </c>
      <c r="E99">
        <v>2.4605211440198005E-2</v>
      </c>
      <c r="F99">
        <v>180.97550000000001</v>
      </c>
      <c r="G99">
        <f t="shared" si="2"/>
        <v>9.9460976761944764E-5</v>
      </c>
      <c r="H99">
        <v>6.6564920499999998E-3</v>
      </c>
      <c r="I99">
        <f t="shared" si="3"/>
        <v>2.3016075000000056E-4</v>
      </c>
      <c r="J99" s="6">
        <v>1</v>
      </c>
      <c r="K99">
        <v>1</v>
      </c>
      <c r="L99" t="b">
        <f>$K$99*$C$99&gt;0</f>
        <v>1</v>
      </c>
      <c r="N99" s="3"/>
    </row>
    <row r="100" spans="1:14" x14ac:dyDescent="0.45">
      <c r="A100" s="3">
        <v>42515</v>
      </c>
      <c r="B100">
        <v>15.34</v>
      </c>
      <c r="C100">
        <v>8.5470085470085166E-3</v>
      </c>
      <c r="D100">
        <v>4481.6400000000003</v>
      </c>
      <c r="E100">
        <v>1.1309889157670394E-2</v>
      </c>
      <c r="F100">
        <v>181.73500000000001</v>
      </c>
      <c r="G100">
        <f t="shared" si="2"/>
        <v>-4.1791619665997315E-3</v>
      </c>
      <c r="H100">
        <v>6.3955602299999997E-3</v>
      </c>
      <c r="I100">
        <f t="shared" si="3"/>
        <v>2.6093182000000003E-4</v>
      </c>
      <c r="J100" s="6">
        <v>1</v>
      </c>
      <c r="K100">
        <v>1</v>
      </c>
      <c r="L100" t="b">
        <f>$K$100*$C$100&gt;0</f>
        <v>1</v>
      </c>
      <c r="N100" s="3"/>
    </row>
    <row r="101" spans="1:14" x14ac:dyDescent="0.45">
      <c r="A101" s="3">
        <v>42516</v>
      </c>
      <c r="B101">
        <v>15.59</v>
      </c>
      <c r="C101">
        <v>1.6297262059973949E-2</v>
      </c>
      <c r="D101">
        <v>4512.6400000000003</v>
      </c>
      <c r="E101">
        <v>6.9171107005470134E-3</v>
      </c>
      <c r="F101">
        <v>181.898</v>
      </c>
      <c r="G101">
        <f t="shared" si="2"/>
        <v>-8.9610660919847707E-4</v>
      </c>
      <c r="H101">
        <v>6.2577122400000003E-3</v>
      </c>
      <c r="I101">
        <f t="shared" si="3"/>
        <v>1.3784798999999948E-4</v>
      </c>
      <c r="J101" s="6">
        <v>1</v>
      </c>
      <c r="K101">
        <v>1</v>
      </c>
      <c r="L101" t="b">
        <f>$K$101*$C$101&gt;0</f>
        <v>1</v>
      </c>
      <c r="N101" s="3"/>
    </row>
    <row r="102" spans="1:14" x14ac:dyDescent="0.45">
      <c r="A102" s="3">
        <v>42517</v>
      </c>
      <c r="B102">
        <v>15.465</v>
      </c>
      <c r="C102">
        <v>-8.0179602309172759E-3</v>
      </c>
      <c r="D102">
        <v>4514.74</v>
      </c>
      <c r="E102">
        <v>4.6535952347181997E-4</v>
      </c>
      <c r="F102">
        <v>181.98599999999999</v>
      </c>
      <c r="G102">
        <f t="shared" si="2"/>
        <v>-4.8355367995334131E-4</v>
      </c>
      <c r="H102">
        <v>6.2500406000000003E-3</v>
      </c>
      <c r="I102">
        <f t="shared" si="3"/>
        <v>7.671639999999938E-6</v>
      </c>
      <c r="J102" s="6">
        <v>1</v>
      </c>
      <c r="K102">
        <v>1</v>
      </c>
      <c r="L102" t="b">
        <f>$K$102*$C$102&gt;0</f>
        <v>0</v>
      </c>
      <c r="N102" s="3"/>
    </row>
    <row r="103" spans="1:14" x14ac:dyDescent="0.45">
      <c r="A103" s="3">
        <v>42520</v>
      </c>
      <c r="B103">
        <v>15.58</v>
      </c>
      <c r="C103">
        <v>7.4361461364371717E-3</v>
      </c>
      <c r="D103">
        <v>4529.3999999999996</v>
      </c>
      <c r="E103">
        <v>3.2471415851189622E-3</v>
      </c>
      <c r="F103">
        <v>181.31</v>
      </c>
      <c r="G103">
        <f t="shared" si="2"/>
        <v>3.7284209365175958E-3</v>
      </c>
      <c r="H103">
        <v>6.2620057799999997E-3</v>
      </c>
      <c r="I103">
        <f t="shared" si="3"/>
        <v>-1.1965179999999347E-5</v>
      </c>
      <c r="J103" s="6">
        <v>1</v>
      </c>
      <c r="K103">
        <v>1</v>
      </c>
      <c r="L103" t="b">
        <f>$K$103*$C$103&gt;0</f>
        <v>1</v>
      </c>
      <c r="N103" s="3"/>
    </row>
    <row r="104" spans="1:14" x14ac:dyDescent="0.45">
      <c r="A104" s="3">
        <v>42521</v>
      </c>
      <c r="B104">
        <v>15.615</v>
      </c>
      <c r="C104">
        <v>2.246469833119491E-3</v>
      </c>
      <c r="D104">
        <v>4505.62</v>
      </c>
      <c r="E104">
        <v>-5.2501435068661451E-3</v>
      </c>
      <c r="F104">
        <v>182.184</v>
      </c>
      <c r="G104">
        <f t="shared" si="2"/>
        <v>-4.7973477363544292E-3</v>
      </c>
      <c r="H104">
        <v>6.2158729399999996E-3</v>
      </c>
      <c r="I104">
        <f t="shared" si="3"/>
        <v>4.6132840000000057E-5</v>
      </c>
      <c r="J104" s="6">
        <v>1</v>
      </c>
      <c r="K104">
        <v>1</v>
      </c>
      <c r="L104" t="b">
        <f>$K$104*$C$104&gt;0</f>
        <v>1</v>
      </c>
      <c r="N104" s="3"/>
    </row>
    <row r="105" spans="1:14" x14ac:dyDescent="0.45">
      <c r="A105" s="3">
        <v>42522</v>
      </c>
      <c r="B105">
        <v>15.5</v>
      </c>
      <c r="C105">
        <v>-7.3647134165866213E-3</v>
      </c>
      <c r="D105">
        <v>4475.3900000000003</v>
      </c>
      <c r="E105">
        <v>-6.7093984845592036E-3</v>
      </c>
      <c r="F105">
        <v>182.51849999999999</v>
      </c>
      <c r="G105">
        <f t="shared" si="2"/>
        <v>-1.8326909326998875E-3</v>
      </c>
      <c r="H105">
        <v>6.2745034999999996E-3</v>
      </c>
      <c r="I105">
        <f t="shared" si="3"/>
        <v>-5.8630559999999984E-5</v>
      </c>
      <c r="J105" s="6">
        <v>1</v>
      </c>
      <c r="K105">
        <v>1</v>
      </c>
      <c r="L105" t="b">
        <f>$K$105*$C$105&gt;0</f>
        <v>0</v>
      </c>
      <c r="N105" s="3"/>
    </row>
    <row r="106" spans="1:14" x14ac:dyDescent="0.45">
      <c r="A106" s="3">
        <v>42523</v>
      </c>
      <c r="B106">
        <v>15.5</v>
      </c>
      <c r="C106">
        <v>0</v>
      </c>
      <c r="D106">
        <v>4466</v>
      </c>
      <c r="E106">
        <v>-2.0981411675854433E-3</v>
      </c>
      <c r="F106">
        <v>183.4495</v>
      </c>
      <c r="G106">
        <f t="shared" si="2"/>
        <v>-5.0749661350945052E-3</v>
      </c>
      <c r="H106">
        <v>6.2283556699999996E-3</v>
      </c>
      <c r="I106">
        <f t="shared" si="3"/>
        <v>4.6147830000000008E-5</v>
      </c>
      <c r="J106" s="6">
        <v>1</v>
      </c>
      <c r="K106">
        <v>1</v>
      </c>
      <c r="L106" t="b">
        <f>$K$106*$C$106&gt;0</f>
        <v>0</v>
      </c>
      <c r="N106" s="3"/>
    </row>
    <row r="107" spans="1:14" x14ac:dyDescent="0.45">
      <c r="A107" s="3">
        <v>42524</v>
      </c>
      <c r="B107">
        <v>15.37</v>
      </c>
      <c r="C107">
        <v>-8.3870967741935809E-3</v>
      </c>
      <c r="D107">
        <v>4421.78</v>
      </c>
      <c r="E107">
        <v>-9.9014778325123842E-3</v>
      </c>
      <c r="F107">
        <v>184.96799999999999</v>
      </c>
      <c r="G107">
        <f t="shared" si="2"/>
        <v>-8.209528134596189E-3</v>
      </c>
      <c r="H107">
        <v>6.2413902100000003E-3</v>
      </c>
      <c r="I107">
        <f t="shared" si="3"/>
        <v>-1.3034540000000754E-5</v>
      </c>
      <c r="J107" s="6">
        <v>1</v>
      </c>
      <c r="K107">
        <v>1</v>
      </c>
      <c r="L107" t="b">
        <f>$K$107*$C$107&gt;0</f>
        <v>0</v>
      </c>
      <c r="N107" s="3"/>
    </row>
    <row r="108" spans="1:14" x14ac:dyDescent="0.45">
      <c r="A108" s="3">
        <v>42527</v>
      </c>
      <c r="B108">
        <v>15.37</v>
      </c>
      <c r="C108">
        <v>0</v>
      </c>
      <c r="D108">
        <v>4423.38</v>
      </c>
      <c r="E108">
        <v>3.6184522974913591E-4</v>
      </c>
      <c r="F108">
        <v>184.81200000000001</v>
      </c>
      <c r="G108">
        <f t="shared" si="2"/>
        <v>8.4410103240029066E-4</v>
      </c>
      <c r="H108">
        <v>6.2113457800000004E-3</v>
      </c>
      <c r="I108">
        <f t="shared" si="3"/>
        <v>3.0044429999999921E-5</v>
      </c>
      <c r="J108" s="6">
        <v>1</v>
      </c>
      <c r="K108">
        <v>1</v>
      </c>
      <c r="L108" t="b">
        <f>$K$108*$C$108&gt;0</f>
        <v>0</v>
      </c>
      <c r="N108" s="3"/>
    </row>
    <row r="109" spans="1:14" x14ac:dyDescent="0.45">
      <c r="A109" s="3">
        <v>42528</v>
      </c>
      <c r="B109">
        <v>15.5</v>
      </c>
      <c r="C109">
        <v>8.458035133376729E-3</v>
      </c>
      <c r="D109">
        <v>4475.8599999999997</v>
      </c>
      <c r="E109">
        <v>1.1864230520552077E-2</v>
      </c>
      <c r="F109">
        <v>186.56049999999999</v>
      </c>
      <c r="G109">
        <f t="shared" si="2"/>
        <v>-9.3722947783693167E-3</v>
      </c>
      <c r="H109">
        <v>6.0572832300000001E-3</v>
      </c>
      <c r="I109">
        <f t="shared" si="3"/>
        <v>1.5406255000000035E-4</v>
      </c>
      <c r="J109" s="6">
        <v>1</v>
      </c>
      <c r="K109">
        <v>1</v>
      </c>
      <c r="L109" t="b">
        <f>$K$109*$C$109&gt;0</f>
        <v>1</v>
      </c>
      <c r="N109" s="3"/>
    </row>
    <row r="110" spans="1:14" x14ac:dyDescent="0.45">
      <c r="A110" s="3">
        <v>42529</v>
      </c>
      <c r="B110">
        <v>15.52</v>
      </c>
      <c r="C110">
        <v>1.290322580645098E-3</v>
      </c>
      <c r="D110">
        <v>4448.7299999999996</v>
      </c>
      <c r="E110">
        <v>-6.0614049590470565E-3</v>
      </c>
      <c r="F110">
        <v>187.25299999999999</v>
      </c>
      <c r="G110">
        <f t="shared" si="2"/>
        <v>-3.6982051021878792E-3</v>
      </c>
      <c r="H110">
        <v>6.0769589899999999E-3</v>
      </c>
      <c r="I110">
        <f t="shared" si="3"/>
        <v>-1.9675759999999813E-5</v>
      </c>
      <c r="J110" s="6">
        <v>1</v>
      </c>
      <c r="K110">
        <v>1</v>
      </c>
      <c r="L110" t="b">
        <f>$K$110*$C$110&gt;0</f>
        <v>1</v>
      </c>
      <c r="N110" s="3"/>
    </row>
    <row r="111" spans="1:14" x14ac:dyDescent="0.45">
      <c r="A111" s="3">
        <v>42530</v>
      </c>
      <c r="B111">
        <v>15.215</v>
      </c>
      <c r="C111">
        <v>-1.9652061855670033E-2</v>
      </c>
      <c r="D111">
        <v>4405.6099999999997</v>
      </c>
      <c r="E111">
        <v>-9.6926538585169197E-3</v>
      </c>
      <c r="F111">
        <v>188.91550000000001</v>
      </c>
      <c r="G111">
        <f t="shared" si="2"/>
        <v>-8.8002307910151067E-3</v>
      </c>
      <c r="H111">
        <v>6.1311628200000001E-3</v>
      </c>
      <c r="I111">
        <f t="shared" si="3"/>
        <v>-5.4203830000000217E-5</v>
      </c>
      <c r="J111" s="6">
        <v>1</v>
      </c>
      <c r="K111">
        <v>1</v>
      </c>
      <c r="L111" t="b">
        <f>$K$111*$C$111&gt;0</f>
        <v>0</v>
      </c>
      <c r="N111" s="3"/>
    </row>
    <row r="112" spans="1:14" x14ac:dyDescent="0.45">
      <c r="A112" s="3">
        <v>42531</v>
      </c>
      <c r="B112">
        <v>14.74</v>
      </c>
      <c r="C112">
        <v>-3.1219191587249395E-2</v>
      </c>
      <c r="D112">
        <v>4306.72</v>
      </c>
      <c r="E112">
        <v>-2.2446380864397764E-2</v>
      </c>
      <c r="F112">
        <v>189.523</v>
      </c>
      <c r="G112">
        <f t="shared" si="2"/>
        <v>-3.2054157015243279E-3</v>
      </c>
      <c r="H112">
        <v>6.3706146300000002E-3</v>
      </c>
      <c r="I112">
        <f t="shared" si="3"/>
        <v>-2.3945181000000013E-4</v>
      </c>
      <c r="J112" s="6">
        <v>1</v>
      </c>
      <c r="K112">
        <v>1</v>
      </c>
      <c r="L112" t="b">
        <f>$K$112*$C$112&gt;0</f>
        <v>0</v>
      </c>
      <c r="N112" s="3"/>
    </row>
    <row r="113" spans="1:14" x14ac:dyDescent="0.45">
      <c r="A113" s="3">
        <v>42534</v>
      </c>
      <c r="B113">
        <v>14.6</v>
      </c>
      <c r="C113">
        <v>-9.4979647218453866E-3</v>
      </c>
      <c r="D113">
        <v>4227.0200000000004</v>
      </c>
      <c r="E113">
        <v>-1.8505962774454709E-2</v>
      </c>
      <c r="F113">
        <v>189.2715</v>
      </c>
      <c r="G113">
        <f t="shared" si="2"/>
        <v>1.3287790290665846E-3</v>
      </c>
      <c r="H113">
        <v>6.6849772499999998E-3</v>
      </c>
      <c r="I113">
        <f t="shared" si="3"/>
        <v>-3.1436261999999958E-4</v>
      </c>
      <c r="J113" s="6">
        <v>1</v>
      </c>
      <c r="K113">
        <v>1</v>
      </c>
      <c r="L113" t="b">
        <f>$K$113*$C$113&gt;0</f>
        <v>0</v>
      </c>
      <c r="N113" s="3"/>
    </row>
    <row r="114" spans="1:14" x14ac:dyDescent="0.45">
      <c r="A114" s="3">
        <v>42535</v>
      </c>
      <c r="B114">
        <v>14.175000000000001</v>
      </c>
      <c r="C114">
        <v>-2.910958904109584E-2</v>
      </c>
      <c r="D114">
        <v>4130.33</v>
      </c>
      <c r="E114">
        <v>-2.287427076285431E-2</v>
      </c>
      <c r="F114">
        <v>190.23400000000001</v>
      </c>
      <c r="G114">
        <f t="shared" si="2"/>
        <v>-5.0595582282872975E-3</v>
      </c>
      <c r="H114">
        <v>7.0211356700000003E-3</v>
      </c>
      <c r="I114">
        <f t="shared" si="3"/>
        <v>-3.3615842000000052E-4</v>
      </c>
      <c r="J114" s="6">
        <v>1</v>
      </c>
      <c r="K114">
        <v>1</v>
      </c>
      <c r="L114" t="b">
        <f>$K$114*$C$114&gt;0</f>
        <v>0</v>
      </c>
      <c r="N114" s="3"/>
    </row>
    <row r="115" spans="1:14" x14ac:dyDescent="0.45">
      <c r="A115" s="3">
        <v>42536</v>
      </c>
      <c r="B115">
        <v>14.16</v>
      </c>
      <c r="C115">
        <v>-1.0582010582010914E-3</v>
      </c>
      <c r="D115">
        <v>4171.58</v>
      </c>
      <c r="E115">
        <v>9.987095462105966E-3</v>
      </c>
      <c r="F115">
        <v>190.535</v>
      </c>
      <c r="G115">
        <f t="shared" si="2"/>
        <v>-1.579762248405725E-3</v>
      </c>
      <c r="H115">
        <v>6.8268510499999999E-3</v>
      </c>
      <c r="I115">
        <f t="shared" si="3"/>
        <v>1.9428462000000042E-4</v>
      </c>
      <c r="J115" s="6">
        <v>1</v>
      </c>
      <c r="K115">
        <v>1</v>
      </c>
      <c r="L115" t="b">
        <f>$K$115*$C$115&gt;0</f>
        <v>0</v>
      </c>
      <c r="N115" s="3"/>
    </row>
    <row r="116" spans="1:14" x14ac:dyDescent="0.45">
      <c r="A116" s="3">
        <v>42537</v>
      </c>
      <c r="B116">
        <v>14.39</v>
      </c>
      <c r="C116">
        <v>1.6242937853107264E-2</v>
      </c>
      <c r="D116">
        <v>4153.01</v>
      </c>
      <c r="E116">
        <v>-4.4515507313774849E-3</v>
      </c>
      <c r="F116">
        <v>190.97200000000001</v>
      </c>
      <c r="G116">
        <f t="shared" si="2"/>
        <v>-2.2882935718325781E-3</v>
      </c>
      <c r="H116">
        <v>6.9475606000000004E-3</v>
      </c>
      <c r="I116">
        <f t="shared" si="3"/>
        <v>-1.207095500000005E-4</v>
      </c>
      <c r="J116" s="6">
        <v>1</v>
      </c>
      <c r="K116">
        <v>1</v>
      </c>
      <c r="L116" t="b">
        <f>$K$116*$C$116&gt;0</f>
        <v>1</v>
      </c>
      <c r="N116" s="3"/>
    </row>
    <row r="117" spans="1:14" x14ac:dyDescent="0.45">
      <c r="A117" s="3">
        <v>42538</v>
      </c>
      <c r="B117">
        <v>14.29</v>
      </c>
      <c r="C117">
        <v>-6.9492703266158529E-3</v>
      </c>
      <c r="D117">
        <v>4193.83</v>
      </c>
      <c r="E117">
        <v>9.8290155814697577E-3</v>
      </c>
      <c r="F117">
        <v>189.709</v>
      </c>
      <c r="G117">
        <f t="shared" si="2"/>
        <v>6.6575650074587323E-3</v>
      </c>
      <c r="H117">
        <v>6.6661721000000002E-3</v>
      </c>
      <c r="I117">
        <f t="shared" si="3"/>
        <v>2.8138850000000021E-4</v>
      </c>
      <c r="J117" s="6">
        <v>1</v>
      </c>
      <c r="K117">
        <v>1</v>
      </c>
      <c r="L117" t="b">
        <f>$K$117*$C$117&gt;0</f>
        <v>0</v>
      </c>
      <c r="N117" s="3"/>
    </row>
    <row r="118" spans="1:14" x14ac:dyDescent="0.45">
      <c r="A118" s="3">
        <v>42541</v>
      </c>
      <c r="B118">
        <v>14.67</v>
      </c>
      <c r="C118">
        <v>2.6592022393282067E-2</v>
      </c>
      <c r="D118">
        <v>4340.76</v>
      </c>
      <c r="E118">
        <v>3.5034801124509185E-2</v>
      </c>
      <c r="F118">
        <v>188.64599999999999</v>
      </c>
      <c r="G118">
        <f t="shared" si="2"/>
        <v>5.6348928681233534E-3</v>
      </c>
      <c r="H118">
        <v>6.2461245100000002E-3</v>
      </c>
      <c r="I118">
        <f t="shared" si="3"/>
        <v>4.2004759000000003E-4</v>
      </c>
      <c r="J118" s="6">
        <v>1</v>
      </c>
      <c r="K118">
        <v>1</v>
      </c>
      <c r="L118" t="b">
        <f>$K$118*$C$118&gt;0</f>
        <v>1</v>
      </c>
      <c r="N118" s="3"/>
    </row>
    <row r="119" spans="1:14" x14ac:dyDescent="0.45">
      <c r="A119" s="3">
        <v>42542</v>
      </c>
      <c r="B119">
        <v>14.435</v>
      </c>
      <c r="C119">
        <v>-1.6019086571233743E-2</v>
      </c>
      <c r="D119">
        <v>4367.24</v>
      </c>
      <c r="E119">
        <v>6.1003142306876867E-3</v>
      </c>
      <c r="F119">
        <v>188.58099999999999</v>
      </c>
      <c r="G119">
        <f t="shared" si="2"/>
        <v>3.4467947460248283E-4</v>
      </c>
      <c r="H119">
        <v>6.1867822899999998E-3</v>
      </c>
      <c r="I119">
        <f t="shared" si="3"/>
        <v>5.934222000000041E-5</v>
      </c>
      <c r="J119" s="6">
        <v>1</v>
      </c>
      <c r="K119">
        <v>1</v>
      </c>
      <c r="L119" t="b">
        <f>$K$119*$C$119&gt;0</f>
        <v>0</v>
      </c>
      <c r="N119" s="3"/>
    </row>
    <row r="120" spans="1:14" x14ac:dyDescent="0.45">
      <c r="A120" s="3">
        <v>42543</v>
      </c>
      <c r="B120">
        <v>14.24</v>
      </c>
      <c r="C120">
        <v>-1.350883269830272E-2</v>
      </c>
      <c r="D120">
        <v>4380.03</v>
      </c>
      <c r="E120">
        <v>2.9286231120799755E-3</v>
      </c>
      <c r="F120">
        <v>188.4905</v>
      </c>
      <c r="G120">
        <f t="shared" si="2"/>
        <v>4.8013029834392817E-4</v>
      </c>
      <c r="H120">
        <v>6.1624512300000002E-3</v>
      </c>
      <c r="I120">
        <f t="shared" si="3"/>
        <v>2.4331059999999592E-5</v>
      </c>
      <c r="J120" s="6">
        <v>1</v>
      </c>
      <c r="K120">
        <v>1</v>
      </c>
      <c r="L120" t="b">
        <f>$K$120*$C$120&gt;0</f>
        <v>0</v>
      </c>
      <c r="N120" s="3"/>
    </row>
    <row r="121" spans="1:14" x14ac:dyDescent="0.45">
      <c r="A121" s="3">
        <v>42544</v>
      </c>
      <c r="B121">
        <v>14.775</v>
      </c>
      <c r="C121">
        <v>3.7570224719101208E-2</v>
      </c>
      <c r="D121">
        <v>4465.8999999999996</v>
      </c>
      <c r="E121">
        <v>1.9604888550991628E-2</v>
      </c>
      <c r="F121">
        <v>187.45599999999999</v>
      </c>
      <c r="G121">
        <f t="shared" si="2"/>
        <v>5.5186283714578899E-3</v>
      </c>
      <c r="H121">
        <v>6.0090119500000004E-3</v>
      </c>
      <c r="I121">
        <f t="shared" si="3"/>
        <v>1.5343927999999975E-4</v>
      </c>
      <c r="J121" s="6">
        <v>1</v>
      </c>
      <c r="K121">
        <v>1</v>
      </c>
      <c r="L121" t="b">
        <f>$K$121*$C$121&gt;0</f>
        <v>1</v>
      </c>
      <c r="N121" s="3"/>
    </row>
    <row r="122" spans="1:14" x14ac:dyDescent="0.45">
      <c r="A122" s="3">
        <v>42545</v>
      </c>
      <c r="B122">
        <v>13.664999999999999</v>
      </c>
      <c r="C122">
        <v>-7.512690355329954E-2</v>
      </c>
      <c r="D122">
        <v>4106.7299999999996</v>
      </c>
      <c r="E122">
        <v>-8.0424998320607344E-2</v>
      </c>
      <c r="F122">
        <v>189.94200000000001</v>
      </c>
      <c r="G122">
        <f t="shared" si="2"/>
        <v>-1.3088205873372005E-2</v>
      </c>
      <c r="H122">
        <v>7.1748666800000001E-3</v>
      </c>
      <c r="I122">
        <f t="shared" si="3"/>
        <v>-1.1658547299999997E-3</v>
      </c>
      <c r="J122" s="6">
        <v>1</v>
      </c>
      <c r="K122">
        <v>1</v>
      </c>
      <c r="L122" t="b">
        <f>$K$122*$C$122&gt;0</f>
        <v>0</v>
      </c>
      <c r="N122" s="3"/>
    </row>
    <row r="123" spans="1:14" x14ac:dyDescent="0.45">
      <c r="A123" s="3">
        <v>42548</v>
      </c>
      <c r="B123">
        <v>13.585000000000001</v>
      </c>
      <c r="C123">
        <v>-5.8543724844491996E-3</v>
      </c>
      <c r="D123">
        <v>3984.72</v>
      </c>
      <c r="E123">
        <v>-2.9709769086353366E-2</v>
      </c>
      <c r="F123">
        <v>191.71350000000001</v>
      </c>
      <c r="G123">
        <f t="shared" si="2"/>
        <v>-9.2403508360131559E-3</v>
      </c>
      <c r="H123">
        <v>7.39115108E-3</v>
      </c>
      <c r="I123">
        <f t="shared" si="3"/>
        <v>-2.1628439999999988E-4</v>
      </c>
      <c r="J123" s="6">
        <v>1</v>
      </c>
      <c r="K123">
        <v>1</v>
      </c>
      <c r="L123" t="b">
        <f>$K$123*$C$123&gt;0</f>
        <v>0</v>
      </c>
      <c r="N123" s="3"/>
    </row>
    <row r="124" spans="1:14" x14ac:dyDescent="0.45">
      <c r="A124" s="3">
        <v>42549</v>
      </c>
      <c r="B124">
        <v>14.074999999999999</v>
      </c>
      <c r="C124">
        <v>3.6069193963930601E-2</v>
      </c>
      <c r="D124">
        <v>4088.85</v>
      </c>
      <c r="E124">
        <v>2.6132325483346319E-2</v>
      </c>
      <c r="F124">
        <v>191.238</v>
      </c>
      <c r="G124">
        <f t="shared" si="2"/>
        <v>2.4864305211307336E-3</v>
      </c>
      <c r="H124">
        <v>7.0152458999999997E-3</v>
      </c>
      <c r="I124">
        <f t="shared" si="3"/>
        <v>3.7590518000000031E-4</v>
      </c>
      <c r="J124" s="6">
        <v>1</v>
      </c>
      <c r="K124">
        <v>1</v>
      </c>
      <c r="L124" t="b">
        <f>$K$124*$C$124&gt;0</f>
        <v>1</v>
      </c>
      <c r="N124" s="3"/>
    </row>
    <row r="125" spans="1:14" x14ac:dyDescent="0.45">
      <c r="A125" s="3">
        <v>42550</v>
      </c>
      <c r="B125">
        <v>14.62</v>
      </c>
      <c r="C125">
        <v>3.8721136767317921E-2</v>
      </c>
      <c r="D125">
        <v>4195.32</v>
      </c>
      <c r="E125">
        <v>2.6039106350196128E-2</v>
      </c>
      <c r="F125">
        <v>192.04</v>
      </c>
      <c r="G125">
        <f t="shared" si="2"/>
        <v>-4.1762132888980563E-3</v>
      </c>
      <c r="H125">
        <v>6.5886964799999996E-3</v>
      </c>
      <c r="I125">
        <f t="shared" si="3"/>
        <v>4.2654942000000008E-4</v>
      </c>
      <c r="J125" s="6">
        <v>1</v>
      </c>
      <c r="K125">
        <v>1</v>
      </c>
      <c r="L125" t="b">
        <f>$K$125*$C$125&gt;0</f>
        <v>1</v>
      </c>
      <c r="N125" s="3"/>
    </row>
    <row r="126" spans="1:14" x14ac:dyDescent="0.45">
      <c r="A126" s="3">
        <v>42551</v>
      </c>
      <c r="B126">
        <v>14.654999999999999</v>
      </c>
      <c r="C126">
        <v>2.3939808481532321E-3</v>
      </c>
      <c r="D126">
        <v>4237.4799999999996</v>
      </c>
      <c r="E126">
        <v>1.0049293021747951E-2</v>
      </c>
      <c r="F126">
        <v>192.34299999999999</v>
      </c>
      <c r="G126">
        <f t="shared" si="2"/>
        <v>-1.5753107729420401E-3</v>
      </c>
      <c r="H126">
        <v>6.3634562399999999E-3</v>
      </c>
      <c r="I126">
        <f t="shared" si="3"/>
        <v>2.2524023999999972E-4</v>
      </c>
      <c r="J126" s="6">
        <v>1</v>
      </c>
      <c r="K126">
        <v>1</v>
      </c>
      <c r="L126" t="b">
        <f>$K$126*$C$126&gt;0</f>
        <v>1</v>
      </c>
      <c r="N126" s="3"/>
    </row>
    <row r="127" spans="1:14" x14ac:dyDescent="0.45">
      <c r="A127" s="3">
        <v>42552</v>
      </c>
      <c r="B127">
        <v>14.585000000000001</v>
      </c>
      <c r="C127">
        <v>-4.7765267826679336E-3</v>
      </c>
      <c r="D127">
        <v>4273.96</v>
      </c>
      <c r="E127">
        <v>8.6088901894523229E-3</v>
      </c>
      <c r="F127">
        <v>192.49100000000001</v>
      </c>
      <c r="G127">
        <f t="shared" si="2"/>
        <v>-7.6886711586532375E-4</v>
      </c>
      <c r="H127">
        <v>6.11232914E-3</v>
      </c>
      <c r="I127">
        <f t="shared" si="3"/>
        <v>2.5112709999999989E-4</v>
      </c>
      <c r="J127" s="6">
        <v>1</v>
      </c>
      <c r="K127">
        <v>1</v>
      </c>
      <c r="L127" t="b">
        <f>$K$127*$C$127&gt;0</f>
        <v>0</v>
      </c>
      <c r="N127" s="3"/>
    </row>
    <row r="128" spans="1:14" x14ac:dyDescent="0.45">
      <c r="A128" s="3">
        <v>42555</v>
      </c>
      <c r="B128">
        <v>14.404999999999999</v>
      </c>
      <c r="C128">
        <v>-1.2341446691806701E-2</v>
      </c>
      <c r="D128">
        <v>4234.8599999999997</v>
      </c>
      <c r="E128">
        <v>-9.1484244120207947E-3</v>
      </c>
      <c r="F128">
        <v>193.14449999999999</v>
      </c>
      <c r="G128">
        <f t="shared" si="2"/>
        <v>-3.3834771375834682E-3</v>
      </c>
      <c r="H128">
        <v>6.0589323399999999E-3</v>
      </c>
      <c r="I128">
        <f t="shared" si="3"/>
        <v>5.3396800000000098E-5</v>
      </c>
      <c r="J128" s="6">
        <v>1</v>
      </c>
      <c r="K128">
        <v>1</v>
      </c>
      <c r="L128" t="b">
        <f>$K$128*$C$128&gt;0</f>
        <v>0</v>
      </c>
      <c r="N128" s="3"/>
    </row>
    <row r="129" spans="1:14" x14ac:dyDescent="0.45">
      <c r="A129" s="3">
        <v>42556</v>
      </c>
      <c r="B129">
        <v>14.135</v>
      </c>
      <c r="C129">
        <v>-1.8743491843109972E-2</v>
      </c>
      <c r="D129">
        <v>4163.42</v>
      </c>
      <c r="E129">
        <v>-1.686950690223521E-2</v>
      </c>
      <c r="F129">
        <v>194.767</v>
      </c>
      <c r="G129">
        <f t="shared" si="2"/>
        <v>-8.3304666601631272E-3</v>
      </c>
      <c r="H129">
        <v>6.2367965599999997E-3</v>
      </c>
      <c r="I129">
        <f t="shared" si="3"/>
        <v>-1.7786421999999979E-4</v>
      </c>
      <c r="J129" s="6">
        <v>1</v>
      </c>
      <c r="K129">
        <v>1</v>
      </c>
      <c r="L129" t="b">
        <f>$K$129*$C$129&gt;0</f>
        <v>0</v>
      </c>
      <c r="N129" s="3"/>
    </row>
    <row r="130" spans="1:14" x14ac:dyDescent="0.45">
      <c r="A130" s="3">
        <v>42557</v>
      </c>
      <c r="B130">
        <v>13.705</v>
      </c>
      <c r="C130">
        <v>-3.0420940926777496E-2</v>
      </c>
      <c r="D130">
        <v>4085.3</v>
      </c>
      <c r="E130">
        <v>-1.8763420457220237E-2</v>
      </c>
      <c r="F130">
        <v>194.77250000000001</v>
      </c>
      <c r="G130">
        <f t="shared" si="2"/>
        <v>-2.8238072623198995E-5</v>
      </c>
      <c r="H130">
        <v>6.3957054699999996E-3</v>
      </c>
      <c r="I130">
        <f t="shared" si="3"/>
        <v>-1.5890890999999997E-4</v>
      </c>
      <c r="J130" s="6">
        <v>1</v>
      </c>
      <c r="K130">
        <v>1</v>
      </c>
      <c r="L130" t="b">
        <f>$K$130*$C$130&gt;0</f>
        <v>0</v>
      </c>
      <c r="N130" s="3"/>
    </row>
    <row r="131" spans="1:14" x14ac:dyDescent="0.45">
      <c r="A131" s="3">
        <v>42558</v>
      </c>
      <c r="B131">
        <v>13.895</v>
      </c>
      <c r="C131">
        <v>1.3863553447646781E-2</v>
      </c>
      <c r="D131">
        <v>4117.8500000000004</v>
      </c>
      <c r="E131">
        <v>7.9675911193792803E-3</v>
      </c>
      <c r="F131">
        <v>195.18950000000001</v>
      </c>
      <c r="G131">
        <f t="shared" si="2"/>
        <v>-2.1363854100758806E-3</v>
      </c>
      <c r="H131">
        <v>6.38853171E-3</v>
      </c>
      <c r="I131">
        <f t="shared" si="3"/>
        <v>7.1737599999996404E-6</v>
      </c>
      <c r="J131" s="6">
        <v>1</v>
      </c>
      <c r="K131">
        <v>1</v>
      </c>
      <c r="L131" t="b">
        <f>$K$131*$C$131&gt;0</f>
        <v>1</v>
      </c>
      <c r="N131" s="3"/>
    </row>
    <row r="132" spans="1:14" x14ac:dyDescent="0.45">
      <c r="A132" s="3">
        <v>42559</v>
      </c>
      <c r="B132">
        <v>14.154999999999999</v>
      </c>
      <c r="C132">
        <v>1.8711766822598008E-2</v>
      </c>
      <c r="D132">
        <v>4190.68</v>
      </c>
      <c r="E132">
        <v>1.7686414026737207E-2</v>
      </c>
      <c r="F132">
        <v>196.9855</v>
      </c>
      <c r="G132">
        <f t="shared" ref="G132:G195" si="4">F131/F132-1</f>
        <v>-9.1174223483454497E-3</v>
      </c>
      <c r="H132">
        <v>6.1518119099999999E-3</v>
      </c>
      <c r="I132">
        <f t="shared" ref="I132:I195" si="5">H131-H132</f>
        <v>2.3671980000000009E-4</v>
      </c>
      <c r="J132" s="6">
        <v>1</v>
      </c>
      <c r="K132">
        <v>1</v>
      </c>
      <c r="L132" t="b">
        <f>$K$132*$C$132&gt;0</f>
        <v>1</v>
      </c>
      <c r="N132" s="3"/>
    </row>
    <row r="133" spans="1:14" x14ac:dyDescent="0.45">
      <c r="A133" s="3">
        <v>42562</v>
      </c>
      <c r="B133">
        <v>14.234999999999999</v>
      </c>
      <c r="C133">
        <v>5.6517131755562389E-3</v>
      </c>
      <c r="D133">
        <v>4264.53</v>
      </c>
      <c r="E133">
        <v>1.7622438363224857E-2</v>
      </c>
      <c r="F133">
        <v>197.39349999999999</v>
      </c>
      <c r="G133">
        <f t="shared" si="4"/>
        <v>-2.0669373611592601E-3</v>
      </c>
      <c r="H133">
        <v>6.1172500000000003E-3</v>
      </c>
      <c r="I133">
        <f t="shared" si="5"/>
        <v>3.4561909999999627E-5</v>
      </c>
      <c r="J133" s="6">
        <v>1</v>
      </c>
      <c r="K133">
        <v>1</v>
      </c>
      <c r="L133" t="b">
        <f>$K$133*$C$133&gt;0</f>
        <v>1</v>
      </c>
      <c r="N133" s="3"/>
    </row>
    <row r="134" spans="1:14" x14ac:dyDescent="0.45">
      <c r="A134" s="3">
        <v>42563</v>
      </c>
      <c r="B134">
        <v>14.535</v>
      </c>
      <c r="C134">
        <v>2.1074815595363505E-2</v>
      </c>
      <c r="D134">
        <v>4331.38</v>
      </c>
      <c r="E134">
        <v>1.5675818906186745E-2</v>
      </c>
      <c r="F134">
        <v>195.88200000000001</v>
      </c>
      <c r="G134">
        <f t="shared" si="4"/>
        <v>7.7163802697541861E-3</v>
      </c>
      <c r="H134">
        <v>5.79293E-3</v>
      </c>
      <c r="I134">
        <f t="shared" si="5"/>
        <v>3.2432000000000034E-4</v>
      </c>
      <c r="J134" s="6">
        <v>1</v>
      </c>
      <c r="K134">
        <v>1</v>
      </c>
      <c r="L134" t="b">
        <f>$K$134*$C$134&gt;0</f>
        <v>1</v>
      </c>
      <c r="N134" s="3"/>
    </row>
    <row r="135" spans="1:14" x14ac:dyDescent="0.45">
      <c r="A135" s="3">
        <v>42564</v>
      </c>
      <c r="B135">
        <v>14.395</v>
      </c>
      <c r="C135">
        <v>-9.6319229446164556E-3</v>
      </c>
      <c r="D135">
        <v>4335.26</v>
      </c>
      <c r="E135">
        <v>8.9578840923687508E-4</v>
      </c>
      <c r="F135">
        <v>198.25200000000001</v>
      </c>
      <c r="G135">
        <f t="shared" si="4"/>
        <v>-1.1954482174202585E-2</v>
      </c>
      <c r="H135">
        <v>5.7539799999999997E-3</v>
      </c>
      <c r="I135">
        <f t="shared" si="5"/>
        <v>3.8950000000000269E-5</v>
      </c>
      <c r="J135" s="6">
        <v>1</v>
      </c>
      <c r="K135">
        <v>1</v>
      </c>
      <c r="L135" t="b">
        <f>$K$135*$C$135&gt;0</f>
        <v>0</v>
      </c>
      <c r="N135" s="3"/>
    </row>
    <row r="136" spans="1:14" x14ac:dyDescent="0.45">
      <c r="A136" s="3">
        <v>42565</v>
      </c>
      <c r="B136">
        <v>14.59</v>
      </c>
      <c r="C136">
        <v>1.3546370267454089E-2</v>
      </c>
      <c r="D136">
        <v>4385.5200000000004</v>
      </c>
      <c r="E136">
        <v>1.1593306975821616E-2</v>
      </c>
      <c r="F136">
        <v>197.70400000000001</v>
      </c>
      <c r="G136">
        <f t="shared" si="4"/>
        <v>2.7718204993323337E-3</v>
      </c>
      <c r="H136">
        <v>5.6169899999999997E-3</v>
      </c>
      <c r="I136">
        <f t="shared" si="5"/>
        <v>1.3699000000000003E-4</v>
      </c>
      <c r="J136" s="6">
        <v>1</v>
      </c>
      <c r="K136">
        <v>1</v>
      </c>
      <c r="L136" t="b">
        <f>$K$136*$C$136&gt;0</f>
        <v>1</v>
      </c>
      <c r="N136" s="3"/>
    </row>
    <row r="137" spans="1:14" x14ac:dyDescent="0.45">
      <c r="A137" s="3">
        <v>42566</v>
      </c>
      <c r="B137">
        <v>14.635</v>
      </c>
      <c r="C137">
        <v>3.0843043180259766E-3</v>
      </c>
      <c r="D137">
        <v>4372.51</v>
      </c>
      <c r="E137">
        <v>-2.9665809299695978E-3</v>
      </c>
      <c r="F137">
        <v>196.50749999999999</v>
      </c>
      <c r="G137">
        <f t="shared" si="4"/>
        <v>6.0888261262292964E-3</v>
      </c>
      <c r="H137">
        <v>5.6024400000000002E-3</v>
      </c>
      <c r="I137">
        <f t="shared" si="5"/>
        <v>1.4549999999999459E-5</v>
      </c>
      <c r="J137" s="6">
        <v>1</v>
      </c>
      <c r="K137">
        <v>1</v>
      </c>
      <c r="L137" t="b">
        <f>$K$137*$C$137&gt;0</f>
        <v>1</v>
      </c>
      <c r="N137" s="3"/>
    </row>
    <row r="138" spans="1:14" x14ac:dyDescent="0.45">
      <c r="A138" s="3">
        <v>42569</v>
      </c>
      <c r="B138">
        <v>14.45</v>
      </c>
      <c r="C138">
        <v>-1.2640929279125412E-2</v>
      </c>
      <c r="D138">
        <v>4357.74</v>
      </c>
      <c r="E138">
        <v>-3.377922520474641E-3</v>
      </c>
      <c r="F138">
        <v>198.23099999999999</v>
      </c>
      <c r="G138">
        <f t="shared" si="4"/>
        <v>-8.6944019855622612E-3</v>
      </c>
      <c r="H138">
        <v>5.5667399999999997E-3</v>
      </c>
      <c r="I138">
        <f t="shared" si="5"/>
        <v>3.5700000000000488E-5</v>
      </c>
      <c r="J138" s="6">
        <v>1</v>
      </c>
      <c r="K138">
        <v>1</v>
      </c>
      <c r="L138" t="b">
        <f>$K$138*$C$138&gt;0</f>
        <v>0</v>
      </c>
      <c r="N138" s="3"/>
    </row>
    <row r="139" spans="1:14" x14ac:dyDescent="0.45">
      <c r="A139" s="3">
        <v>42570</v>
      </c>
      <c r="B139">
        <v>14.265000000000001</v>
      </c>
      <c r="C139">
        <v>-1.2802768166089828E-2</v>
      </c>
      <c r="D139">
        <v>4330.13</v>
      </c>
      <c r="E139">
        <v>-6.3358529880166436E-3</v>
      </c>
      <c r="F139">
        <v>199.63749999999999</v>
      </c>
      <c r="G139">
        <f t="shared" si="4"/>
        <v>-7.0452695510612173E-3</v>
      </c>
      <c r="H139">
        <v>5.6339299999999997E-3</v>
      </c>
      <c r="I139">
        <f t="shared" si="5"/>
        <v>-6.7189999999999958E-5</v>
      </c>
      <c r="J139" s="6">
        <v>1</v>
      </c>
      <c r="K139">
        <v>1</v>
      </c>
      <c r="L139" t="b">
        <f>$K$139*$C$139&gt;0</f>
        <v>0</v>
      </c>
      <c r="N139" s="3"/>
    </row>
    <row r="140" spans="1:14" x14ac:dyDescent="0.45">
      <c r="A140" s="3">
        <v>42571</v>
      </c>
      <c r="B140">
        <v>14.255000000000001</v>
      </c>
      <c r="C140">
        <v>-7.0101647388709498E-4</v>
      </c>
      <c r="D140">
        <v>4379.76</v>
      </c>
      <c r="E140">
        <v>1.1461549653243752E-2</v>
      </c>
      <c r="F140">
        <v>199.43899999999999</v>
      </c>
      <c r="G140">
        <f t="shared" si="4"/>
        <v>9.9529179348079033E-4</v>
      </c>
      <c r="H140">
        <v>5.5982599999999999E-3</v>
      </c>
      <c r="I140">
        <f t="shared" si="5"/>
        <v>3.5669999999999799E-5</v>
      </c>
      <c r="J140" s="6">
        <v>1</v>
      </c>
      <c r="K140">
        <v>1</v>
      </c>
      <c r="L140" t="b">
        <f>$K$140*$C$140&gt;0</f>
        <v>0</v>
      </c>
      <c r="N140" s="3"/>
    </row>
    <row r="141" spans="1:14" x14ac:dyDescent="0.45">
      <c r="A141" s="3">
        <v>42572</v>
      </c>
      <c r="B141">
        <v>14.175000000000001</v>
      </c>
      <c r="C141">
        <v>-5.6120659417747687E-3</v>
      </c>
      <c r="D141">
        <v>4376.25</v>
      </c>
      <c r="E141">
        <v>-8.0141377609732611E-4</v>
      </c>
      <c r="F141">
        <v>200.58699999999999</v>
      </c>
      <c r="G141">
        <f t="shared" si="4"/>
        <v>-5.7232024009531424E-3</v>
      </c>
      <c r="H141">
        <v>5.4951499999999999E-3</v>
      </c>
      <c r="I141">
        <f t="shared" si="5"/>
        <v>1.0311000000000001E-4</v>
      </c>
      <c r="J141" s="6">
        <v>1</v>
      </c>
      <c r="K141">
        <v>1</v>
      </c>
      <c r="L141" t="b">
        <f>$K$141*$C$141&gt;0</f>
        <v>0</v>
      </c>
      <c r="N141" s="3"/>
    </row>
    <row r="142" spans="1:14" x14ac:dyDescent="0.45">
      <c r="A142" s="3">
        <v>42573</v>
      </c>
      <c r="B142">
        <v>14.465</v>
      </c>
      <c r="C142">
        <v>2.0458553791887102E-2</v>
      </c>
      <c r="D142">
        <v>4381.1000000000004</v>
      </c>
      <c r="E142">
        <v>1.1082547843475066E-3</v>
      </c>
      <c r="F142">
        <v>201.45150000000001</v>
      </c>
      <c r="G142">
        <f t="shared" si="4"/>
        <v>-4.2913554875492199E-3</v>
      </c>
      <c r="H142">
        <v>5.5057300000000003E-3</v>
      </c>
      <c r="I142">
        <f t="shared" si="5"/>
        <v>-1.0580000000000485E-5</v>
      </c>
      <c r="J142" s="6">
        <v>1</v>
      </c>
      <c r="K142">
        <v>1</v>
      </c>
      <c r="L142" t="b">
        <f>$K$142*$C$142&gt;0</f>
        <v>1</v>
      </c>
      <c r="N142" s="3"/>
    </row>
    <row r="143" spans="1:14" x14ac:dyDescent="0.45">
      <c r="A143" s="3">
        <v>42576</v>
      </c>
      <c r="B143">
        <v>14.355</v>
      </c>
      <c r="C143">
        <v>-7.6045627376425395E-3</v>
      </c>
      <c r="D143">
        <v>4388</v>
      </c>
      <c r="E143">
        <v>1.5749469311359121E-3</v>
      </c>
      <c r="F143">
        <v>202.24700000000001</v>
      </c>
      <c r="G143">
        <f t="shared" si="4"/>
        <v>-3.9333092703476291E-3</v>
      </c>
      <c r="H143">
        <v>5.5036800000000004E-3</v>
      </c>
      <c r="I143">
        <f t="shared" si="5"/>
        <v>2.0499999999999685E-6</v>
      </c>
      <c r="J143" s="6">
        <v>1</v>
      </c>
      <c r="K143">
        <v>1</v>
      </c>
      <c r="L143" t="b">
        <f>$K$143*$C$143&gt;0</f>
        <v>0</v>
      </c>
      <c r="N143" s="3"/>
    </row>
    <row r="144" spans="1:14" x14ac:dyDescent="0.45">
      <c r="A144" s="3">
        <v>42577</v>
      </c>
      <c r="B144">
        <v>13.82</v>
      </c>
      <c r="C144">
        <v>-3.7269244165795912E-2</v>
      </c>
      <c r="D144">
        <v>4394.7700000000004</v>
      </c>
      <c r="E144">
        <v>1.542844120328235E-3</v>
      </c>
      <c r="F144">
        <v>201.82300000000001</v>
      </c>
      <c r="G144">
        <f t="shared" si="4"/>
        <v>2.100850745455185E-3</v>
      </c>
      <c r="H144">
        <v>5.5876600000000004E-3</v>
      </c>
      <c r="I144">
        <f t="shared" si="5"/>
        <v>-8.3979999999999992E-5</v>
      </c>
      <c r="J144" s="6">
        <v>1</v>
      </c>
      <c r="K144">
        <v>1</v>
      </c>
      <c r="L144" t="b">
        <f>$K$144*$C$144&gt;0</f>
        <v>0</v>
      </c>
      <c r="N144" s="3"/>
    </row>
    <row r="145" spans="1:14" x14ac:dyDescent="0.45">
      <c r="A145" s="3">
        <v>42578</v>
      </c>
      <c r="B145">
        <v>13.824999999999999</v>
      </c>
      <c r="C145">
        <v>3.6179450072348907E-4</v>
      </c>
      <c r="D145">
        <v>4446.96</v>
      </c>
      <c r="E145">
        <v>1.1875479262851041E-2</v>
      </c>
      <c r="F145">
        <v>203.2165</v>
      </c>
      <c r="G145">
        <f t="shared" si="4"/>
        <v>-6.8572187789869288E-3</v>
      </c>
      <c r="H145">
        <v>5.5711199999999997E-3</v>
      </c>
      <c r="I145">
        <f t="shared" si="5"/>
        <v>1.6540000000000651E-5</v>
      </c>
      <c r="J145" s="6">
        <v>1</v>
      </c>
      <c r="K145">
        <v>1</v>
      </c>
      <c r="L145" t="b">
        <f>$K$145*$C$145&gt;0</f>
        <v>1</v>
      </c>
      <c r="N145" s="3"/>
    </row>
    <row r="146" spans="1:14" x14ac:dyDescent="0.45">
      <c r="A146" s="3">
        <v>42579</v>
      </c>
      <c r="B146">
        <v>13.685</v>
      </c>
      <c r="C146">
        <v>-1.0126582278480956E-2</v>
      </c>
      <c r="D146">
        <v>4420.58</v>
      </c>
      <c r="E146">
        <v>-5.9321424073974782E-3</v>
      </c>
      <c r="F146">
        <v>203.5675</v>
      </c>
      <c r="G146">
        <f t="shared" si="4"/>
        <v>-1.7242438011961791E-3</v>
      </c>
      <c r="H146">
        <v>5.6088600000000002E-3</v>
      </c>
      <c r="I146">
        <f t="shared" si="5"/>
        <v>-3.7740000000000516E-5</v>
      </c>
      <c r="J146" s="6">
        <v>1</v>
      </c>
      <c r="K146">
        <v>1</v>
      </c>
      <c r="L146" t="b">
        <f>$K$146*$C$146&gt;0</f>
        <v>0</v>
      </c>
      <c r="N146" s="3"/>
    </row>
    <row r="147" spans="1:14" x14ac:dyDescent="0.45">
      <c r="A147" s="3">
        <v>42580</v>
      </c>
      <c r="B147">
        <v>13.69</v>
      </c>
      <c r="C147">
        <v>3.6536353671889898E-4</v>
      </c>
      <c r="D147">
        <v>4439.8100000000004</v>
      </c>
      <c r="E147">
        <v>4.3501079043928303E-3</v>
      </c>
      <c r="F147">
        <v>204.29949999999999</v>
      </c>
      <c r="G147">
        <f t="shared" si="4"/>
        <v>-3.5829749950440082E-3</v>
      </c>
      <c r="H147">
        <v>5.6172499999999998E-3</v>
      </c>
      <c r="I147">
        <f t="shared" si="5"/>
        <v>-8.389999999999613E-6</v>
      </c>
      <c r="J147" s="6">
        <v>1</v>
      </c>
      <c r="K147">
        <v>1</v>
      </c>
      <c r="L147" t="b">
        <f>$K$147*$C$147&gt;0</f>
        <v>1</v>
      </c>
      <c r="N147" s="3"/>
    </row>
    <row r="148" spans="1:14" x14ac:dyDescent="0.45">
      <c r="A148" s="3">
        <v>42583</v>
      </c>
      <c r="B148">
        <v>13.755000000000001</v>
      </c>
      <c r="C148">
        <v>4.7479912344778885E-3</v>
      </c>
      <c r="D148">
        <v>4409.17</v>
      </c>
      <c r="E148">
        <v>-6.9011962223609613E-3</v>
      </c>
      <c r="F148">
        <v>203.86850000000001</v>
      </c>
      <c r="G148">
        <f t="shared" si="4"/>
        <v>2.1141078685524839E-3</v>
      </c>
      <c r="H148">
        <v>5.5202100000000002E-3</v>
      </c>
      <c r="I148">
        <f t="shared" si="5"/>
        <v>9.7039999999999627E-5</v>
      </c>
      <c r="J148" s="6">
        <v>1</v>
      </c>
      <c r="K148">
        <v>1</v>
      </c>
      <c r="L148" t="b">
        <f>$K$148*$C$148&gt;0</f>
        <v>1</v>
      </c>
      <c r="N148" s="3"/>
    </row>
    <row r="149" spans="1:14" x14ac:dyDescent="0.45">
      <c r="A149" s="3">
        <v>42584</v>
      </c>
      <c r="B149">
        <v>13.505000000000001</v>
      </c>
      <c r="C149">
        <v>-1.8175209014903659E-2</v>
      </c>
      <c r="D149">
        <v>4327.99</v>
      </c>
      <c r="E149">
        <v>-1.8411628492437382E-2</v>
      </c>
      <c r="F149">
        <v>202.54300000000001</v>
      </c>
      <c r="G149">
        <f t="shared" si="4"/>
        <v>6.5442893607776664E-3</v>
      </c>
      <c r="H149">
        <v>5.5859600000000001E-3</v>
      </c>
      <c r="I149">
        <f t="shared" si="5"/>
        <v>-6.5749999999999836E-5</v>
      </c>
      <c r="J149" s="6">
        <v>1</v>
      </c>
      <c r="K149">
        <v>1</v>
      </c>
      <c r="L149" t="b">
        <f>$K$149*$C$149&gt;0</f>
        <v>0</v>
      </c>
      <c r="N149" s="3"/>
    </row>
    <row r="150" spans="1:14" x14ac:dyDescent="0.45">
      <c r="A150" s="3">
        <v>42585</v>
      </c>
      <c r="B150">
        <v>13.59</v>
      </c>
      <c r="C150">
        <v>6.2939651980746802E-3</v>
      </c>
      <c r="D150">
        <v>4321.08</v>
      </c>
      <c r="E150">
        <v>-1.5965840956193578E-3</v>
      </c>
      <c r="F150">
        <v>202.68549999999999</v>
      </c>
      <c r="G150">
        <f t="shared" si="4"/>
        <v>-7.030596663302191E-4</v>
      </c>
      <c r="H150">
        <v>5.6438499999999997E-3</v>
      </c>
      <c r="I150">
        <f t="shared" si="5"/>
        <v>-5.7889999999999678E-5</v>
      </c>
      <c r="J150" s="6">
        <v>1</v>
      </c>
      <c r="K150">
        <v>1</v>
      </c>
      <c r="L150" t="b">
        <f>$K$150*$C$150&gt;0</f>
        <v>1</v>
      </c>
      <c r="N150" s="3"/>
    </row>
    <row r="151" spans="1:14" x14ac:dyDescent="0.45">
      <c r="A151" s="3">
        <v>42586</v>
      </c>
      <c r="B151">
        <v>13.654999999999999</v>
      </c>
      <c r="C151">
        <v>4.7829286239882141E-3</v>
      </c>
      <c r="D151">
        <v>4345.63</v>
      </c>
      <c r="E151">
        <v>5.6814500078683494E-3</v>
      </c>
      <c r="F151">
        <v>203.85149999999999</v>
      </c>
      <c r="G151">
        <f t="shared" si="4"/>
        <v>-5.7198499888398979E-3</v>
      </c>
      <c r="H151">
        <v>5.5294100000000002E-3</v>
      </c>
      <c r="I151">
        <f t="shared" si="5"/>
        <v>1.1443999999999951E-4</v>
      </c>
      <c r="J151" s="6">
        <v>1</v>
      </c>
      <c r="K151">
        <v>1</v>
      </c>
      <c r="L151" t="b">
        <f>$K$151*$C$151&gt;0</f>
        <v>1</v>
      </c>
      <c r="N151" s="3"/>
    </row>
    <row r="152" spans="1:14" x14ac:dyDescent="0.45">
      <c r="A152" s="3">
        <v>42587</v>
      </c>
      <c r="B152">
        <v>13.84</v>
      </c>
      <c r="C152">
        <v>1.354815086049066E-2</v>
      </c>
      <c r="D152">
        <v>4410.55</v>
      </c>
      <c r="E152">
        <v>1.4939145762524753E-2</v>
      </c>
      <c r="F152">
        <v>202.86699999999999</v>
      </c>
      <c r="G152">
        <f t="shared" si="4"/>
        <v>4.8529332025415428E-3</v>
      </c>
      <c r="H152">
        <v>5.3700800000000002E-3</v>
      </c>
      <c r="I152">
        <f t="shared" si="5"/>
        <v>1.5933000000000006E-4</v>
      </c>
      <c r="J152" s="6">
        <v>1</v>
      </c>
      <c r="K152">
        <v>1</v>
      </c>
      <c r="L152" t="b">
        <f>$K$152*$C$152&gt;0</f>
        <v>1</v>
      </c>
      <c r="N152" s="3"/>
    </row>
    <row r="153" spans="1:14" x14ac:dyDescent="0.45">
      <c r="A153" s="3">
        <v>42590</v>
      </c>
      <c r="B153">
        <v>13.75</v>
      </c>
      <c r="C153">
        <v>-6.5028901734104361E-3</v>
      </c>
      <c r="D153">
        <v>4415.46</v>
      </c>
      <c r="E153">
        <v>1.113239845370817E-3</v>
      </c>
      <c r="F153">
        <v>202.489</v>
      </c>
      <c r="G153">
        <f t="shared" si="4"/>
        <v>1.8667680713519985E-3</v>
      </c>
      <c r="H153">
        <v>5.3455600000000001E-3</v>
      </c>
      <c r="I153">
        <f t="shared" si="5"/>
        <v>2.4520000000000097E-5</v>
      </c>
      <c r="J153" s="6">
        <v>1</v>
      </c>
      <c r="K153">
        <v>1</v>
      </c>
      <c r="L153" t="b">
        <f>$K$153*$C$153&gt;0</f>
        <v>0</v>
      </c>
      <c r="N153" s="3"/>
    </row>
    <row r="154" spans="1:14" x14ac:dyDescent="0.45">
      <c r="A154" s="3">
        <v>42591</v>
      </c>
      <c r="B154">
        <v>13.925000000000001</v>
      </c>
      <c r="C154">
        <v>1.2727272727272698E-2</v>
      </c>
      <c r="D154">
        <v>4468.07</v>
      </c>
      <c r="E154">
        <v>1.1914953368391989E-2</v>
      </c>
      <c r="F154">
        <v>202.89099999999999</v>
      </c>
      <c r="G154">
        <f t="shared" si="4"/>
        <v>-1.9813594491623343E-3</v>
      </c>
      <c r="H154">
        <v>5.3415900000000002E-3</v>
      </c>
      <c r="I154">
        <f t="shared" si="5"/>
        <v>3.9699999999998417E-6</v>
      </c>
      <c r="J154" s="6">
        <v>1</v>
      </c>
      <c r="K154">
        <v>1</v>
      </c>
      <c r="L154" t="b">
        <f>$K$154*$C$154&gt;0</f>
        <v>1</v>
      </c>
      <c r="N154" s="3"/>
    </row>
    <row r="155" spans="1:14" x14ac:dyDescent="0.45">
      <c r="A155" s="3">
        <v>42592</v>
      </c>
      <c r="B155">
        <v>13.824999999999999</v>
      </c>
      <c r="C155">
        <v>-7.1813285457810183E-3</v>
      </c>
      <c r="D155">
        <v>4452.01</v>
      </c>
      <c r="E155">
        <v>-3.5943931048527666E-3</v>
      </c>
      <c r="F155">
        <v>203.917</v>
      </c>
      <c r="G155">
        <f t="shared" si="4"/>
        <v>-5.0314588778768154E-3</v>
      </c>
      <c r="H155">
        <v>5.3310199999999997E-3</v>
      </c>
      <c r="I155">
        <f t="shared" si="5"/>
        <v>1.0570000000000544E-5</v>
      </c>
      <c r="J155" s="6">
        <v>1</v>
      </c>
      <c r="K155">
        <v>1</v>
      </c>
      <c r="L155" t="b">
        <f>$K$155*$C$155&gt;0</f>
        <v>0</v>
      </c>
      <c r="N155" s="3"/>
    </row>
    <row r="156" spans="1:14" x14ac:dyDescent="0.45">
      <c r="A156" s="3">
        <v>42593</v>
      </c>
      <c r="B156">
        <v>14.125</v>
      </c>
      <c r="C156">
        <v>2.1699819168173651E-2</v>
      </c>
      <c r="D156">
        <v>4503.95</v>
      </c>
      <c r="E156">
        <v>1.1666640461274635E-2</v>
      </c>
      <c r="F156">
        <v>203.51849999999999</v>
      </c>
      <c r="G156">
        <f t="shared" si="4"/>
        <v>1.9580529534171109E-3</v>
      </c>
      <c r="H156">
        <v>5.3833400000000003E-3</v>
      </c>
      <c r="I156">
        <f t="shared" si="5"/>
        <v>-5.2320000000000665E-5</v>
      </c>
      <c r="J156" s="6">
        <v>1</v>
      </c>
      <c r="K156">
        <v>1</v>
      </c>
      <c r="L156" t="b">
        <f>$K$156*$C$156&gt;0</f>
        <v>1</v>
      </c>
      <c r="N156" s="3"/>
    </row>
    <row r="157" spans="1:14" x14ac:dyDescent="0.45">
      <c r="A157" s="3">
        <v>42594</v>
      </c>
      <c r="B157">
        <v>14.125</v>
      </c>
      <c r="C157">
        <v>0</v>
      </c>
      <c r="D157">
        <v>4500.1899999999996</v>
      </c>
      <c r="E157">
        <v>-8.3482276668267463E-4</v>
      </c>
      <c r="F157">
        <v>203.72900000000001</v>
      </c>
      <c r="G157">
        <f t="shared" si="4"/>
        <v>-1.0332353273222461E-3</v>
      </c>
      <c r="H157">
        <v>5.41173E-3</v>
      </c>
      <c r="I157">
        <f t="shared" si="5"/>
        <v>-2.8389999999999666E-5</v>
      </c>
      <c r="J157" s="6">
        <v>1</v>
      </c>
      <c r="K157">
        <v>1</v>
      </c>
      <c r="L157" t="b">
        <f>$K$157*$C$157&gt;0</f>
        <v>0</v>
      </c>
      <c r="N157" s="3"/>
    </row>
    <row r="158" spans="1:14" x14ac:dyDescent="0.45">
      <c r="A158" s="3">
        <v>42597</v>
      </c>
      <c r="B158">
        <v>13.97</v>
      </c>
      <c r="C158">
        <v>-1.0973451327433548E-2</v>
      </c>
      <c r="D158">
        <v>4497.8599999999997</v>
      </c>
      <c r="E158">
        <v>-5.1775591697234002E-4</v>
      </c>
      <c r="F158">
        <v>203.07249999999999</v>
      </c>
      <c r="G158">
        <f t="shared" si="4"/>
        <v>3.2328355636535022E-3</v>
      </c>
      <c r="H158">
        <v>5.4279200000000001E-3</v>
      </c>
      <c r="I158">
        <f t="shared" si="5"/>
        <v>-1.6190000000000128E-5</v>
      </c>
      <c r="J158" s="6">
        <v>1</v>
      </c>
      <c r="K158">
        <v>1</v>
      </c>
      <c r="L158" t="b">
        <f>$K$158*$C$158&gt;0</f>
        <v>0</v>
      </c>
      <c r="N158" s="3"/>
    </row>
    <row r="159" spans="1:14" x14ac:dyDescent="0.45">
      <c r="A159" s="3">
        <v>42598</v>
      </c>
      <c r="B159">
        <v>13.785</v>
      </c>
      <c r="C159">
        <v>-1.3242662848962139E-2</v>
      </c>
      <c r="D159">
        <v>4460.4399999999996</v>
      </c>
      <c r="E159">
        <v>-8.3195119456808131E-3</v>
      </c>
      <c r="F159">
        <v>201.94550000000001</v>
      </c>
      <c r="G159">
        <f t="shared" si="4"/>
        <v>5.5807136083745323E-3</v>
      </c>
      <c r="H159">
        <v>5.4345799999999996E-3</v>
      </c>
      <c r="I159">
        <f t="shared" si="5"/>
        <v>-6.6599999999994788E-6</v>
      </c>
      <c r="J159" s="6">
        <v>1</v>
      </c>
      <c r="K159">
        <v>1</v>
      </c>
      <c r="L159" t="b">
        <f>$K$159*$C$159&gt;0</f>
        <v>0</v>
      </c>
      <c r="N159" s="3"/>
    </row>
    <row r="160" spans="1:14" x14ac:dyDescent="0.45">
      <c r="A160" s="3">
        <v>42599</v>
      </c>
      <c r="B160">
        <v>13.61</v>
      </c>
      <c r="C160">
        <v>-1.2694958287994274E-2</v>
      </c>
      <c r="D160">
        <v>4417.68</v>
      </c>
      <c r="E160">
        <v>-9.5864981930032789E-3</v>
      </c>
      <c r="F160">
        <v>202.38399999999999</v>
      </c>
      <c r="G160">
        <f t="shared" si="4"/>
        <v>-2.1666732548026868E-3</v>
      </c>
      <c r="H160">
        <v>5.4368699999999999E-3</v>
      </c>
      <c r="I160">
        <f t="shared" si="5"/>
        <v>-2.2900000000002779E-6</v>
      </c>
      <c r="J160" s="6">
        <v>1</v>
      </c>
      <c r="K160">
        <v>1</v>
      </c>
      <c r="L160" t="b">
        <f>$K$160*$C$160&gt;0</f>
        <v>0</v>
      </c>
      <c r="N160" s="3"/>
    </row>
    <row r="161" spans="1:14" x14ac:dyDescent="0.45">
      <c r="A161" s="3">
        <v>42600</v>
      </c>
      <c r="B161">
        <v>13.68</v>
      </c>
      <c r="C161">
        <v>5.1432770022041829E-3</v>
      </c>
      <c r="D161">
        <v>4437.0600000000004</v>
      </c>
      <c r="E161">
        <v>4.386918020318431E-3</v>
      </c>
      <c r="F161">
        <v>203.21799999999999</v>
      </c>
      <c r="G161">
        <f t="shared" si="4"/>
        <v>-4.1039671682626677E-3</v>
      </c>
      <c r="H161">
        <v>5.4440199999999999E-3</v>
      </c>
      <c r="I161">
        <f t="shared" si="5"/>
        <v>-7.1500000000000383E-6</v>
      </c>
      <c r="J161" s="6">
        <v>1</v>
      </c>
      <c r="K161">
        <v>1</v>
      </c>
      <c r="L161" t="b">
        <f>$K$161*$C$161&gt;0</f>
        <v>1</v>
      </c>
      <c r="N161" s="3"/>
    </row>
    <row r="162" spans="1:14" x14ac:dyDescent="0.45">
      <c r="A162" s="3">
        <v>42601</v>
      </c>
      <c r="B162">
        <v>13.505000000000001</v>
      </c>
      <c r="C162">
        <v>-1.2792397660818633E-2</v>
      </c>
      <c r="D162">
        <v>4400.5200000000004</v>
      </c>
      <c r="E162">
        <v>-8.2351827561493174E-3</v>
      </c>
      <c r="F162">
        <v>201.935</v>
      </c>
      <c r="G162">
        <f t="shared" si="4"/>
        <v>6.3535296011092424E-3</v>
      </c>
      <c r="H162">
        <v>5.4536200000000002E-3</v>
      </c>
      <c r="I162">
        <f t="shared" si="5"/>
        <v>-9.6000000000002333E-6</v>
      </c>
      <c r="J162" s="6">
        <v>1</v>
      </c>
      <c r="K162">
        <v>1</v>
      </c>
      <c r="L162" t="b">
        <f>$K$162*$C$162&gt;0</f>
        <v>0</v>
      </c>
      <c r="N162" s="3"/>
    </row>
    <row r="163" spans="1:14" x14ac:dyDescent="0.45">
      <c r="A163" s="3">
        <v>42604</v>
      </c>
      <c r="B163">
        <v>13.625</v>
      </c>
      <c r="C163">
        <v>8.8855979266937446E-3</v>
      </c>
      <c r="D163">
        <v>4389.9399999999996</v>
      </c>
      <c r="E163">
        <v>-2.4042613145720537E-3</v>
      </c>
      <c r="F163">
        <v>203.27099999999999</v>
      </c>
      <c r="G163">
        <f t="shared" si="4"/>
        <v>-6.5725066536790333E-3</v>
      </c>
      <c r="H163">
        <v>5.5443100000000002E-3</v>
      </c>
      <c r="I163">
        <f t="shared" si="5"/>
        <v>-9.0690000000000041E-5</v>
      </c>
      <c r="J163" s="6">
        <v>1</v>
      </c>
      <c r="K163">
        <v>1</v>
      </c>
      <c r="L163" t="b">
        <f>$K$163*$C$163&gt;0</f>
        <v>1</v>
      </c>
      <c r="N163" s="3"/>
    </row>
    <row r="164" spans="1:14" x14ac:dyDescent="0.45">
      <c r="A164" s="3">
        <v>42605</v>
      </c>
      <c r="B164">
        <v>13.675000000000001</v>
      </c>
      <c r="C164">
        <v>3.6697247706423131E-3</v>
      </c>
      <c r="D164">
        <v>4421.45</v>
      </c>
      <c r="E164">
        <v>7.1777746392889252E-3</v>
      </c>
      <c r="F164">
        <v>203.37549999999999</v>
      </c>
      <c r="G164">
        <f t="shared" si="4"/>
        <v>-5.1382787012199671E-4</v>
      </c>
      <c r="H164">
        <v>5.5953599999999997E-3</v>
      </c>
      <c r="I164">
        <f t="shared" si="5"/>
        <v>-5.1049999999999533E-5</v>
      </c>
      <c r="J164" s="6">
        <v>1</v>
      </c>
      <c r="K164">
        <v>1</v>
      </c>
      <c r="L164" t="b">
        <f>$K$164*$C$164&gt;0</f>
        <v>1</v>
      </c>
      <c r="N164" s="3"/>
    </row>
    <row r="165" spans="1:14" x14ac:dyDescent="0.45">
      <c r="A165" s="3">
        <v>42606</v>
      </c>
      <c r="B165">
        <v>13.53</v>
      </c>
      <c r="C165">
        <v>-1.0603290676416965E-2</v>
      </c>
      <c r="D165">
        <v>4435.47</v>
      </c>
      <c r="E165">
        <v>3.1709054721869023E-3</v>
      </c>
      <c r="F165">
        <v>203.1155</v>
      </c>
      <c r="G165">
        <f t="shared" si="4"/>
        <v>1.2800598674151953E-3</v>
      </c>
      <c r="H165">
        <v>5.5885900000000001E-3</v>
      </c>
      <c r="I165">
        <f t="shared" si="5"/>
        <v>6.7699999999996929E-6</v>
      </c>
      <c r="J165" s="6">
        <v>1</v>
      </c>
      <c r="K165">
        <v>1</v>
      </c>
      <c r="L165" t="b">
        <f>$K$165*$C$165&gt;0</f>
        <v>0</v>
      </c>
      <c r="N165" s="3"/>
    </row>
    <row r="166" spans="1:14" x14ac:dyDescent="0.45">
      <c r="A166" s="3">
        <v>42607</v>
      </c>
      <c r="B166">
        <v>13.6</v>
      </c>
      <c r="C166">
        <v>5.1736881005173263E-3</v>
      </c>
      <c r="D166">
        <v>4406.6099999999997</v>
      </c>
      <c r="E166">
        <v>-6.5066385298515605E-3</v>
      </c>
      <c r="F166">
        <v>202.53800000000001</v>
      </c>
      <c r="G166">
        <f t="shared" si="4"/>
        <v>2.851316789935554E-3</v>
      </c>
      <c r="H166">
        <v>5.59181E-3</v>
      </c>
      <c r="I166">
        <f t="shared" si="5"/>
        <v>-3.219999999999959E-6</v>
      </c>
      <c r="J166" s="6">
        <v>1</v>
      </c>
      <c r="K166">
        <v>1</v>
      </c>
      <c r="L166" t="b">
        <f>$K$166*$C$166&gt;0</f>
        <v>1</v>
      </c>
      <c r="N166" s="3"/>
    </row>
    <row r="167" spans="1:14" x14ac:dyDescent="0.45">
      <c r="A167" s="3">
        <v>42608</v>
      </c>
      <c r="B167">
        <v>13.66</v>
      </c>
      <c r="C167">
        <v>4.4117647058823373E-3</v>
      </c>
      <c r="D167">
        <v>4441.87</v>
      </c>
      <c r="E167">
        <v>8.0016157545141908E-3</v>
      </c>
      <c r="F167">
        <v>202.43199999999999</v>
      </c>
      <c r="G167">
        <f t="shared" si="4"/>
        <v>5.2363262725263482E-4</v>
      </c>
      <c r="H167">
        <v>5.5959199999999999E-3</v>
      </c>
      <c r="I167">
        <f t="shared" si="5"/>
        <v>-4.1099999999998776E-6</v>
      </c>
      <c r="J167" s="6">
        <v>1</v>
      </c>
      <c r="K167">
        <v>1</v>
      </c>
      <c r="L167" t="b">
        <f>$K$167*$C$167&gt;0</f>
        <v>1</v>
      </c>
      <c r="N167" s="3"/>
    </row>
    <row r="168" spans="1:14" x14ac:dyDescent="0.45">
      <c r="A168" s="3">
        <v>42611</v>
      </c>
      <c r="B168">
        <v>13.525</v>
      </c>
      <c r="C168">
        <v>-9.8828696925329362E-3</v>
      </c>
      <c r="D168">
        <v>4424.25</v>
      </c>
      <c r="E168">
        <v>-3.9667977676068888E-3</v>
      </c>
      <c r="F168">
        <v>202.69149999999999</v>
      </c>
      <c r="G168">
        <f t="shared" si="4"/>
        <v>-1.2802707562971083E-3</v>
      </c>
      <c r="H168">
        <v>5.6116500000000001E-3</v>
      </c>
      <c r="I168">
        <f t="shared" si="5"/>
        <v>-1.5730000000000258E-5</v>
      </c>
      <c r="J168" s="6">
        <v>1</v>
      </c>
      <c r="K168">
        <v>1</v>
      </c>
      <c r="L168" t="b">
        <f>$K$168*$C$168&gt;0</f>
        <v>0</v>
      </c>
      <c r="N168" s="3"/>
    </row>
    <row r="169" spans="1:14" x14ac:dyDescent="0.45">
      <c r="A169" s="3">
        <v>42612</v>
      </c>
      <c r="B169">
        <v>13.525</v>
      </c>
      <c r="C169">
        <v>0</v>
      </c>
      <c r="D169">
        <v>4457.49</v>
      </c>
      <c r="E169">
        <v>7.5131378199695398E-3</v>
      </c>
      <c r="F169">
        <v>203.08199999999999</v>
      </c>
      <c r="G169">
        <f t="shared" si="4"/>
        <v>-1.922868594951832E-3</v>
      </c>
      <c r="H169">
        <v>5.6018500000000002E-3</v>
      </c>
      <c r="I169">
        <f t="shared" si="5"/>
        <v>9.7999999999999129E-6</v>
      </c>
      <c r="J169" s="6">
        <v>1</v>
      </c>
      <c r="K169">
        <v>1</v>
      </c>
      <c r="L169" t="b">
        <f>$K$169*$C$169&gt;0</f>
        <v>0</v>
      </c>
      <c r="N169" s="3"/>
    </row>
    <row r="170" spans="1:14" x14ac:dyDescent="0.45">
      <c r="A170" s="3">
        <v>42613</v>
      </c>
      <c r="B170">
        <v>13.69</v>
      </c>
      <c r="C170">
        <v>1.2199630314232879E-2</v>
      </c>
      <c r="D170">
        <v>4438.22</v>
      </c>
      <c r="E170">
        <v>-4.3230607359746598E-3</v>
      </c>
      <c r="F170">
        <v>202.346</v>
      </c>
      <c r="G170">
        <f t="shared" si="4"/>
        <v>3.6373340713431457E-3</v>
      </c>
      <c r="H170">
        <v>5.6028800000000002E-3</v>
      </c>
      <c r="I170">
        <f t="shared" si="5"/>
        <v>-1.0299999999999546E-6</v>
      </c>
      <c r="J170" s="6">
        <v>1</v>
      </c>
      <c r="K170">
        <v>1</v>
      </c>
      <c r="L170" t="b">
        <f>$K$170*$C$170&gt;0</f>
        <v>1</v>
      </c>
      <c r="N170" s="3"/>
    </row>
    <row r="171" spans="1:14" x14ac:dyDescent="0.45">
      <c r="A171" s="3">
        <v>42614</v>
      </c>
      <c r="B171">
        <v>13.414999999999999</v>
      </c>
      <c r="C171">
        <v>-2.0087655222790435E-2</v>
      </c>
      <c r="D171">
        <v>4439.67</v>
      </c>
      <c r="E171">
        <v>3.2670755392927298E-4</v>
      </c>
      <c r="F171">
        <v>202.06899999999999</v>
      </c>
      <c r="G171">
        <f t="shared" si="4"/>
        <v>1.370818878699831E-3</v>
      </c>
      <c r="H171">
        <v>5.5998899999999997E-3</v>
      </c>
      <c r="I171">
        <f t="shared" si="5"/>
        <v>2.9900000000004576E-6</v>
      </c>
      <c r="J171" s="6">
        <v>1</v>
      </c>
      <c r="K171">
        <v>1</v>
      </c>
      <c r="L171" t="b">
        <f>$K$171*$C$171&gt;0</f>
        <v>0</v>
      </c>
      <c r="N171" s="3"/>
    </row>
    <row r="172" spans="1:14" x14ac:dyDescent="0.45">
      <c r="A172" s="3">
        <v>42615</v>
      </c>
      <c r="B172">
        <v>13.7</v>
      </c>
      <c r="C172">
        <v>2.1244875139768915E-2</v>
      </c>
      <c r="D172">
        <v>4542.17</v>
      </c>
      <c r="E172">
        <v>2.3087301533672555E-2</v>
      </c>
      <c r="F172">
        <v>201.221</v>
      </c>
      <c r="G172">
        <f t="shared" si="4"/>
        <v>4.2142718702322668E-3</v>
      </c>
      <c r="H172">
        <v>5.5939400000000004E-3</v>
      </c>
      <c r="I172">
        <f t="shared" si="5"/>
        <v>5.9499999999993586E-6</v>
      </c>
      <c r="J172" s="6">
        <v>1</v>
      </c>
      <c r="K172">
        <v>1</v>
      </c>
      <c r="L172" t="b">
        <f>$K$172*$C$172&gt;0</f>
        <v>1</v>
      </c>
      <c r="N172" s="3"/>
    </row>
    <row r="173" spans="1:14" x14ac:dyDescent="0.45">
      <c r="A173" s="3">
        <v>42618</v>
      </c>
      <c r="B173">
        <v>13.66</v>
      </c>
      <c r="C173">
        <v>-2.9197080291970545E-3</v>
      </c>
      <c r="D173">
        <v>4541.08</v>
      </c>
      <c r="E173">
        <v>-2.3997340478232321E-4</v>
      </c>
      <c r="F173">
        <v>201.39150000000001</v>
      </c>
      <c r="G173">
        <f t="shared" si="4"/>
        <v>-8.4660971292238596E-4</v>
      </c>
      <c r="H173">
        <v>5.56173E-3</v>
      </c>
      <c r="I173">
        <f t="shared" si="5"/>
        <v>3.2210000000000398E-5</v>
      </c>
      <c r="J173" s="6">
        <v>1</v>
      </c>
      <c r="K173">
        <v>1</v>
      </c>
      <c r="L173" t="b">
        <f>$K$173*$C$173&gt;0</f>
        <v>0</v>
      </c>
      <c r="N173" s="3"/>
    </row>
    <row r="174" spans="1:14" x14ac:dyDescent="0.45">
      <c r="A174" s="3">
        <v>42619</v>
      </c>
      <c r="B174">
        <v>13.595000000000001</v>
      </c>
      <c r="C174">
        <v>-4.7584187408491463E-3</v>
      </c>
      <c r="D174">
        <v>4529.96</v>
      </c>
      <c r="E174">
        <v>-2.4487566834321406E-3</v>
      </c>
      <c r="F174">
        <v>203</v>
      </c>
      <c r="G174">
        <f t="shared" si="4"/>
        <v>-7.9236453201969592E-3</v>
      </c>
      <c r="H174">
        <v>5.4712600000000004E-3</v>
      </c>
      <c r="I174">
        <f t="shared" si="5"/>
        <v>9.0469999999999613E-5</v>
      </c>
      <c r="J174" s="6">
        <v>1</v>
      </c>
      <c r="K174">
        <v>1</v>
      </c>
      <c r="L174" t="b">
        <f>$K$174*$C$174&gt;0</f>
        <v>0</v>
      </c>
      <c r="N174" s="3"/>
    </row>
    <row r="175" spans="1:14" x14ac:dyDescent="0.45">
      <c r="A175" s="3">
        <v>42620</v>
      </c>
      <c r="B175">
        <v>13.605</v>
      </c>
      <c r="C175">
        <v>7.3556454578893593E-4</v>
      </c>
      <c r="D175">
        <v>4557.66</v>
      </c>
      <c r="E175">
        <v>6.114844281185583E-3</v>
      </c>
      <c r="F175">
        <v>203.40450000000001</v>
      </c>
      <c r="G175">
        <f t="shared" si="4"/>
        <v>-1.9886482354127821E-3</v>
      </c>
      <c r="H175">
        <v>5.4249199999999997E-3</v>
      </c>
      <c r="I175">
        <f t="shared" si="5"/>
        <v>4.6340000000000617E-5</v>
      </c>
      <c r="J175" s="6">
        <v>1</v>
      </c>
      <c r="K175">
        <v>1</v>
      </c>
      <c r="L175" t="b">
        <f>$K$175*$C$175&gt;0</f>
        <v>1</v>
      </c>
      <c r="N175" s="3"/>
    </row>
    <row r="176" spans="1:14" x14ac:dyDescent="0.45">
      <c r="A176" s="3">
        <v>42621</v>
      </c>
      <c r="B176">
        <v>13.72</v>
      </c>
      <c r="C176">
        <v>8.4527747151783572E-3</v>
      </c>
      <c r="D176">
        <v>4542.2</v>
      </c>
      <c r="E176">
        <v>-3.392091555754484E-3</v>
      </c>
      <c r="F176">
        <v>201.68600000000001</v>
      </c>
      <c r="G176">
        <f t="shared" si="4"/>
        <v>8.520670745614467E-3</v>
      </c>
      <c r="H176">
        <v>5.3920599999999997E-3</v>
      </c>
      <c r="I176">
        <f t="shared" si="5"/>
        <v>3.2860000000000007E-5</v>
      </c>
      <c r="J176" s="6">
        <v>1</v>
      </c>
      <c r="K176">
        <v>1</v>
      </c>
      <c r="L176" t="b">
        <f>$K$176*$C$176&gt;0</f>
        <v>1</v>
      </c>
      <c r="N176" s="3"/>
    </row>
    <row r="177" spans="1:14" x14ac:dyDescent="0.45">
      <c r="A177" s="3">
        <v>42622</v>
      </c>
      <c r="B177">
        <v>13.62</v>
      </c>
      <c r="C177">
        <v>-7.2886297376094644E-3</v>
      </c>
      <c r="D177">
        <v>4491.3999999999996</v>
      </c>
      <c r="E177">
        <v>-1.1184007749548752E-2</v>
      </c>
      <c r="F177">
        <v>199.66800000000001</v>
      </c>
      <c r="G177">
        <f t="shared" si="4"/>
        <v>1.0106777250235455E-2</v>
      </c>
      <c r="H177">
        <v>5.4532399999999998E-3</v>
      </c>
      <c r="I177">
        <f t="shared" si="5"/>
        <v>-6.1180000000000088E-5</v>
      </c>
      <c r="J177" s="6">
        <v>1</v>
      </c>
      <c r="K177">
        <v>1</v>
      </c>
      <c r="L177" t="b">
        <f>$K$177*$C$177&gt;0</f>
        <v>0</v>
      </c>
      <c r="N177" s="3"/>
    </row>
    <row r="178" spans="1:14" x14ac:dyDescent="0.45">
      <c r="A178" s="3">
        <v>42625</v>
      </c>
      <c r="B178">
        <v>13.39</v>
      </c>
      <c r="C178">
        <v>-1.6886930983847193E-2</v>
      </c>
      <c r="D178">
        <v>4439.8</v>
      </c>
      <c r="E178">
        <v>-1.1488622701162132E-2</v>
      </c>
      <c r="F178">
        <v>198.922</v>
      </c>
      <c r="G178">
        <f t="shared" si="4"/>
        <v>3.7502136515821238E-3</v>
      </c>
      <c r="H178">
        <v>5.7251400000000001E-3</v>
      </c>
      <c r="I178">
        <f t="shared" si="5"/>
        <v>-2.7190000000000027E-4</v>
      </c>
      <c r="J178" s="6">
        <v>1</v>
      </c>
      <c r="K178">
        <v>1</v>
      </c>
      <c r="L178" t="b">
        <f>$K$178*$C$178&gt;0</f>
        <v>0</v>
      </c>
      <c r="N178" s="3"/>
    </row>
    <row r="179" spans="1:14" x14ac:dyDescent="0.45">
      <c r="A179" s="3">
        <v>42626</v>
      </c>
      <c r="B179">
        <v>13.175000000000001</v>
      </c>
      <c r="C179">
        <v>-1.6056758775205404E-2</v>
      </c>
      <c r="D179">
        <v>4387.18</v>
      </c>
      <c r="E179">
        <v>-1.1851885220054981E-2</v>
      </c>
      <c r="F179">
        <v>198.03700000000001</v>
      </c>
      <c r="G179">
        <f t="shared" si="4"/>
        <v>4.468861879345809E-3</v>
      </c>
      <c r="H179">
        <v>5.7084900000000001E-3</v>
      </c>
      <c r="I179">
        <f t="shared" si="5"/>
        <v>1.6649999999999998E-5</v>
      </c>
      <c r="J179" s="6">
        <v>1</v>
      </c>
      <c r="K179">
        <v>1</v>
      </c>
      <c r="L179" t="b">
        <f>$K$179*$C$179&gt;0</f>
        <v>0</v>
      </c>
      <c r="N179" s="3"/>
    </row>
    <row r="180" spans="1:14" x14ac:dyDescent="0.45">
      <c r="A180" s="3">
        <v>42627</v>
      </c>
      <c r="B180">
        <v>13.1</v>
      </c>
      <c r="C180">
        <v>-5.6925996204933993E-3</v>
      </c>
      <c r="D180">
        <v>4370.26</v>
      </c>
      <c r="E180">
        <v>-3.8566915421751613E-3</v>
      </c>
      <c r="F180">
        <v>198.97300000000001</v>
      </c>
      <c r="G180">
        <f t="shared" si="4"/>
        <v>-4.7041558402396433E-3</v>
      </c>
      <c r="H180">
        <v>5.7443199999999998E-3</v>
      </c>
      <c r="I180">
        <f t="shared" si="5"/>
        <v>-3.5829999999999716E-5</v>
      </c>
      <c r="J180" s="6">
        <v>1</v>
      </c>
      <c r="K180">
        <v>1</v>
      </c>
      <c r="L180" t="b">
        <f>$K$180*$C$180&gt;0</f>
        <v>0</v>
      </c>
      <c r="N180" s="3"/>
    </row>
    <row r="181" spans="1:14" x14ac:dyDescent="0.45">
      <c r="A181" s="3">
        <v>42628</v>
      </c>
      <c r="B181">
        <v>13.1</v>
      </c>
      <c r="C181">
        <v>0</v>
      </c>
      <c r="D181">
        <v>4373.22</v>
      </c>
      <c r="E181">
        <v>6.7730524042053375E-4</v>
      </c>
      <c r="F181">
        <v>198.40950000000001</v>
      </c>
      <c r="G181">
        <f t="shared" si="4"/>
        <v>2.8400857821828662E-3</v>
      </c>
      <c r="H181">
        <v>5.7254999999999997E-3</v>
      </c>
      <c r="I181">
        <f t="shared" si="5"/>
        <v>1.8820000000000121E-5</v>
      </c>
      <c r="J181" s="6">
        <v>1</v>
      </c>
      <c r="K181">
        <v>1</v>
      </c>
      <c r="L181" t="b">
        <f>$K$181*$C$181&gt;0</f>
        <v>0</v>
      </c>
      <c r="N181" s="3"/>
    </row>
    <row r="182" spans="1:14" x14ac:dyDescent="0.45">
      <c r="A182" s="3">
        <v>42629</v>
      </c>
      <c r="B182">
        <v>13.365</v>
      </c>
      <c r="C182">
        <v>2.0229007633587814E-2</v>
      </c>
      <c r="D182">
        <v>4332.45</v>
      </c>
      <c r="E182">
        <v>-9.3226501296528319E-3</v>
      </c>
      <c r="F182">
        <v>198.83699999999999</v>
      </c>
      <c r="G182">
        <f t="shared" si="4"/>
        <v>-2.1500022631602E-3</v>
      </c>
      <c r="H182">
        <v>5.7670799999999999E-3</v>
      </c>
      <c r="I182">
        <f t="shared" si="5"/>
        <v>-4.1580000000000263E-5</v>
      </c>
      <c r="J182" s="6">
        <v>1</v>
      </c>
      <c r="K182">
        <v>1</v>
      </c>
      <c r="L182" t="b">
        <f>$K$182*$C$182&gt;0</f>
        <v>1</v>
      </c>
      <c r="N182" s="3"/>
    </row>
    <row r="183" spans="1:14" x14ac:dyDescent="0.45">
      <c r="A183" s="3">
        <v>42632</v>
      </c>
      <c r="B183">
        <v>13.425000000000001</v>
      </c>
      <c r="C183">
        <v>4.4893378226711356E-3</v>
      </c>
      <c r="D183">
        <v>4394.1899999999996</v>
      </c>
      <c r="E183">
        <v>1.4250597237128959E-2</v>
      </c>
      <c r="F183">
        <v>198.62100000000001</v>
      </c>
      <c r="G183">
        <f t="shared" si="4"/>
        <v>1.0874983007838068E-3</v>
      </c>
      <c r="H183">
        <v>5.6113999999999999E-3</v>
      </c>
      <c r="I183">
        <f t="shared" si="5"/>
        <v>1.5568000000000005E-4</v>
      </c>
      <c r="J183" s="6">
        <v>1</v>
      </c>
      <c r="K183">
        <v>1</v>
      </c>
      <c r="L183" t="b">
        <f>$K$183*$C$183&gt;0</f>
        <v>1</v>
      </c>
      <c r="N183" s="3"/>
    </row>
    <row r="184" spans="1:14" x14ac:dyDescent="0.45">
      <c r="A184" s="3">
        <v>42633</v>
      </c>
      <c r="B184">
        <v>13.45</v>
      </c>
      <c r="C184">
        <v>1.8621973929235924E-3</v>
      </c>
      <c r="D184">
        <v>4388.6000000000004</v>
      </c>
      <c r="E184">
        <v>-1.2721343410274644E-3</v>
      </c>
      <c r="F184">
        <v>199.655</v>
      </c>
      <c r="G184">
        <f t="shared" si="4"/>
        <v>-5.1789336605644332E-3</v>
      </c>
      <c r="H184">
        <v>5.96673E-3</v>
      </c>
      <c r="I184">
        <f t="shared" si="5"/>
        <v>-3.5533000000000006E-4</v>
      </c>
      <c r="J184" s="6">
        <v>1</v>
      </c>
      <c r="K184">
        <v>1</v>
      </c>
      <c r="L184" t="b">
        <f>$K$184*$C$184&gt;0</f>
        <v>1</v>
      </c>
      <c r="N184" s="3"/>
    </row>
    <row r="185" spans="1:14" x14ac:dyDescent="0.45">
      <c r="A185" s="3">
        <v>42634</v>
      </c>
      <c r="B185">
        <v>13.59</v>
      </c>
      <c r="C185">
        <v>1.0408921933085624E-2</v>
      </c>
      <c r="D185">
        <v>4409.55</v>
      </c>
      <c r="E185">
        <v>4.7737319418492685E-3</v>
      </c>
      <c r="F185">
        <v>199.208</v>
      </c>
      <c r="G185">
        <f t="shared" si="4"/>
        <v>2.2438857877193907E-3</v>
      </c>
      <c r="H185">
        <v>5.92247E-3</v>
      </c>
      <c r="I185">
        <f t="shared" si="5"/>
        <v>4.4259999999999959E-5</v>
      </c>
      <c r="J185" s="6">
        <v>1</v>
      </c>
      <c r="K185">
        <v>1</v>
      </c>
      <c r="L185" t="b">
        <f>$K$185*$C$185&gt;0</f>
        <v>1</v>
      </c>
      <c r="N185" s="3"/>
    </row>
    <row r="186" spans="1:14" x14ac:dyDescent="0.45">
      <c r="A186" s="3">
        <v>42635</v>
      </c>
      <c r="B186">
        <v>13.74</v>
      </c>
      <c r="C186">
        <v>1.1037527593819041E-2</v>
      </c>
      <c r="D186">
        <v>4509.82</v>
      </c>
      <c r="E186">
        <v>2.2739281786123167E-2</v>
      </c>
      <c r="F186">
        <v>201.54400000000001</v>
      </c>
      <c r="G186">
        <f t="shared" si="4"/>
        <v>-1.1590521176517377E-2</v>
      </c>
      <c r="H186">
        <v>5.6118499999999998E-3</v>
      </c>
      <c r="I186">
        <f t="shared" si="5"/>
        <v>3.1062000000000017E-4</v>
      </c>
      <c r="J186" s="6">
        <v>1</v>
      </c>
      <c r="K186">
        <v>1</v>
      </c>
      <c r="L186" t="b">
        <f>$K$186*$C$186&gt;0</f>
        <v>1</v>
      </c>
      <c r="N186" s="3"/>
    </row>
    <row r="187" spans="1:14" x14ac:dyDescent="0.45">
      <c r="A187" s="3">
        <v>42636</v>
      </c>
      <c r="B187">
        <v>13.74</v>
      </c>
      <c r="C187">
        <v>0</v>
      </c>
      <c r="D187">
        <v>4488.6899999999996</v>
      </c>
      <c r="E187">
        <v>-4.685331121862979E-3</v>
      </c>
      <c r="F187">
        <v>201.23699999999999</v>
      </c>
      <c r="G187">
        <f t="shared" si="4"/>
        <v>1.5255643842833067E-3</v>
      </c>
      <c r="H187">
        <v>5.6393600000000004E-3</v>
      </c>
      <c r="I187">
        <f t="shared" si="5"/>
        <v>-2.7510000000000555E-5</v>
      </c>
      <c r="J187" s="6">
        <v>1</v>
      </c>
      <c r="K187">
        <v>1</v>
      </c>
      <c r="L187" t="b">
        <f>$K$187*$C$187&gt;0</f>
        <v>0</v>
      </c>
      <c r="N187" s="3"/>
    </row>
    <row r="188" spans="1:14" x14ac:dyDescent="0.45">
      <c r="A188" s="3">
        <v>42639</v>
      </c>
      <c r="B188">
        <v>13.525</v>
      </c>
      <c r="C188">
        <v>-1.5647743813682613E-2</v>
      </c>
      <c r="D188">
        <v>4407.8500000000004</v>
      </c>
      <c r="E188">
        <v>-1.8009708846010608E-2</v>
      </c>
      <c r="F188">
        <v>202.00550000000001</v>
      </c>
      <c r="G188">
        <f t="shared" si="4"/>
        <v>-3.8043518617068006E-3</v>
      </c>
      <c r="H188">
        <v>5.8111100000000004E-3</v>
      </c>
      <c r="I188">
        <f t="shared" si="5"/>
        <v>-1.7175000000000003E-4</v>
      </c>
      <c r="J188" s="6">
        <v>1</v>
      </c>
      <c r="K188">
        <v>1</v>
      </c>
      <c r="L188" t="b">
        <f>$K$188*$C$188&gt;0</f>
        <v>0</v>
      </c>
      <c r="N188" s="3"/>
    </row>
    <row r="189" spans="1:14" x14ac:dyDescent="0.45">
      <c r="A189" s="3">
        <v>42640</v>
      </c>
      <c r="B189">
        <v>13.76</v>
      </c>
      <c r="C189">
        <v>1.737523105360439E-2</v>
      </c>
      <c r="D189">
        <v>4398.68</v>
      </c>
      <c r="E189">
        <v>-2.08037932325289E-3</v>
      </c>
      <c r="F189">
        <v>202.45949999999999</v>
      </c>
      <c r="G189">
        <f t="shared" si="4"/>
        <v>-2.2424237934005609E-3</v>
      </c>
      <c r="H189">
        <v>5.9130199999999997E-3</v>
      </c>
      <c r="I189">
        <f t="shared" si="5"/>
        <v>-1.0190999999999933E-4</v>
      </c>
      <c r="J189" s="6">
        <v>1</v>
      </c>
      <c r="K189">
        <v>1</v>
      </c>
      <c r="L189" t="b">
        <f>$K$189*$C$189&gt;0</f>
        <v>1</v>
      </c>
      <c r="N189" s="3"/>
    </row>
    <row r="190" spans="1:14" x14ac:dyDescent="0.45">
      <c r="A190" s="3">
        <v>42641</v>
      </c>
      <c r="B190">
        <v>13.935</v>
      </c>
      <c r="C190">
        <v>1.2718023255813948E-2</v>
      </c>
      <c r="D190">
        <v>4432.45</v>
      </c>
      <c r="E190">
        <v>7.6773031909571632E-3</v>
      </c>
      <c r="F190">
        <v>202.596</v>
      </c>
      <c r="G190">
        <f t="shared" si="4"/>
        <v>-6.7375466445540599E-4</v>
      </c>
      <c r="H190">
        <v>5.8957999999999997E-3</v>
      </c>
      <c r="I190">
        <f t="shared" si="5"/>
        <v>1.7220000000000082E-5</v>
      </c>
      <c r="J190" s="6">
        <v>1</v>
      </c>
      <c r="K190">
        <v>1</v>
      </c>
      <c r="L190" t="b">
        <f>$K$190*$C$190&gt;0</f>
        <v>1</v>
      </c>
      <c r="N190" s="3"/>
    </row>
    <row r="191" spans="1:14" x14ac:dyDescent="0.45">
      <c r="A191" s="3">
        <v>42642</v>
      </c>
      <c r="B191">
        <v>13.95</v>
      </c>
      <c r="C191">
        <v>1.0764262648008671E-3</v>
      </c>
      <c r="D191">
        <v>4443.84</v>
      </c>
      <c r="E191">
        <v>2.5696849372243147E-3</v>
      </c>
      <c r="F191">
        <v>201.91849999999999</v>
      </c>
      <c r="G191">
        <f t="shared" si="4"/>
        <v>3.3553141490254568E-3</v>
      </c>
      <c r="H191">
        <v>5.9024300000000002E-3</v>
      </c>
      <c r="I191">
        <f t="shared" si="5"/>
        <v>-6.6300000000005244E-6</v>
      </c>
      <c r="J191" s="6">
        <v>1</v>
      </c>
      <c r="K191">
        <v>1</v>
      </c>
      <c r="L191" t="b">
        <f>$K$191*$C$191&gt;0</f>
        <v>1</v>
      </c>
      <c r="N191" s="3"/>
    </row>
    <row r="192" spans="1:14" x14ac:dyDescent="0.45">
      <c r="A192" s="3">
        <v>42643</v>
      </c>
      <c r="B192">
        <v>13.93</v>
      </c>
      <c r="C192">
        <v>-1.4336917562723928E-3</v>
      </c>
      <c r="D192">
        <v>4448.26</v>
      </c>
      <c r="E192">
        <v>9.9463527039689303E-4</v>
      </c>
      <c r="F192">
        <v>201.971</v>
      </c>
      <c r="G192">
        <f t="shared" si="4"/>
        <v>-2.5993830797499395E-4</v>
      </c>
      <c r="H192">
        <v>6.0255600000000001E-3</v>
      </c>
      <c r="I192">
        <f t="shared" si="5"/>
        <v>-1.2312999999999994E-4</v>
      </c>
      <c r="J192" s="6">
        <v>1</v>
      </c>
      <c r="K192">
        <v>1</v>
      </c>
      <c r="L192" t="b">
        <f>$K$192*$C$192&gt;0</f>
        <v>0</v>
      </c>
      <c r="N192" s="3"/>
    </row>
    <row r="193" spans="1:14" x14ac:dyDescent="0.45">
      <c r="A193" s="3">
        <v>42646</v>
      </c>
      <c r="B193">
        <v>13.8</v>
      </c>
      <c r="C193">
        <v>-9.3323761665469185E-3</v>
      </c>
      <c r="D193">
        <v>4453.5600000000004</v>
      </c>
      <c r="E193">
        <v>1.1914771168952676E-3</v>
      </c>
      <c r="F193">
        <v>201.22900000000001</v>
      </c>
      <c r="G193">
        <f t="shared" si="4"/>
        <v>3.687341287786472E-3</v>
      </c>
      <c r="H193">
        <v>6.0352699999999997E-3</v>
      </c>
      <c r="I193">
        <f t="shared" si="5"/>
        <v>-9.7099999999995801E-6</v>
      </c>
      <c r="J193" s="6">
        <v>1</v>
      </c>
      <c r="K193">
        <v>1</v>
      </c>
      <c r="L193" t="b">
        <f>$K$193*$C$193&gt;0</f>
        <v>0</v>
      </c>
      <c r="N193" s="3"/>
    </row>
    <row r="194" spans="1:14" x14ac:dyDescent="0.45">
      <c r="A194" s="3">
        <v>42647</v>
      </c>
      <c r="B194">
        <v>14.045</v>
      </c>
      <c r="C194">
        <v>1.7753623188405676E-2</v>
      </c>
      <c r="D194">
        <v>4503.09</v>
      </c>
      <c r="E194">
        <v>1.112143992671033E-2</v>
      </c>
      <c r="F194">
        <v>200.41499999999999</v>
      </c>
      <c r="G194">
        <f t="shared" si="4"/>
        <v>4.0615722376071695E-3</v>
      </c>
      <c r="H194">
        <v>6.02734E-3</v>
      </c>
      <c r="I194">
        <f t="shared" si="5"/>
        <v>7.9299999999997428E-6</v>
      </c>
      <c r="J194" s="6">
        <v>1</v>
      </c>
      <c r="K194">
        <v>1</v>
      </c>
      <c r="L194" t="b">
        <f>$K$194*$C$194&gt;0</f>
        <v>1</v>
      </c>
      <c r="N194" s="3"/>
    </row>
    <row r="195" spans="1:14" x14ac:dyDescent="0.45">
      <c r="A195" s="3">
        <v>42648</v>
      </c>
      <c r="B195">
        <v>13.85</v>
      </c>
      <c r="C195">
        <v>-1.3883944464222142E-2</v>
      </c>
      <c r="D195">
        <v>4489.95</v>
      </c>
      <c r="E195">
        <v>-2.9179963092010874E-3</v>
      </c>
      <c r="F195">
        <v>199.14250000000001</v>
      </c>
      <c r="G195">
        <f t="shared" si="4"/>
        <v>6.3898966820241654E-3</v>
      </c>
      <c r="H195">
        <v>6.0398200000000004E-3</v>
      </c>
      <c r="I195">
        <f t="shared" si="5"/>
        <v>-1.2480000000000477E-5</v>
      </c>
      <c r="J195" s="6">
        <v>1</v>
      </c>
      <c r="K195">
        <v>1</v>
      </c>
      <c r="L195" t="b">
        <f>$K$195*$C$195&gt;0</f>
        <v>0</v>
      </c>
      <c r="N195" s="3"/>
    </row>
    <row r="196" spans="1:14" x14ac:dyDescent="0.45">
      <c r="A196" s="3">
        <v>42649</v>
      </c>
      <c r="B196">
        <v>13.67</v>
      </c>
      <c r="C196">
        <v>-1.2996389891696714E-2</v>
      </c>
      <c r="D196">
        <v>4480.1000000000004</v>
      </c>
      <c r="E196">
        <v>-2.1937883495360966E-3</v>
      </c>
      <c r="F196">
        <v>199.35400000000001</v>
      </c>
      <c r="G196">
        <f t="shared" ref="G196:G259" si="6">F195/F196-1</f>
        <v>-1.0609267935431932E-3</v>
      </c>
      <c r="H196">
        <v>6.03273E-3</v>
      </c>
      <c r="I196">
        <f t="shared" ref="I196:I259" si="7">H195-H196</f>
        <v>7.0900000000003946E-6</v>
      </c>
      <c r="J196" s="6">
        <v>1</v>
      </c>
      <c r="K196">
        <v>1</v>
      </c>
      <c r="L196" t="b">
        <f>$K$196*$C$196&gt;0</f>
        <v>0</v>
      </c>
      <c r="N196" s="3"/>
    </row>
    <row r="197" spans="1:14" x14ac:dyDescent="0.45">
      <c r="A197" s="3">
        <v>42650</v>
      </c>
      <c r="B197">
        <v>13.6</v>
      </c>
      <c r="C197">
        <v>-5.1207022677396408E-3</v>
      </c>
      <c r="D197">
        <v>4449.91</v>
      </c>
      <c r="E197">
        <v>-6.7386888685521118E-3</v>
      </c>
      <c r="F197">
        <v>198.44149999999999</v>
      </c>
      <c r="G197">
        <f t="shared" si="6"/>
        <v>4.5983325060534597E-3</v>
      </c>
      <c r="H197">
        <v>6.0365200000000001E-3</v>
      </c>
      <c r="I197">
        <f t="shared" si="7"/>
        <v>-3.7900000000000433E-6</v>
      </c>
      <c r="J197" s="6">
        <v>1</v>
      </c>
      <c r="K197">
        <v>1</v>
      </c>
      <c r="L197" t="b">
        <f>$K$197*$C$197&gt;0</f>
        <v>0</v>
      </c>
      <c r="N197" s="3"/>
    </row>
    <row r="198" spans="1:14" x14ac:dyDescent="0.45">
      <c r="A198" s="3">
        <v>42653</v>
      </c>
      <c r="B198">
        <v>13.84</v>
      </c>
      <c r="C198">
        <v>1.7647058823529349E-2</v>
      </c>
      <c r="D198">
        <v>4497.26</v>
      </c>
      <c r="E198">
        <v>1.0640664642655784E-2</v>
      </c>
      <c r="F198">
        <v>197.54</v>
      </c>
      <c r="G198">
        <f t="shared" si="6"/>
        <v>4.5636326819884498E-3</v>
      </c>
      <c r="H198">
        <v>6.0439999999999999E-3</v>
      </c>
      <c r="I198">
        <f t="shared" si="7"/>
        <v>-7.4799999999998132E-6</v>
      </c>
      <c r="J198" s="6">
        <v>1</v>
      </c>
      <c r="K198">
        <v>1</v>
      </c>
      <c r="L198" t="b">
        <f>$K$198*$C$198&gt;0</f>
        <v>1</v>
      </c>
      <c r="N198" s="3"/>
    </row>
    <row r="199" spans="1:14" x14ac:dyDescent="0.45">
      <c r="A199" s="3">
        <v>42654</v>
      </c>
      <c r="B199">
        <v>13.85</v>
      </c>
      <c r="C199">
        <v>7.2254335260124591E-4</v>
      </c>
      <c r="D199">
        <v>4471.74</v>
      </c>
      <c r="E199">
        <v>-5.6745662914753359E-3</v>
      </c>
      <c r="F199">
        <v>198.58449999999999</v>
      </c>
      <c r="G199">
        <f t="shared" si="6"/>
        <v>-5.2597257087033666E-3</v>
      </c>
      <c r="H199">
        <v>6.0526699999999996E-3</v>
      </c>
      <c r="I199">
        <f t="shared" si="7"/>
        <v>-8.6699999999996849E-6</v>
      </c>
      <c r="J199" s="6">
        <v>1</v>
      </c>
      <c r="K199">
        <v>1</v>
      </c>
      <c r="L199" t="b">
        <f>$K$199*$C$199&gt;0</f>
        <v>1</v>
      </c>
      <c r="N199" s="3"/>
    </row>
    <row r="200" spans="1:14" x14ac:dyDescent="0.45">
      <c r="A200" s="3">
        <v>42655</v>
      </c>
      <c r="B200">
        <v>13.72</v>
      </c>
      <c r="C200">
        <v>-9.3862815884475648E-3</v>
      </c>
      <c r="D200">
        <v>4452.24</v>
      </c>
      <c r="E200">
        <v>-4.3607186464329484E-3</v>
      </c>
      <c r="F200">
        <v>197.55</v>
      </c>
      <c r="G200">
        <f t="shared" si="6"/>
        <v>5.2366489496329383E-3</v>
      </c>
      <c r="H200">
        <v>6.0860999999999997E-3</v>
      </c>
      <c r="I200">
        <f t="shared" si="7"/>
        <v>-3.3430000000000092E-5</v>
      </c>
      <c r="J200" s="6">
        <v>1</v>
      </c>
      <c r="K200">
        <v>1</v>
      </c>
      <c r="L200" t="b">
        <f>$K$200*$C$200&gt;0</f>
        <v>0</v>
      </c>
      <c r="N200" s="3"/>
    </row>
    <row r="201" spans="1:14" x14ac:dyDescent="0.45">
      <c r="A201" s="3">
        <v>42656</v>
      </c>
      <c r="B201">
        <v>13.68</v>
      </c>
      <c r="C201">
        <v>-2.9154518950438302E-3</v>
      </c>
      <c r="D201">
        <v>4405.17</v>
      </c>
      <c r="E201">
        <v>-1.0572206350061952E-2</v>
      </c>
      <c r="F201">
        <v>198.14750000000001</v>
      </c>
      <c r="G201">
        <f t="shared" si="6"/>
        <v>-3.0154304243050767E-3</v>
      </c>
      <c r="H201">
        <v>6.1477900000000002E-3</v>
      </c>
      <c r="I201">
        <f t="shared" si="7"/>
        <v>-6.1690000000000529E-5</v>
      </c>
      <c r="J201" s="6">
        <v>1</v>
      </c>
      <c r="K201">
        <v>1</v>
      </c>
      <c r="L201" t="b">
        <f>$K$201*$C$201&gt;0</f>
        <v>0</v>
      </c>
      <c r="N201" s="3"/>
    </row>
    <row r="202" spans="1:14" x14ac:dyDescent="0.45">
      <c r="A202" s="3">
        <v>42657</v>
      </c>
      <c r="B202">
        <v>13.904999999999999</v>
      </c>
      <c r="C202">
        <v>1.6447368421052655E-2</v>
      </c>
      <c r="D202">
        <v>4470.92</v>
      </c>
      <c r="E202">
        <v>1.4925644186262854E-2</v>
      </c>
      <c r="F202">
        <v>197.51349999999999</v>
      </c>
      <c r="G202">
        <f t="shared" si="6"/>
        <v>3.2099071709024152E-3</v>
      </c>
      <c r="H202">
        <v>6.1214599999999996E-3</v>
      </c>
      <c r="I202">
        <f t="shared" si="7"/>
        <v>2.6330000000000624E-5</v>
      </c>
      <c r="J202" s="6">
        <v>1</v>
      </c>
      <c r="K202">
        <v>1</v>
      </c>
      <c r="L202" t="b">
        <f>$K$202*$C$202&gt;0</f>
        <v>1</v>
      </c>
      <c r="N202" s="3"/>
    </row>
    <row r="203" spans="1:14" x14ac:dyDescent="0.45">
      <c r="A203" s="3">
        <v>42660</v>
      </c>
      <c r="B203">
        <v>13.925000000000001</v>
      </c>
      <c r="C203">
        <v>1.4383315354189463E-3</v>
      </c>
      <c r="D203">
        <v>4450.2299999999996</v>
      </c>
      <c r="E203">
        <v>-4.6276828930065239E-3</v>
      </c>
      <c r="F203">
        <v>197.37649999999999</v>
      </c>
      <c r="G203">
        <f t="shared" si="6"/>
        <v>6.9410492130517198E-4</v>
      </c>
      <c r="H203">
        <v>6.1284599999999996E-3</v>
      </c>
      <c r="I203">
        <f t="shared" si="7"/>
        <v>-7.0000000000000617E-6</v>
      </c>
      <c r="J203" s="6">
        <v>1</v>
      </c>
      <c r="K203">
        <v>1</v>
      </c>
      <c r="L203" t="b">
        <f>$K$203*$C$203&gt;0</f>
        <v>1</v>
      </c>
      <c r="N203" s="3"/>
    </row>
    <row r="204" spans="1:14" x14ac:dyDescent="0.45">
      <c r="A204" s="3">
        <v>42661</v>
      </c>
      <c r="B204">
        <v>14.13</v>
      </c>
      <c r="C204">
        <v>1.4721723518851038E-2</v>
      </c>
      <c r="D204">
        <v>4508.91</v>
      </c>
      <c r="E204">
        <v>1.3185835338847651E-2</v>
      </c>
      <c r="F204">
        <v>197.7655</v>
      </c>
      <c r="G204">
        <f t="shared" si="6"/>
        <v>-1.9669760398047798E-3</v>
      </c>
      <c r="H204">
        <v>6.1005599999999997E-3</v>
      </c>
      <c r="I204">
        <f t="shared" si="7"/>
        <v>2.7899999999999973E-5</v>
      </c>
      <c r="J204" s="6">
        <v>1</v>
      </c>
      <c r="K204">
        <v>1</v>
      </c>
      <c r="L204" t="b">
        <f>$K$204*$C$204&gt;0</f>
        <v>1</v>
      </c>
      <c r="N204" s="3"/>
    </row>
    <row r="205" spans="1:14" x14ac:dyDescent="0.45">
      <c r="A205" s="3">
        <v>42662</v>
      </c>
      <c r="B205">
        <v>14.015000000000001</v>
      </c>
      <c r="C205">
        <v>-8.1387119603679725E-3</v>
      </c>
      <c r="D205">
        <v>4520.3</v>
      </c>
      <c r="E205">
        <v>2.5261094144706231E-3</v>
      </c>
      <c r="F205">
        <v>197.98150000000001</v>
      </c>
      <c r="G205">
        <f t="shared" si="6"/>
        <v>-1.0910110288082642E-3</v>
      </c>
      <c r="H205">
        <v>5.9743599999999997E-3</v>
      </c>
      <c r="I205">
        <f t="shared" si="7"/>
        <v>1.2619999999999992E-4</v>
      </c>
      <c r="J205" s="6">
        <v>1</v>
      </c>
      <c r="K205">
        <v>1</v>
      </c>
      <c r="L205" t="b">
        <f>$K$205*$C$205&gt;0</f>
        <v>0</v>
      </c>
      <c r="N205" s="3"/>
    </row>
    <row r="206" spans="1:14" x14ac:dyDescent="0.45">
      <c r="A206" s="3">
        <v>42663</v>
      </c>
      <c r="B206">
        <v>14.015000000000001</v>
      </c>
      <c r="C206">
        <v>0</v>
      </c>
      <c r="D206">
        <v>4540.12</v>
      </c>
      <c r="E206">
        <v>4.3846647346414969E-3</v>
      </c>
      <c r="F206">
        <v>198.82650000000001</v>
      </c>
      <c r="G206">
        <f t="shared" si="6"/>
        <v>-4.2499365024279978E-3</v>
      </c>
      <c r="H206">
        <v>5.88537E-3</v>
      </c>
      <c r="I206">
        <f t="shared" si="7"/>
        <v>8.8989999999999729E-5</v>
      </c>
      <c r="J206" s="6">
        <v>1</v>
      </c>
      <c r="K206">
        <v>1</v>
      </c>
      <c r="L206" t="b">
        <f>$K$206*$C$206&gt;0</f>
        <v>0</v>
      </c>
      <c r="N206" s="3"/>
    </row>
    <row r="207" spans="1:14" x14ac:dyDescent="0.45">
      <c r="A207" s="3">
        <v>42664</v>
      </c>
      <c r="B207">
        <v>14.08</v>
      </c>
      <c r="C207">
        <v>4.6378879771673542E-3</v>
      </c>
      <c r="D207">
        <v>4536.07</v>
      </c>
      <c r="E207">
        <v>-8.92046906249222E-4</v>
      </c>
      <c r="F207">
        <v>198.4255</v>
      </c>
      <c r="G207">
        <f t="shared" si="6"/>
        <v>2.0209096109120583E-3</v>
      </c>
      <c r="H207">
        <v>5.8323300000000002E-3</v>
      </c>
      <c r="I207">
        <f t="shared" si="7"/>
        <v>5.3039999999999858E-5</v>
      </c>
      <c r="J207" s="6">
        <v>1</v>
      </c>
      <c r="K207">
        <v>1</v>
      </c>
      <c r="L207" t="b">
        <f>$K$207*$C$207&gt;0</f>
        <v>1</v>
      </c>
      <c r="N207" s="3"/>
    </row>
    <row r="208" spans="1:14" x14ac:dyDescent="0.45">
      <c r="A208" s="3">
        <v>42667</v>
      </c>
      <c r="B208">
        <v>14.085000000000001</v>
      </c>
      <c r="C208">
        <v>3.5511363636375748E-4</v>
      </c>
      <c r="D208">
        <v>4552.58</v>
      </c>
      <c r="E208">
        <v>3.6397145546696041E-3</v>
      </c>
      <c r="F208">
        <v>197.86799999999999</v>
      </c>
      <c r="G208">
        <f t="shared" si="6"/>
        <v>2.8175349222714363E-3</v>
      </c>
      <c r="H208">
        <v>5.7628799999999997E-3</v>
      </c>
      <c r="I208">
        <f t="shared" si="7"/>
        <v>6.9450000000000414E-5</v>
      </c>
      <c r="J208" s="6">
        <v>1</v>
      </c>
      <c r="K208">
        <v>1</v>
      </c>
      <c r="L208" t="b">
        <f>$K$208*$C$208&gt;0</f>
        <v>1</v>
      </c>
      <c r="N208" s="3"/>
    </row>
    <row r="209" spans="1:14" x14ac:dyDescent="0.45">
      <c r="A209" s="3">
        <v>42668</v>
      </c>
      <c r="B209">
        <v>14.664999999999999</v>
      </c>
      <c r="C209">
        <v>4.1178558750443628E-2</v>
      </c>
      <c r="D209">
        <v>4540.84</v>
      </c>
      <c r="E209">
        <v>-2.5787575396807316E-3</v>
      </c>
      <c r="F209">
        <v>197.80600000000001</v>
      </c>
      <c r="G209">
        <f t="shared" si="6"/>
        <v>3.1343841946140927E-4</v>
      </c>
      <c r="H209">
        <v>5.7254699999999999E-3</v>
      </c>
      <c r="I209">
        <f t="shared" si="7"/>
        <v>3.7409999999999874E-5</v>
      </c>
      <c r="J209" s="6">
        <v>1</v>
      </c>
      <c r="K209">
        <v>1</v>
      </c>
      <c r="L209" t="b">
        <f>$K$209*$C$209&gt;0</f>
        <v>1</v>
      </c>
      <c r="N209" s="3"/>
    </row>
    <row r="210" spans="1:14" x14ac:dyDescent="0.45">
      <c r="A210" s="3">
        <v>42669</v>
      </c>
      <c r="B210">
        <v>14.69</v>
      </c>
      <c r="C210">
        <v>1.7047391749063223E-3</v>
      </c>
      <c r="D210">
        <v>4534.59</v>
      </c>
      <c r="E210">
        <v>-1.3763973185577649E-3</v>
      </c>
      <c r="F210">
        <v>196.3245</v>
      </c>
      <c r="G210">
        <f t="shared" si="6"/>
        <v>7.5461799215075231E-3</v>
      </c>
      <c r="H210">
        <v>5.7230400000000004E-3</v>
      </c>
      <c r="I210">
        <f t="shared" si="7"/>
        <v>2.4299999999994465E-6</v>
      </c>
      <c r="J210" s="6">
        <v>1</v>
      </c>
      <c r="K210">
        <v>1</v>
      </c>
      <c r="L210" t="b">
        <f>$K$210*$C$210&gt;0</f>
        <v>1</v>
      </c>
      <c r="N210" s="3"/>
    </row>
    <row r="211" spans="1:14" x14ac:dyDescent="0.45">
      <c r="A211" s="3">
        <v>42670</v>
      </c>
      <c r="B211">
        <v>14.595000000000001</v>
      </c>
      <c r="C211">
        <v>-6.4669843430904539E-3</v>
      </c>
      <c r="D211">
        <v>4533.57</v>
      </c>
      <c r="E211">
        <v>-2.2493764596143162E-4</v>
      </c>
      <c r="F211">
        <v>194.203</v>
      </c>
      <c r="G211">
        <f t="shared" si="6"/>
        <v>1.0924136084406566E-2</v>
      </c>
      <c r="H211">
        <v>5.7215399999999998E-3</v>
      </c>
      <c r="I211">
        <f t="shared" si="7"/>
        <v>1.5000000000006328E-6</v>
      </c>
      <c r="J211" s="6">
        <v>1</v>
      </c>
      <c r="K211">
        <v>1</v>
      </c>
      <c r="L211" t="b">
        <f>$K$211*$C$211&gt;0</f>
        <v>0</v>
      </c>
      <c r="N211" s="3"/>
    </row>
    <row r="212" spans="1:14" x14ac:dyDescent="0.45">
      <c r="A212" s="3">
        <v>42671</v>
      </c>
      <c r="B212">
        <v>14.505000000000001</v>
      </c>
      <c r="C212">
        <v>-6.1664953751284779E-3</v>
      </c>
      <c r="D212">
        <v>4548.58</v>
      </c>
      <c r="E212">
        <v>3.3108565655763922E-3</v>
      </c>
      <c r="F212">
        <v>194.51900000000001</v>
      </c>
      <c r="G212">
        <f t="shared" si="6"/>
        <v>-1.6245199697716428E-3</v>
      </c>
      <c r="H212">
        <v>5.7357700000000003E-3</v>
      </c>
      <c r="I212">
        <f t="shared" si="7"/>
        <v>-1.4230000000000492E-5</v>
      </c>
      <c r="J212" s="6">
        <v>1</v>
      </c>
      <c r="K212">
        <v>1</v>
      </c>
      <c r="L212" t="b">
        <f>$K$212*$C$212&gt;0</f>
        <v>0</v>
      </c>
      <c r="N212" s="3"/>
    </row>
    <row r="213" spans="1:14" x14ac:dyDescent="0.45">
      <c r="A213" s="3">
        <v>42674</v>
      </c>
      <c r="B213">
        <v>14.35</v>
      </c>
      <c r="C213">
        <v>-1.0685970355050034E-2</v>
      </c>
      <c r="D213">
        <v>4509.26</v>
      </c>
      <c r="E213">
        <v>-8.6444560720048136E-3</v>
      </c>
      <c r="F213">
        <v>194.6935</v>
      </c>
      <c r="G213">
        <f t="shared" si="6"/>
        <v>-8.9628056406609868E-4</v>
      </c>
      <c r="H213">
        <v>5.7335199999999998E-3</v>
      </c>
      <c r="I213">
        <f t="shared" si="7"/>
        <v>2.2500000000005155E-6</v>
      </c>
      <c r="J213" s="6">
        <v>1</v>
      </c>
      <c r="K213">
        <v>1</v>
      </c>
      <c r="L213" t="b">
        <f>$K$213*$C$213&gt;0</f>
        <v>0</v>
      </c>
      <c r="N213" s="3"/>
    </row>
    <row r="214" spans="1:14" x14ac:dyDescent="0.45">
      <c r="A214" s="3">
        <v>42675</v>
      </c>
      <c r="B214">
        <v>14.15</v>
      </c>
      <c r="C214">
        <v>-1.3937282229965153E-2</v>
      </c>
      <c r="D214">
        <v>4470.28</v>
      </c>
      <c r="E214">
        <v>-8.6444338982450963E-3</v>
      </c>
      <c r="F214">
        <v>194.22499999999999</v>
      </c>
      <c r="G214">
        <f t="shared" si="6"/>
        <v>2.4121508559660221E-3</v>
      </c>
      <c r="H214">
        <v>5.7319900000000002E-3</v>
      </c>
      <c r="I214">
        <f t="shared" si="7"/>
        <v>1.5299999999995872E-6</v>
      </c>
      <c r="J214" s="6">
        <v>1</v>
      </c>
      <c r="K214">
        <v>1</v>
      </c>
      <c r="L214" t="b">
        <f>$K$214*$C$214&gt;0</f>
        <v>0</v>
      </c>
      <c r="N214" s="3"/>
    </row>
    <row r="215" spans="1:14" x14ac:dyDescent="0.45">
      <c r="A215" s="3">
        <v>42676</v>
      </c>
      <c r="B215">
        <v>14.11</v>
      </c>
      <c r="C215">
        <v>-2.8268551236749762E-3</v>
      </c>
      <c r="D215">
        <v>4414.67</v>
      </c>
      <c r="E215">
        <v>-1.2439936648263594E-2</v>
      </c>
      <c r="F215">
        <v>195.19900000000001</v>
      </c>
      <c r="G215">
        <f t="shared" si="6"/>
        <v>-4.9897796607565326E-3</v>
      </c>
      <c r="H215">
        <v>5.7774699999999998E-3</v>
      </c>
      <c r="I215">
        <f t="shared" si="7"/>
        <v>-4.5479999999999653E-5</v>
      </c>
      <c r="J215" s="6">
        <v>1</v>
      </c>
      <c r="K215">
        <v>1</v>
      </c>
      <c r="L215" t="b">
        <f>$K$215*$C$215&gt;0</f>
        <v>0</v>
      </c>
      <c r="N215" s="3"/>
    </row>
    <row r="216" spans="1:14" x14ac:dyDescent="0.45">
      <c r="A216" s="3">
        <v>42677</v>
      </c>
      <c r="B216">
        <v>14.015000000000001</v>
      </c>
      <c r="C216">
        <v>-6.7328136073705469E-3</v>
      </c>
      <c r="D216">
        <v>4411.68</v>
      </c>
      <c r="E216">
        <v>-6.7728731705873901E-4</v>
      </c>
      <c r="F216">
        <v>194.203</v>
      </c>
      <c r="G216">
        <f t="shared" si="6"/>
        <v>5.1286540372703637E-3</v>
      </c>
      <c r="H216">
        <v>5.7947399999999996E-3</v>
      </c>
      <c r="I216">
        <f t="shared" si="7"/>
        <v>-1.7269999999999786E-5</v>
      </c>
      <c r="J216" s="6">
        <v>1</v>
      </c>
      <c r="K216">
        <v>1</v>
      </c>
      <c r="L216" t="b">
        <f>$K$216*$C$216&gt;0</f>
        <v>0</v>
      </c>
      <c r="N216" s="3"/>
    </row>
    <row r="217" spans="1:14" x14ac:dyDescent="0.45">
      <c r="A217" s="3">
        <v>42678</v>
      </c>
      <c r="B217">
        <v>13.8</v>
      </c>
      <c r="C217">
        <v>-1.5340706386014924E-2</v>
      </c>
      <c r="D217">
        <v>4377.46</v>
      </c>
      <c r="E217">
        <v>-7.7566822616328412E-3</v>
      </c>
      <c r="F217">
        <v>194.70249999999999</v>
      </c>
      <c r="G217">
        <f t="shared" si="6"/>
        <v>-2.5654524210011465E-3</v>
      </c>
      <c r="H217">
        <v>5.8185900000000002E-3</v>
      </c>
      <c r="I217">
        <f t="shared" si="7"/>
        <v>-2.3850000000000607E-5</v>
      </c>
      <c r="J217" s="6">
        <v>1</v>
      </c>
      <c r="K217">
        <v>1</v>
      </c>
      <c r="L217" t="b">
        <f>$K$217*$C$217&gt;0</f>
        <v>0</v>
      </c>
      <c r="N217" s="3"/>
    </row>
    <row r="218" spans="1:14" x14ac:dyDescent="0.45">
      <c r="A218" s="3">
        <v>42681</v>
      </c>
      <c r="B218">
        <v>13.98</v>
      </c>
      <c r="C218">
        <v>1.304347826086949E-2</v>
      </c>
      <c r="D218">
        <v>4461.21</v>
      </c>
      <c r="E218">
        <v>1.9132099436659722E-2</v>
      </c>
      <c r="F218">
        <v>194.20949999999999</v>
      </c>
      <c r="G218">
        <f t="shared" si="6"/>
        <v>2.5384957996390511E-3</v>
      </c>
      <c r="H218">
        <v>5.7432500000000001E-3</v>
      </c>
      <c r="I218">
        <f t="shared" si="7"/>
        <v>7.5340000000000129E-5</v>
      </c>
      <c r="J218" s="6">
        <v>1</v>
      </c>
      <c r="K218">
        <v>1</v>
      </c>
      <c r="L218" t="b">
        <f>$K$218*$C$218&gt;0</f>
        <v>1</v>
      </c>
      <c r="N218" s="3"/>
    </row>
    <row r="219" spans="1:14" x14ac:dyDescent="0.45">
      <c r="A219" s="3">
        <v>42682</v>
      </c>
      <c r="B219">
        <v>13.97</v>
      </c>
      <c r="C219">
        <v>-7.1530758226034941E-4</v>
      </c>
      <c r="D219">
        <v>4476.8900000000003</v>
      </c>
      <c r="E219">
        <v>3.5147415163152562E-3</v>
      </c>
      <c r="F219">
        <v>193.405</v>
      </c>
      <c r="G219">
        <f t="shared" si="6"/>
        <v>4.1596649517849915E-3</v>
      </c>
      <c r="H219">
        <v>5.7159799999999998E-3</v>
      </c>
      <c r="I219">
        <f t="shared" si="7"/>
        <v>2.7270000000000245E-5</v>
      </c>
      <c r="J219" s="6">
        <v>1</v>
      </c>
      <c r="K219">
        <v>1</v>
      </c>
      <c r="L219" t="b">
        <f>$K$219*$C$219&gt;0</f>
        <v>0</v>
      </c>
      <c r="N219" s="3"/>
    </row>
    <row r="220" spans="1:14" x14ac:dyDescent="0.45">
      <c r="A220" s="3">
        <v>42683</v>
      </c>
      <c r="B220">
        <v>14.06</v>
      </c>
      <c r="C220">
        <v>6.4423765211165662E-3</v>
      </c>
      <c r="D220">
        <v>4543.4799999999996</v>
      </c>
      <c r="E220">
        <v>1.4874164877850315E-2</v>
      </c>
      <c r="F220">
        <v>192.3075</v>
      </c>
      <c r="G220">
        <f t="shared" si="6"/>
        <v>5.7070057070056635E-3</v>
      </c>
      <c r="H220">
        <v>5.7938699999999996E-3</v>
      </c>
      <c r="I220">
        <f t="shared" si="7"/>
        <v>-7.788999999999973E-5</v>
      </c>
      <c r="J220" s="6">
        <v>1</v>
      </c>
      <c r="K220">
        <v>1</v>
      </c>
      <c r="L220" t="b">
        <f>$K$220*$C$220&gt;0</f>
        <v>1</v>
      </c>
      <c r="N220" s="3"/>
    </row>
    <row r="221" spans="1:14" x14ac:dyDescent="0.45">
      <c r="A221" s="3">
        <v>42684</v>
      </c>
      <c r="B221">
        <v>13.685</v>
      </c>
      <c r="C221">
        <v>-2.6671408250355633E-2</v>
      </c>
      <c r="D221">
        <v>4530.95</v>
      </c>
      <c r="E221">
        <v>-2.757797987445687E-3</v>
      </c>
      <c r="F221">
        <v>190.47200000000001</v>
      </c>
      <c r="G221">
        <f t="shared" si="6"/>
        <v>9.6365870049139879E-3</v>
      </c>
      <c r="H221">
        <v>5.6828399999999998E-3</v>
      </c>
      <c r="I221">
        <f t="shared" si="7"/>
        <v>1.1102999999999981E-4</v>
      </c>
      <c r="J221" s="6">
        <v>1</v>
      </c>
      <c r="K221">
        <v>1</v>
      </c>
      <c r="L221" t="b">
        <f>$K$221*$C$221&gt;0</f>
        <v>0</v>
      </c>
      <c r="N221" s="3"/>
    </row>
    <row r="222" spans="1:14" x14ac:dyDescent="0.45">
      <c r="A222" s="3">
        <v>42685</v>
      </c>
      <c r="B222">
        <v>13.545</v>
      </c>
      <c r="C222">
        <v>-1.0230179028133057E-2</v>
      </c>
      <c r="D222">
        <v>4489.2700000000004</v>
      </c>
      <c r="E222">
        <v>-9.1989538617728295E-3</v>
      </c>
      <c r="F222">
        <v>189.60249999999999</v>
      </c>
      <c r="G222">
        <f t="shared" si="6"/>
        <v>4.5859099959126848E-3</v>
      </c>
      <c r="H222">
        <v>5.9110100000000004E-3</v>
      </c>
      <c r="I222">
        <f t="shared" si="7"/>
        <v>-2.2817000000000063E-4</v>
      </c>
      <c r="J222" s="6">
        <v>1</v>
      </c>
      <c r="K222">
        <v>1</v>
      </c>
      <c r="L222" t="b">
        <f>$K$222*$C$222&gt;0</f>
        <v>0</v>
      </c>
      <c r="N222" s="3"/>
    </row>
    <row r="223" spans="1:14" x14ac:dyDescent="0.45">
      <c r="A223" s="3">
        <v>42688</v>
      </c>
      <c r="B223">
        <v>13.425000000000001</v>
      </c>
      <c r="C223">
        <v>-8.8593576965669829E-3</v>
      </c>
      <c r="D223">
        <v>4508.55</v>
      </c>
      <c r="E223">
        <v>4.294684881951838E-3</v>
      </c>
      <c r="F223">
        <v>188.589</v>
      </c>
      <c r="G223">
        <f t="shared" si="6"/>
        <v>5.3741204418071842E-3</v>
      </c>
      <c r="H223">
        <v>6.0086000000000002E-3</v>
      </c>
      <c r="I223">
        <f t="shared" si="7"/>
        <v>-9.758999999999983E-5</v>
      </c>
      <c r="J223" s="6">
        <v>1</v>
      </c>
      <c r="K223">
        <v>1</v>
      </c>
      <c r="L223" t="b">
        <f>$K$223*$C$223&gt;0</f>
        <v>0</v>
      </c>
      <c r="N223" s="3"/>
    </row>
    <row r="224" spans="1:14" x14ac:dyDescent="0.45">
      <c r="A224" s="3">
        <v>42689</v>
      </c>
      <c r="B224">
        <v>13.625</v>
      </c>
      <c r="C224">
        <v>1.4897579143389184E-2</v>
      </c>
      <c r="D224">
        <v>4536.53</v>
      </c>
      <c r="E224">
        <v>6.2059864036108081E-3</v>
      </c>
      <c r="F224">
        <v>188.785</v>
      </c>
      <c r="G224">
        <f t="shared" si="6"/>
        <v>-1.0382180787668061E-3</v>
      </c>
      <c r="H224">
        <v>5.9329700000000001E-3</v>
      </c>
      <c r="I224">
        <f t="shared" si="7"/>
        <v>7.5630000000000142E-5</v>
      </c>
      <c r="J224" s="6">
        <v>1</v>
      </c>
      <c r="K224">
        <v>1</v>
      </c>
      <c r="L224" t="b">
        <f>$K$224*$C$224&gt;0</f>
        <v>1</v>
      </c>
      <c r="N224" s="3"/>
    </row>
    <row r="225" spans="1:14" x14ac:dyDescent="0.45">
      <c r="A225" s="3">
        <v>42690</v>
      </c>
      <c r="B225">
        <v>13.54</v>
      </c>
      <c r="C225">
        <v>-6.2385321100918434E-3</v>
      </c>
      <c r="D225">
        <v>4501.1400000000003</v>
      </c>
      <c r="E225">
        <v>-7.8011167125533465E-3</v>
      </c>
      <c r="F225">
        <v>188.1875</v>
      </c>
      <c r="G225">
        <f t="shared" si="6"/>
        <v>3.175024908668167E-3</v>
      </c>
      <c r="H225">
        <v>5.9953799999999998E-3</v>
      </c>
      <c r="I225">
        <f t="shared" si="7"/>
        <v>-6.2409999999999723E-5</v>
      </c>
      <c r="J225" s="6">
        <v>1</v>
      </c>
      <c r="K225">
        <v>1</v>
      </c>
      <c r="L225" t="b">
        <f>$K$225*$C$225&gt;0</f>
        <v>0</v>
      </c>
      <c r="N225" s="3"/>
    </row>
    <row r="226" spans="1:14" x14ac:dyDescent="0.45">
      <c r="A226" s="3">
        <v>42691</v>
      </c>
      <c r="B226">
        <v>13.74</v>
      </c>
      <c r="C226">
        <v>1.4771048744461002E-2</v>
      </c>
      <c r="D226">
        <v>4527.7700000000004</v>
      </c>
      <c r="E226">
        <v>5.9162789871010091E-3</v>
      </c>
      <c r="F226">
        <v>187.76949999999999</v>
      </c>
      <c r="G226">
        <f t="shared" si="6"/>
        <v>2.2261336372519924E-3</v>
      </c>
      <c r="H226">
        <v>5.9663099999999998E-3</v>
      </c>
      <c r="I226">
        <f t="shared" si="7"/>
        <v>2.9069999999999964E-5</v>
      </c>
      <c r="J226" s="6">
        <v>1</v>
      </c>
      <c r="K226">
        <v>1</v>
      </c>
      <c r="L226" t="b">
        <f>$K$226*$C$226&gt;0</f>
        <v>1</v>
      </c>
      <c r="N226" s="3"/>
    </row>
    <row r="227" spans="1:14" x14ac:dyDescent="0.45">
      <c r="A227" s="3">
        <v>42692</v>
      </c>
      <c r="B227">
        <v>13.66</v>
      </c>
      <c r="C227">
        <v>-5.8224163027656983E-3</v>
      </c>
      <c r="D227">
        <v>4504.3500000000004</v>
      </c>
      <c r="E227">
        <v>-5.1725242227410595E-3</v>
      </c>
      <c r="F227">
        <v>186.81299999999999</v>
      </c>
      <c r="G227">
        <f t="shared" si="6"/>
        <v>5.1200933553874339E-3</v>
      </c>
      <c r="H227">
        <v>6.0691399999999998E-3</v>
      </c>
      <c r="I227">
        <f t="shared" si="7"/>
        <v>-1.0282999999999994E-4</v>
      </c>
      <c r="J227" s="6">
        <v>1</v>
      </c>
      <c r="K227">
        <v>1</v>
      </c>
      <c r="L227" t="b">
        <f>$K$227*$C$227&gt;0</f>
        <v>0</v>
      </c>
      <c r="N227" s="3"/>
    </row>
    <row r="228" spans="1:14" x14ac:dyDescent="0.45">
      <c r="A228" s="3">
        <v>42695</v>
      </c>
      <c r="B228">
        <v>13.715</v>
      </c>
      <c r="C228">
        <v>4.026354319180081E-3</v>
      </c>
      <c r="D228">
        <v>4529.58</v>
      </c>
      <c r="E228">
        <v>5.6012521229478196E-3</v>
      </c>
      <c r="F228">
        <v>186.6395</v>
      </c>
      <c r="G228">
        <f t="shared" si="6"/>
        <v>9.295995756524178E-4</v>
      </c>
      <c r="H228">
        <v>6.0540999999999998E-3</v>
      </c>
      <c r="I228">
        <f t="shared" si="7"/>
        <v>1.5040000000000019E-5</v>
      </c>
      <c r="J228" s="6">
        <v>1</v>
      </c>
      <c r="K228">
        <v>1</v>
      </c>
      <c r="L228" t="b">
        <f>$K$228*$C$228&gt;0</f>
        <v>1</v>
      </c>
      <c r="N228" s="3"/>
    </row>
    <row r="229" spans="1:14" x14ac:dyDescent="0.45">
      <c r="A229" s="3">
        <v>42696</v>
      </c>
      <c r="B229">
        <v>13.815</v>
      </c>
      <c r="C229">
        <v>7.2912869121399826E-3</v>
      </c>
      <c r="D229">
        <v>4548.3500000000004</v>
      </c>
      <c r="E229">
        <v>4.1438720587780864E-3</v>
      </c>
      <c r="F229">
        <v>187.68899999999999</v>
      </c>
      <c r="G229">
        <f t="shared" si="6"/>
        <v>-5.5916969028552144E-3</v>
      </c>
      <c r="H229">
        <v>5.9910199999999997E-3</v>
      </c>
      <c r="I229">
        <f t="shared" si="7"/>
        <v>6.308000000000008E-5</v>
      </c>
      <c r="J229" s="6">
        <v>1</v>
      </c>
      <c r="K229">
        <v>1</v>
      </c>
      <c r="L229" t="b">
        <f>$K$229*$C$229&gt;0</f>
        <v>1</v>
      </c>
      <c r="N229" s="3"/>
    </row>
    <row r="230" spans="1:14" x14ac:dyDescent="0.45">
      <c r="A230" s="3">
        <v>42697</v>
      </c>
      <c r="B230">
        <v>13.725</v>
      </c>
      <c r="C230">
        <v>-6.514657980456029E-3</v>
      </c>
      <c r="D230">
        <v>4529.21</v>
      </c>
      <c r="E230">
        <v>-4.2081194279244283E-3</v>
      </c>
      <c r="F230">
        <v>186.721</v>
      </c>
      <c r="G230">
        <f t="shared" si="6"/>
        <v>5.1842053116681885E-3</v>
      </c>
      <c r="H230">
        <v>5.9931000000000003E-3</v>
      </c>
      <c r="I230">
        <f t="shared" si="7"/>
        <v>-2.0800000000006577E-6</v>
      </c>
      <c r="J230" s="6">
        <v>1</v>
      </c>
      <c r="K230">
        <v>1</v>
      </c>
      <c r="L230" t="b">
        <f>$K$230*$C$230&gt;0</f>
        <v>0</v>
      </c>
      <c r="N230" s="3"/>
    </row>
    <row r="231" spans="1:14" x14ac:dyDescent="0.45">
      <c r="A231" s="3">
        <v>42698</v>
      </c>
      <c r="B231">
        <v>13.71</v>
      </c>
      <c r="C231">
        <v>-1.0928961748633004E-3</v>
      </c>
      <c r="D231">
        <v>4542.5600000000004</v>
      </c>
      <c r="E231">
        <v>2.9475338966398201E-3</v>
      </c>
      <c r="F231">
        <v>186.52799999999999</v>
      </c>
      <c r="G231">
        <f t="shared" si="6"/>
        <v>1.034697203637025E-3</v>
      </c>
      <c r="H231">
        <v>5.9954500000000003E-3</v>
      </c>
      <c r="I231">
        <f t="shared" si="7"/>
        <v>-2.3499999999999216E-6</v>
      </c>
      <c r="J231" s="6">
        <v>1</v>
      </c>
      <c r="K231">
        <v>1</v>
      </c>
      <c r="L231" t="b">
        <f>$K$231*$C$231&gt;0</f>
        <v>0</v>
      </c>
      <c r="N231" s="3"/>
    </row>
    <row r="232" spans="1:14" x14ac:dyDescent="0.45">
      <c r="A232" s="3">
        <v>42699</v>
      </c>
      <c r="B232">
        <v>13.77</v>
      </c>
      <c r="C232">
        <v>4.3763676148795838E-3</v>
      </c>
      <c r="D232">
        <v>4550.2700000000004</v>
      </c>
      <c r="E232">
        <v>1.6972808284314578E-3</v>
      </c>
      <c r="F232">
        <v>186.726</v>
      </c>
      <c r="G232">
        <f t="shared" si="6"/>
        <v>-1.0603772372353992E-3</v>
      </c>
      <c r="H232">
        <v>6.0051599999999998E-3</v>
      </c>
      <c r="I232">
        <f t="shared" si="7"/>
        <v>-9.7099999999995801E-6</v>
      </c>
      <c r="J232" s="6">
        <v>1</v>
      </c>
      <c r="K232">
        <v>1</v>
      </c>
      <c r="L232" t="b">
        <f>$K$232*$C$232&gt;0</f>
        <v>1</v>
      </c>
      <c r="N232" s="3"/>
    </row>
    <row r="233" spans="1:14" x14ac:dyDescent="0.45">
      <c r="A233" s="3">
        <v>42702</v>
      </c>
      <c r="B233">
        <v>13.6</v>
      </c>
      <c r="C233">
        <v>-1.2345679012345623E-2</v>
      </c>
      <c r="D233">
        <v>4510.3900000000003</v>
      </c>
      <c r="E233">
        <v>-8.7643150845994056E-3</v>
      </c>
      <c r="F233">
        <v>187.59450000000001</v>
      </c>
      <c r="G233">
        <f t="shared" si="6"/>
        <v>-4.6296666480094562E-3</v>
      </c>
      <c r="H233">
        <v>6.0191100000000003E-3</v>
      </c>
      <c r="I233">
        <f t="shared" si="7"/>
        <v>-1.395000000000042E-5</v>
      </c>
      <c r="J233" s="6">
        <v>1</v>
      </c>
      <c r="K233">
        <v>1</v>
      </c>
      <c r="L233" t="b">
        <f>$K$233*$C$233&gt;0</f>
        <v>0</v>
      </c>
      <c r="N233" s="3"/>
    </row>
    <row r="234" spans="1:14" x14ac:dyDescent="0.45">
      <c r="A234" s="3">
        <v>42703</v>
      </c>
      <c r="B234">
        <v>13.77</v>
      </c>
      <c r="C234">
        <v>1.2499999999999956E-2</v>
      </c>
      <c r="D234">
        <v>4551.46</v>
      </c>
      <c r="E234">
        <v>9.1056427492965941E-3</v>
      </c>
      <c r="F234">
        <v>187.18799999999999</v>
      </c>
      <c r="G234">
        <f t="shared" si="6"/>
        <v>2.1716135649723078E-3</v>
      </c>
      <c r="H234">
        <v>6.0126399999999997E-3</v>
      </c>
      <c r="I234">
        <f t="shared" si="7"/>
        <v>6.4700000000006072E-6</v>
      </c>
      <c r="J234" s="6">
        <v>1</v>
      </c>
      <c r="K234">
        <v>1</v>
      </c>
      <c r="L234" t="b">
        <f>$K$234*$C$234&gt;0</f>
        <v>1</v>
      </c>
      <c r="N234" s="3"/>
    </row>
    <row r="235" spans="1:14" x14ac:dyDescent="0.45">
      <c r="A235" s="3">
        <v>42704</v>
      </c>
      <c r="B235">
        <v>13.755000000000001</v>
      </c>
      <c r="C235">
        <v>-1.0893246187363426E-3</v>
      </c>
      <c r="D235">
        <v>4578.34</v>
      </c>
      <c r="E235">
        <v>5.9057972606593179E-3</v>
      </c>
      <c r="F235">
        <v>185.80199999999999</v>
      </c>
      <c r="G235">
        <f t="shared" si="6"/>
        <v>7.4595537184745098E-3</v>
      </c>
      <c r="H235">
        <v>5.98805E-3</v>
      </c>
      <c r="I235">
        <f t="shared" si="7"/>
        <v>2.4589999999999682E-5</v>
      </c>
      <c r="J235" s="6">
        <v>1</v>
      </c>
      <c r="K235">
        <v>1</v>
      </c>
      <c r="L235" t="b">
        <f>$K$235*$C$235&gt;0</f>
        <v>0</v>
      </c>
      <c r="N235" s="3"/>
    </row>
    <row r="236" spans="1:14" x14ac:dyDescent="0.45">
      <c r="A236" s="3">
        <v>42705</v>
      </c>
      <c r="B236">
        <v>13.63</v>
      </c>
      <c r="C236">
        <v>-9.0876045074518297E-3</v>
      </c>
      <c r="D236">
        <v>4560.6099999999997</v>
      </c>
      <c r="E236">
        <v>-3.8725826391226015E-3</v>
      </c>
      <c r="F236">
        <v>183.7835</v>
      </c>
      <c r="G236">
        <f t="shared" si="6"/>
        <v>1.0983031664975274E-2</v>
      </c>
      <c r="H236">
        <v>5.9619800000000004E-3</v>
      </c>
      <c r="I236">
        <f t="shared" si="7"/>
        <v>2.6069999999999566E-5</v>
      </c>
      <c r="J236" s="6">
        <v>1</v>
      </c>
      <c r="K236">
        <v>1</v>
      </c>
      <c r="L236" t="b">
        <f>$K$236*$C$236&gt;0</f>
        <v>0</v>
      </c>
      <c r="N236" s="3"/>
    </row>
    <row r="237" spans="1:14" x14ac:dyDescent="0.45">
      <c r="A237" s="3">
        <v>42706</v>
      </c>
      <c r="B237">
        <v>13.4</v>
      </c>
      <c r="C237">
        <v>-1.6874541452677971E-2</v>
      </c>
      <c r="D237">
        <v>4528.82</v>
      </c>
      <c r="E237">
        <v>-6.9705587629724786E-3</v>
      </c>
      <c r="F237">
        <v>185.691</v>
      </c>
      <c r="G237">
        <f t="shared" si="6"/>
        <v>-1.0272441852324565E-2</v>
      </c>
      <c r="H237">
        <v>5.9531200000000001E-3</v>
      </c>
      <c r="I237">
        <f t="shared" si="7"/>
        <v>8.8600000000002913E-6</v>
      </c>
      <c r="J237" s="6">
        <v>1</v>
      </c>
      <c r="K237">
        <v>1</v>
      </c>
      <c r="L237" t="b">
        <f>$K$237*$C$237&gt;0</f>
        <v>0</v>
      </c>
      <c r="N237" s="3"/>
    </row>
    <row r="238" spans="1:14" x14ac:dyDescent="0.45">
      <c r="A238" s="3">
        <v>42709</v>
      </c>
      <c r="B238">
        <v>13.24</v>
      </c>
      <c r="C238">
        <v>-1.1940298507462699E-2</v>
      </c>
      <c r="D238">
        <v>4574.32</v>
      </c>
      <c r="E238">
        <v>1.0046767149058722E-2</v>
      </c>
      <c r="F238">
        <v>184.79650000000001</v>
      </c>
      <c r="G238">
        <f t="shared" si="6"/>
        <v>4.8404596407398692E-3</v>
      </c>
      <c r="H238">
        <v>5.9528200000000002E-3</v>
      </c>
      <c r="I238">
        <f t="shared" si="7"/>
        <v>2.9999999999995308E-7</v>
      </c>
      <c r="J238" s="6">
        <v>1</v>
      </c>
      <c r="K238">
        <v>1</v>
      </c>
      <c r="L238" t="b">
        <f>$K$238*$C$238&gt;0</f>
        <v>0</v>
      </c>
      <c r="N238" s="3"/>
    </row>
    <row r="239" spans="1:14" x14ac:dyDescent="0.45">
      <c r="A239" s="3">
        <v>42710</v>
      </c>
      <c r="B239">
        <v>13.425000000000001</v>
      </c>
      <c r="C239">
        <v>1.3972809667673669E-2</v>
      </c>
      <c r="D239">
        <v>4631.9399999999996</v>
      </c>
      <c r="E239">
        <v>1.2596407772084151E-2</v>
      </c>
      <c r="F239">
        <v>183.96100000000001</v>
      </c>
      <c r="G239">
        <f t="shared" si="6"/>
        <v>4.5417235174847193E-3</v>
      </c>
      <c r="H239">
        <v>5.88011E-3</v>
      </c>
      <c r="I239">
        <f t="shared" si="7"/>
        <v>7.2710000000000136E-5</v>
      </c>
      <c r="J239" s="6">
        <v>1</v>
      </c>
      <c r="K239">
        <v>1</v>
      </c>
      <c r="L239" t="b">
        <f>$K$239*$C$239&gt;0</f>
        <v>1</v>
      </c>
      <c r="N239" s="3"/>
    </row>
    <row r="240" spans="1:14" x14ac:dyDescent="0.45">
      <c r="A240" s="3">
        <v>42711</v>
      </c>
      <c r="B240">
        <v>13.49</v>
      </c>
      <c r="C240">
        <v>4.8417132216014291E-3</v>
      </c>
      <c r="D240">
        <v>4694.72</v>
      </c>
      <c r="E240">
        <v>1.355371615349088E-2</v>
      </c>
      <c r="F240">
        <v>184.28149999999999</v>
      </c>
      <c r="G240">
        <f t="shared" si="6"/>
        <v>-1.7391870589287262E-3</v>
      </c>
      <c r="H240">
        <v>5.82096E-3</v>
      </c>
      <c r="I240">
        <f t="shared" si="7"/>
        <v>5.9150000000000001E-5</v>
      </c>
      <c r="J240" s="6">
        <v>1</v>
      </c>
      <c r="K240">
        <v>1</v>
      </c>
      <c r="L240" t="b">
        <f>$K$240*$C$240&gt;0</f>
        <v>1</v>
      </c>
      <c r="N240" s="3"/>
    </row>
    <row r="241" spans="1:14" x14ac:dyDescent="0.45">
      <c r="A241" s="3">
        <v>42712</v>
      </c>
      <c r="B241">
        <v>13.734999999999999</v>
      </c>
      <c r="C241">
        <v>1.8161601186063692E-2</v>
      </c>
      <c r="D241">
        <v>4735.4799999999996</v>
      </c>
      <c r="E241">
        <v>8.6820939267941988E-3</v>
      </c>
      <c r="F241">
        <v>182.83799999999999</v>
      </c>
      <c r="G241">
        <f t="shared" si="6"/>
        <v>7.8949671293713219E-3</v>
      </c>
      <c r="H241">
        <v>5.8363099999999999E-3</v>
      </c>
      <c r="I241">
        <f t="shared" si="7"/>
        <v>-1.5349999999999912E-5</v>
      </c>
      <c r="J241" s="6">
        <v>1</v>
      </c>
      <c r="K241">
        <v>1</v>
      </c>
      <c r="L241" t="b">
        <f>$K$241*$C$241&gt;0</f>
        <v>1</v>
      </c>
      <c r="N241" s="3"/>
    </row>
    <row r="242" spans="1:14" x14ac:dyDescent="0.45">
      <c r="A242" s="3">
        <v>42713</v>
      </c>
      <c r="B242">
        <v>13.5</v>
      </c>
      <c r="C242">
        <v>-1.7109574080815371E-2</v>
      </c>
      <c r="D242">
        <v>4764.07</v>
      </c>
      <c r="E242">
        <v>6.0374027553702359E-3</v>
      </c>
      <c r="F242">
        <v>182.69049999999999</v>
      </c>
      <c r="G242">
        <f t="shared" si="6"/>
        <v>8.0737640982975201E-4</v>
      </c>
      <c r="H242">
        <v>5.8277399999999997E-3</v>
      </c>
      <c r="I242">
        <f t="shared" si="7"/>
        <v>8.5700000000002788E-6</v>
      </c>
      <c r="J242" s="6">
        <v>1</v>
      </c>
      <c r="K242">
        <v>1</v>
      </c>
      <c r="L242" t="b">
        <f>$K$242*$C$242&gt;0</f>
        <v>0</v>
      </c>
      <c r="N242" s="3"/>
    </row>
    <row r="243" spans="1:14" x14ac:dyDescent="0.45">
      <c r="A243" s="3">
        <v>42716</v>
      </c>
      <c r="B243">
        <v>13.515000000000001</v>
      </c>
      <c r="C243">
        <v>1.1111111111110628E-3</v>
      </c>
      <c r="D243">
        <v>4760.7700000000004</v>
      </c>
      <c r="E243">
        <v>-6.9268503611397136E-4</v>
      </c>
      <c r="F243">
        <v>181.9145</v>
      </c>
      <c r="G243">
        <f t="shared" si="6"/>
        <v>4.2657402241161879E-3</v>
      </c>
      <c r="H243">
        <v>5.8713400000000001E-3</v>
      </c>
      <c r="I243">
        <f t="shared" si="7"/>
        <v>-4.3600000000000409E-5</v>
      </c>
      <c r="J243" s="6">
        <v>1</v>
      </c>
      <c r="K243">
        <v>1</v>
      </c>
      <c r="L243" t="b">
        <f>$K$243*$C$243&gt;0</f>
        <v>1</v>
      </c>
      <c r="N243" s="3"/>
    </row>
    <row r="244" spans="1:14" x14ac:dyDescent="0.45">
      <c r="A244" s="3">
        <v>42717</v>
      </c>
      <c r="B244">
        <v>13.77</v>
      </c>
      <c r="C244">
        <v>1.8867924528301883E-2</v>
      </c>
      <c r="D244">
        <v>4803.87</v>
      </c>
      <c r="E244">
        <v>9.0531573674006438E-3</v>
      </c>
      <c r="F244">
        <v>182.67850000000001</v>
      </c>
      <c r="G244">
        <f t="shared" si="6"/>
        <v>-4.1822108239338851E-3</v>
      </c>
      <c r="H244">
        <v>5.8230799999999996E-3</v>
      </c>
      <c r="I244">
        <f t="shared" si="7"/>
        <v>4.826000000000049E-5</v>
      </c>
      <c r="J244" s="6">
        <v>1</v>
      </c>
      <c r="K244">
        <v>1</v>
      </c>
      <c r="L244" t="b">
        <f>$K$244*$C$244&gt;0</f>
        <v>1</v>
      </c>
      <c r="N244" s="3"/>
    </row>
    <row r="245" spans="1:14" x14ac:dyDescent="0.45">
      <c r="A245" s="3">
        <v>42718</v>
      </c>
      <c r="B245">
        <v>13.86</v>
      </c>
      <c r="C245">
        <v>6.5359477124182774E-3</v>
      </c>
      <c r="D245">
        <v>4769.24</v>
      </c>
      <c r="E245">
        <v>-7.2087712615037658E-3</v>
      </c>
      <c r="F245">
        <v>184.05600000000001</v>
      </c>
      <c r="G245">
        <f t="shared" si="6"/>
        <v>-7.4841352631808133E-3</v>
      </c>
      <c r="H245">
        <v>5.79964E-3</v>
      </c>
      <c r="I245">
        <f t="shared" si="7"/>
        <v>2.3439999999999572E-5</v>
      </c>
      <c r="J245" s="6">
        <v>1</v>
      </c>
      <c r="K245">
        <v>1</v>
      </c>
      <c r="L245" t="b">
        <f>$K$245*$C$245&gt;0</f>
        <v>1</v>
      </c>
      <c r="N245" s="3"/>
    </row>
    <row r="246" spans="1:14" x14ac:dyDescent="0.45">
      <c r="A246" s="3">
        <v>42719</v>
      </c>
      <c r="B246">
        <v>13.715</v>
      </c>
      <c r="C246">
        <v>-1.0461760461760394E-2</v>
      </c>
      <c r="D246">
        <v>4819.2299999999996</v>
      </c>
      <c r="E246">
        <v>1.0481753906282698E-2</v>
      </c>
      <c r="F246">
        <v>182.636</v>
      </c>
      <c r="G246">
        <f t="shared" si="6"/>
        <v>7.7750279243962162E-3</v>
      </c>
      <c r="H246">
        <v>5.81629E-3</v>
      </c>
      <c r="I246">
        <f t="shared" si="7"/>
        <v>-1.6649999999999998E-5</v>
      </c>
      <c r="J246" s="6">
        <v>1</v>
      </c>
      <c r="K246">
        <v>1</v>
      </c>
      <c r="L246" t="b">
        <f>$K$246*$C$246&gt;0</f>
        <v>0</v>
      </c>
      <c r="N246" s="3"/>
    </row>
    <row r="247" spans="1:14" x14ac:dyDescent="0.45">
      <c r="A247" s="3">
        <v>42720</v>
      </c>
      <c r="B247">
        <v>14</v>
      </c>
      <c r="C247">
        <v>2.0780167699598895E-2</v>
      </c>
      <c r="D247">
        <v>4833.2700000000004</v>
      </c>
      <c r="E247">
        <v>2.9133284777860258E-3</v>
      </c>
      <c r="F247">
        <v>183.79349999999999</v>
      </c>
      <c r="G247">
        <f t="shared" si="6"/>
        <v>-6.2978288133149762E-3</v>
      </c>
      <c r="H247">
        <v>5.82885E-3</v>
      </c>
      <c r="I247">
        <f t="shared" si="7"/>
        <v>-1.2560000000000002E-5</v>
      </c>
      <c r="J247" s="6">
        <v>1</v>
      </c>
      <c r="K247">
        <v>1</v>
      </c>
      <c r="L247" t="b">
        <f>$K$247*$C$247&gt;0</f>
        <v>1</v>
      </c>
      <c r="N247" s="3"/>
    </row>
    <row r="248" spans="1:14" x14ac:dyDescent="0.45">
      <c r="A248" s="3">
        <v>42723</v>
      </c>
      <c r="B248">
        <v>14.21</v>
      </c>
      <c r="C248">
        <v>1.5000000000000124E-2</v>
      </c>
      <c r="D248">
        <v>4822.7700000000004</v>
      </c>
      <c r="E248">
        <v>-2.1724422595882364E-3</v>
      </c>
      <c r="F248">
        <v>185.30099999999999</v>
      </c>
      <c r="G248">
        <f t="shared" si="6"/>
        <v>-8.1354121132642954E-3</v>
      </c>
      <c r="H248">
        <v>5.8221999999999996E-3</v>
      </c>
      <c r="I248">
        <f t="shared" si="7"/>
        <v>6.6500000000004056E-6</v>
      </c>
      <c r="J248" s="6">
        <v>1</v>
      </c>
      <c r="K248">
        <v>1</v>
      </c>
      <c r="L248" t="b">
        <f>$K$248*$C$248&gt;0</f>
        <v>1</v>
      </c>
      <c r="N248" s="3"/>
    </row>
    <row r="249" spans="1:14" x14ac:dyDescent="0.45">
      <c r="A249" s="3">
        <v>42724</v>
      </c>
      <c r="B249">
        <v>14.215</v>
      </c>
      <c r="C249">
        <v>3.5186488388450066E-4</v>
      </c>
      <c r="D249">
        <v>4849.8900000000003</v>
      </c>
      <c r="E249">
        <v>5.6233243550904977E-3</v>
      </c>
      <c r="F249">
        <v>184.7525</v>
      </c>
      <c r="G249">
        <f t="shared" si="6"/>
        <v>2.9688366869189409E-3</v>
      </c>
      <c r="H249">
        <v>5.81205E-3</v>
      </c>
      <c r="I249">
        <f t="shared" si="7"/>
        <v>1.0149999999999569E-5</v>
      </c>
      <c r="J249" s="6">
        <v>1</v>
      </c>
      <c r="K249">
        <v>1</v>
      </c>
      <c r="L249" t="b">
        <f>$K$249*$C$249&gt;0</f>
        <v>1</v>
      </c>
      <c r="N249" s="3"/>
    </row>
    <row r="250" spans="1:14" x14ac:dyDescent="0.45">
      <c r="A250" s="3">
        <v>42725</v>
      </c>
      <c r="B250">
        <v>14.19</v>
      </c>
      <c r="C250">
        <v>-1.7587055926837625E-3</v>
      </c>
      <c r="D250">
        <v>4833.82</v>
      </c>
      <c r="E250">
        <v>-3.3134772128853296E-3</v>
      </c>
      <c r="F250">
        <v>185.22</v>
      </c>
      <c r="G250">
        <f t="shared" si="6"/>
        <v>-2.5240254832091802E-3</v>
      </c>
      <c r="H250">
        <v>5.8003300000000002E-3</v>
      </c>
      <c r="I250">
        <f t="shared" si="7"/>
        <v>1.1719999999999786E-5</v>
      </c>
      <c r="J250" s="6">
        <v>1</v>
      </c>
      <c r="K250">
        <v>1</v>
      </c>
      <c r="L250" t="b">
        <f>$K$250*$C$250&gt;0</f>
        <v>0</v>
      </c>
      <c r="N250" s="3"/>
    </row>
    <row r="251" spans="1:14" x14ac:dyDescent="0.45">
      <c r="A251" s="3">
        <v>42726</v>
      </c>
      <c r="B251">
        <v>14.135</v>
      </c>
      <c r="C251">
        <v>-3.8759689922480689E-3</v>
      </c>
      <c r="D251">
        <v>4834.63</v>
      </c>
      <c r="E251">
        <v>1.6756933439809885E-4</v>
      </c>
      <c r="F251">
        <v>184.875</v>
      </c>
      <c r="G251">
        <f t="shared" si="6"/>
        <v>1.866125760649151E-3</v>
      </c>
      <c r="H251">
        <v>5.8004099999999998E-3</v>
      </c>
      <c r="I251">
        <f t="shared" si="7"/>
        <v>-7.9999999999524896E-8</v>
      </c>
      <c r="J251" s="6">
        <v>1</v>
      </c>
      <c r="K251">
        <v>1</v>
      </c>
      <c r="L251" t="b">
        <f>$K$251*$C$251&gt;0</f>
        <v>0</v>
      </c>
      <c r="N251" s="3"/>
    </row>
    <row r="252" spans="1:14" x14ac:dyDescent="0.45">
      <c r="A252" s="3">
        <v>42727</v>
      </c>
      <c r="B252">
        <v>14.29</v>
      </c>
      <c r="C252">
        <v>1.0965688008489627E-2</v>
      </c>
      <c r="D252">
        <v>4839.68</v>
      </c>
      <c r="E252">
        <v>1.0445473593636567E-3</v>
      </c>
      <c r="F252">
        <v>185.73349999999999</v>
      </c>
      <c r="G252">
        <f t="shared" si="6"/>
        <v>-4.6222140863118044E-3</v>
      </c>
      <c r="H252">
        <v>5.7972099999999997E-3</v>
      </c>
      <c r="I252">
        <f t="shared" si="7"/>
        <v>3.2000000000000778E-6</v>
      </c>
      <c r="J252" s="6">
        <v>1</v>
      </c>
      <c r="K252">
        <v>1</v>
      </c>
      <c r="L252" t="b">
        <f>$K$252*$C$252&gt;0</f>
        <v>1</v>
      </c>
      <c r="N252" s="3"/>
    </row>
    <row r="253" spans="1:14" x14ac:dyDescent="0.45">
      <c r="A253" s="3">
        <v>42731</v>
      </c>
      <c r="B253">
        <v>14.275</v>
      </c>
      <c r="C253">
        <v>-1.0496850944715641E-3</v>
      </c>
      <c r="D253">
        <v>4848.28</v>
      </c>
      <c r="E253">
        <v>1.7769769902140631E-3</v>
      </c>
      <c r="F253">
        <v>185.83150000000001</v>
      </c>
      <c r="G253">
        <f t="shared" si="6"/>
        <v>-5.2735946273918533E-4</v>
      </c>
      <c r="H253">
        <v>5.7942999999999996E-3</v>
      </c>
      <c r="I253">
        <f t="shared" si="7"/>
        <v>2.9100000000000653E-6</v>
      </c>
      <c r="J253" s="6">
        <v>1</v>
      </c>
      <c r="K253">
        <v>1</v>
      </c>
      <c r="L253" t="b">
        <f>$K$253*$C$253&gt;0</f>
        <v>0</v>
      </c>
      <c r="N253" s="3"/>
    </row>
    <row r="254" spans="1:14" x14ac:dyDescent="0.45">
      <c r="A254" s="3">
        <v>42732</v>
      </c>
      <c r="B254">
        <v>14.22</v>
      </c>
      <c r="C254">
        <v>-3.8528896672503921E-3</v>
      </c>
      <c r="D254">
        <v>4848.01</v>
      </c>
      <c r="E254">
        <v>-5.5689852896168013E-5</v>
      </c>
      <c r="F254">
        <v>186.08449999999999</v>
      </c>
      <c r="G254">
        <f t="shared" si="6"/>
        <v>-1.3595973872084777E-3</v>
      </c>
      <c r="H254">
        <v>5.7885699999999998E-3</v>
      </c>
      <c r="I254">
        <f t="shared" si="7"/>
        <v>5.7299999999997978E-6</v>
      </c>
      <c r="J254" s="6">
        <v>1</v>
      </c>
      <c r="K254">
        <v>1</v>
      </c>
      <c r="L254" t="b">
        <f>$K$254*$C$254&gt;0</f>
        <v>0</v>
      </c>
      <c r="N254" s="3"/>
    </row>
    <row r="255" spans="1:14" x14ac:dyDescent="0.45">
      <c r="A255" s="3">
        <v>42733</v>
      </c>
      <c r="B255">
        <v>14.375</v>
      </c>
      <c r="C255">
        <v>1.0900140646975975E-2</v>
      </c>
      <c r="D255">
        <v>4838.47</v>
      </c>
      <c r="E255">
        <v>-1.9678177231482463E-3</v>
      </c>
      <c r="F255">
        <v>186.67449999999999</v>
      </c>
      <c r="G255">
        <f t="shared" si="6"/>
        <v>-3.1605816541627751E-3</v>
      </c>
      <c r="H255">
        <v>5.7982399999999996E-3</v>
      </c>
      <c r="I255">
        <f t="shared" si="7"/>
        <v>-9.6699999999998176E-6</v>
      </c>
      <c r="J255" s="6">
        <v>1</v>
      </c>
      <c r="K255">
        <v>1</v>
      </c>
      <c r="L255" t="b">
        <f>$K$255*$C$255&gt;0</f>
        <v>1</v>
      </c>
      <c r="N255" s="3"/>
    </row>
    <row r="256" spans="1:14" x14ac:dyDescent="0.45">
      <c r="A256" s="3">
        <v>42734</v>
      </c>
      <c r="B256">
        <v>14.435</v>
      </c>
      <c r="C256">
        <v>4.1739130434783611E-3</v>
      </c>
      <c r="D256">
        <v>4862.3100000000004</v>
      </c>
      <c r="E256">
        <v>4.9271773928536433E-3</v>
      </c>
      <c r="F256">
        <v>185.733</v>
      </c>
      <c r="G256">
        <f t="shared" si="6"/>
        <v>5.0691045748465502E-3</v>
      </c>
      <c r="H256">
        <v>5.7967499999999998E-3</v>
      </c>
      <c r="I256">
        <f t="shared" si="7"/>
        <v>1.4899999999998248E-6</v>
      </c>
      <c r="J256" s="6">
        <v>1</v>
      </c>
      <c r="K256">
        <v>1</v>
      </c>
      <c r="L256" t="b">
        <f>$K$256*$C$256&gt;0</f>
        <v>1</v>
      </c>
      <c r="N256" s="3"/>
    </row>
    <row r="257" spans="1:14" x14ac:dyDescent="0.45">
      <c r="A257" s="3">
        <v>42737</v>
      </c>
      <c r="B257">
        <v>14.57</v>
      </c>
      <c r="C257">
        <v>9.3522687911327118E-3</v>
      </c>
      <c r="D257">
        <v>4882.38</v>
      </c>
      <c r="E257">
        <v>4.1276677134940432E-3</v>
      </c>
      <c r="F257">
        <v>186.02449999999999</v>
      </c>
      <c r="G257">
        <f t="shared" si="6"/>
        <v>-1.56699789543846E-3</v>
      </c>
      <c r="H257">
        <v>5.79702E-3</v>
      </c>
      <c r="I257">
        <f t="shared" si="7"/>
        <v>-2.7000000000013125E-7</v>
      </c>
      <c r="J257" s="6">
        <v>1</v>
      </c>
      <c r="K257">
        <v>1</v>
      </c>
      <c r="L257" t="b">
        <f>$K$257*$C$257&gt;0</f>
        <v>1</v>
      </c>
      <c r="N257" s="3"/>
    </row>
    <row r="258" spans="1:14" x14ac:dyDescent="0.45">
      <c r="A258" s="3">
        <v>42738</v>
      </c>
      <c r="B258">
        <v>14.59</v>
      </c>
      <c r="C258">
        <v>1.3726835964309458E-3</v>
      </c>
      <c r="D258">
        <v>4899.33</v>
      </c>
      <c r="E258">
        <v>3.4716675064210278E-3</v>
      </c>
      <c r="F258">
        <v>184.51750000000001</v>
      </c>
      <c r="G258">
        <f t="shared" si="6"/>
        <v>8.1672470090912164E-3</v>
      </c>
      <c r="H258">
        <v>5.7470000000000004E-3</v>
      </c>
      <c r="I258">
        <f t="shared" si="7"/>
        <v>5.0019999999999579E-5</v>
      </c>
      <c r="J258" s="6">
        <v>1</v>
      </c>
      <c r="K258">
        <v>1</v>
      </c>
      <c r="L258" t="b">
        <f>$K$258*$C$258&gt;0</f>
        <v>1</v>
      </c>
      <c r="N258" s="3"/>
    </row>
    <row r="259" spans="1:14" x14ac:dyDescent="0.45">
      <c r="A259" s="3">
        <v>42739</v>
      </c>
      <c r="B259">
        <v>14.705</v>
      </c>
      <c r="C259">
        <v>7.8821110349553969E-3</v>
      </c>
      <c r="D259">
        <v>4899.3999999999996</v>
      </c>
      <c r="E259">
        <v>1.4287667905454882E-5</v>
      </c>
      <c r="F259">
        <v>184.0505</v>
      </c>
      <c r="G259">
        <f t="shared" si="6"/>
        <v>2.5373470868050862E-3</v>
      </c>
      <c r="H259">
        <v>5.7297700000000003E-3</v>
      </c>
      <c r="I259">
        <f t="shared" si="7"/>
        <v>1.7230000000000023E-5</v>
      </c>
      <c r="J259" s="6">
        <v>1</v>
      </c>
      <c r="K259">
        <v>1</v>
      </c>
      <c r="L259" t="b">
        <f>$K$259*$C$259&gt;0</f>
        <v>1</v>
      </c>
      <c r="N259" s="3"/>
    </row>
    <row r="260" spans="1:14" x14ac:dyDescent="0.45">
      <c r="A260" s="3">
        <v>42740</v>
      </c>
      <c r="B260">
        <v>14.795</v>
      </c>
      <c r="C260">
        <v>6.1203672220333516E-3</v>
      </c>
      <c r="D260">
        <v>4900.6400000000003</v>
      </c>
      <c r="E260">
        <v>2.530922153733961E-4</v>
      </c>
      <c r="F260">
        <v>184.989</v>
      </c>
      <c r="G260">
        <f t="shared" ref="G260:G323" si="8">F259/F260-1</f>
        <v>-5.0732746271400231E-3</v>
      </c>
      <c r="H260">
        <v>5.7178300000000001E-3</v>
      </c>
      <c r="I260">
        <f t="shared" ref="I260:I323" si="9">H259-H260</f>
        <v>1.1940000000000214E-5</v>
      </c>
      <c r="J260" s="6">
        <v>1</v>
      </c>
      <c r="K260">
        <v>1</v>
      </c>
      <c r="L260" t="b">
        <f>$K$260*$C$260&gt;0</f>
        <v>1</v>
      </c>
      <c r="N260" s="3"/>
    </row>
    <row r="261" spans="1:14" x14ac:dyDescent="0.45">
      <c r="A261" s="3">
        <v>42741</v>
      </c>
      <c r="B261">
        <v>14.79</v>
      </c>
      <c r="C261">
        <v>-3.3795201081454618E-4</v>
      </c>
      <c r="D261">
        <v>4909.84</v>
      </c>
      <c r="E261">
        <v>1.8773058212804283E-3</v>
      </c>
      <c r="F261">
        <v>183.83699999999999</v>
      </c>
      <c r="G261">
        <f t="shared" si="8"/>
        <v>6.2664207966840468E-3</v>
      </c>
      <c r="H261">
        <v>5.7404200000000004E-3</v>
      </c>
      <c r="I261">
        <f t="shared" si="9"/>
        <v>-2.2590000000000283E-5</v>
      </c>
      <c r="J261" s="6">
        <v>1</v>
      </c>
      <c r="K261">
        <v>1</v>
      </c>
      <c r="L261" t="b">
        <f>$K$261*$C$261&gt;0</f>
        <v>0</v>
      </c>
      <c r="N261" s="3"/>
    </row>
    <row r="262" spans="1:14" x14ac:dyDescent="0.45">
      <c r="A262" s="3">
        <v>42744</v>
      </c>
      <c r="B262">
        <v>14.78</v>
      </c>
      <c r="C262">
        <v>-6.7613252197429308E-4</v>
      </c>
      <c r="D262">
        <v>4887.57</v>
      </c>
      <c r="E262">
        <v>-4.5357893536246419E-3</v>
      </c>
      <c r="F262">
        <v>184.13</v>
      </c>
      <c r="G262">
        <f t="shared" si="8"/>
        <v>-1.5912670395916706E-3</v>
      </c>
      <c r="H262">
        <v>5.7327400000000001E-3</v>
      </c>
      <c r="I262">
        <f t="shared" si="9"/>
        <v>7.6800000000003601E-6</v>
      </c>
      <c r="J262" s="6">
        <v>1</v>
      </c>
      <c r="K262">
        <v>1</v>
      </c>
      <c r="L262" t="b">
        <f>$K$262*$C$262&gt;0</f>
        <v>0</v>
      </c>
      <c r="N262" s="3"/>
    </row>
    <row r="263" spans="1:14" x14ac:dyDescent="0.45">
      <c r="A263" s="3">
        <v>42745</v>
      </c>
      <c r="B263">
        <v>14.61</v>
      </c>
      <c r="C263">
        <v>-1.1502029769959399E-2</v>
      </c>
      <c r="D263">
        <v>4888.2299999999996</v>
      </c>
      <c r="E263">
        <v>1.3503642914569625E-4</v>
      </c>
      <c r="F263">
        <v>183.9725</v>
      </c>
      <c r="G263">
        <f t="shared" si="8"/>
        <v>8.5610621152620858E-4</v>
      </c>
      <c r="H263">
        <v>5.7660699999999999E-3</v>
      </c>
      <c r="I263">
        <f t="shared" si="9"/>
        <v>-3.3329999999999818E-5</v>
      </c>
      <c r="J263" s="6">
        <v>1</v>
      </c>
      <c r="K263">
        <v>1</v>
      </c>
      <c r="L263" t="b">
        <f>$K$263*$C$263&gt;0</f>
        <v>0</v>
      </c>
      <c r="N263" s="3"/>
    </row>
    <row r="264" spans="1:14" x14ac:dyDescent="0.45">
      <c r="A264" s="3">
        <v>42746</v>
      </c>
      <c r="B264">
        <v>14.65</v>
      </c>
      <c r="C264">
        <v>2.7378507871320679E-3</v>
      </c>
      <c r="D264">
        <v>4888.71</v>
      </c>
      <c r="E264">
        <v>9.8195052196992094E-5</v>
      </c>
      <c r="F264">
        <v>184.76900000000001</v>
      </c>
      <c r="G264">
        <f t="shared" si="8"/>
        <v>-4.3107880650975483E-3</v>
      </c>
      <c r="H264">
        <v>5.7760299999999997E-3</v>
      </c>
      <c r="I264">
        <f t="shared" si="9"/>
        <v>-9.9599999999998301E-6</v>
      </c>
      <c r="J264" s="6">
        <v>1</v>
      </c>
      <c r="K264">
        <v>1</v>
      </c>
      <c r="L264" t="b">
        <f>$K$264*$C$264&gt;0</f>
        <v>1</v>
      </c>
      <c r="N264" s="3"/>
    </row>
    <row r="265" spans="1:14" x14ac:dyDescent="0.45">
      <c r="A265" s="3">
        <v>42747</v>
      </c>
      <c r="B265">
        <v>14.78</v>
      </c>
      <c r="C265">
        <v>8.8737201365187701E-3</v>
      </c>
      <c r="D265">
        <v>4863.97</v>
      </c>
      <c r="E265">
        <v>-5.0606397188623919E-3</v>
      </c>
      <c r="F265">
        <v>184.36500000000001</v>
      </c>
      <c r="G265">
        <f t="shared" si="8"/>
        <v>2.1913052911344266E-3</v>
      </c>
      <c r="H265">
        <v>5.8059599999999998E-3</v>
      </c>
      <c r="I265">
        <f t="shared" si="9"/>
        <v>-2.9930000000000061E-5</v>
      </c>
      <c r="J265" s="6">
        <v>1</v>
      </c>
      <c r="K265">
        <v>1</v>
      </c>
      <c r="L265" t="b">
        <f>$K$265*$C$265&gt;0</f>
        <v>1</v>
      </c>
      <c r="N265" s="3"/>
    </row>
    <row r="266" spans="1:14" x14ac:dyDescent="0.45">
      <c r="A266" s="3">
        <v>42748</v>
      </c>
      <c r="B266">
        <v>14.99</v>
      </c>
      <c r="C266">
        <v>1.420838971583227E-2</v>
      </c>
      <c r="D266">
        <v>4922.49</v>
      </c>
      <c r="E266">
        <v>1.2031324206358107E-2</v>
      </c>
      <c r="F266">
        <v>183.55600000000001</v>
      </c>
      <c r="G266">
        <f t="shared" si="8"/>
        <v>4.4073743162849066E-3</v>
      </c>
      <c r="H266">
        <v>5.78518E-3</v>
      </c>
      <c r="I266">
        <f t="shared" si="9"/>
        <v>2.0779999999999757E-5</v>
      </c>
      <c r="J266" s="6">
        <v>1</v>
      </c>
      <c r="K266">
        <v>1</v>
      </c>
      <c r="L266" t="b">
        <f>$K$266*$C$266&gt;0</f>
        <v>1</v>
      </c>
      <c r="N266" s="3"/>
    </row>
    <row r="267" spans="1:14" x14ac:dyDescent="0.45">
      <c r="A267" s="3">
        <v>42751</v>
      </c>
      <c r="B267">
        <v>14.914999999999999</v>
      </c>
      <c r="C267">
        <v>-5.0033355570381355E-3</v>
      </c>
      <c r="D267">
        <v>4882.18</v>
      </c>
      <c r="E267">
        <v>-8.1889450257897067E-3</v>
      </c>
      <c r="F267">
        <v>183.822</v>
      </c>
      <c r="G267">
        <f t="shared" si="8"/>
        <v>-1.4470520394729292E-3</v>
      </c>
      <c r="H267">
        <v>5.7998099999999999E-3</v>
      </c>
      <c r="I267">
        <f t="shared" si="9"/>
        <v>-1.4629999999999851E-5</v>
      </c>
      <c r="J267" s="6">
        <v>1</v>
      </c>
      <c r="K267">
        <v>1</v>
      </c>
      <c r="L267" t="b">
        <f>$K$267*$C$267&gt;0</f>
        <v>0</v>
      </c>
      <c r="N267" s="3"/>
    </row>
    <row r="268" spans="1:14" x14ac:dyDescent="0.45">
      <c r="A268" s="3">
        <v>42752</v>
      </c>
      <c r="B268">
        <v>14.96</v>
      </c>
      <c r="C268">
        <v>3.0170968823333144E-3</v>
      </c>
      <c r="D268">
        <v>4859.6899999999996</v>
      </c>
      <c r="E268">
        <v>-4.6065487138943206E-3</v>
      </c>
      <c r="F268">
        <v>183.62200000000001</v>
      </c>
      <c r="G268">
        <f t="shared" si="8"/>
        <v>1.0891941052815213E-3</v>
      </c>
      <c r="H268">
        <v>5.82081E-3</v>
      </c>
      <c r="I268">
        <f t="shared" si="9"/>
        <v>-2.1000000000000185E-5</v>
      </c>
      <c r="J268" s="6">
        <v>1</v>
      </c>
      <c r="K268">
        <v>1</v>
      </c>
      <c r="L268" t="b">
        <f>$K$268*$C$268&gt;0</f>
        <v>1</v>
      </c>
      <c r="N268" s="3"/>
    </row>
    <row r="269" spans="1:14" x14ac:dyDescent="0.45">
      <c r="A269" s="3">
        <v>42753</v>
      </c>
      <c r="B269">
        <v>14.97</v>
      </c>
      <c r="C269">
        <v>6.6844919786102075E-4</v>
      </c>
      <c r="D269">
        <v>4853.3999999999996</v>
      </c>
      <c r="E269">
        <v>-1.2943212427130035E-3</v>
      </c>
      <c r="F269">
        <v>182.596</v>
      </c>
      <c r="G269">
        <f t="shared" si="8"/>
        <v>5.6189620802209461E-3</v>
      </c>
      <c r="H269">
        <v>5.8248099999999997E-3</v>
      </c>
      <c r="I269">
        <f t="shared" si="9"/>
        <v>-3.9999999999996635E-6</v>
      </c>
      <c r="J269" s="6">
        <v>1</v>
      </c>
      <c r="K269">
        <v>1</v>
      </c>
      <c r="L269" t="b">
        <f>$K$269*$C$269&gt;0</f>
        <v>1</v>
      </c>
      <c r="N269" s="3"/>
    </row>
    <row r="270" spans="1:14" x14ac:dyDescent="0.45">
      <c r="A270" s="3">
        <v>42754</v>
      </c>
      <c r="B270">
        <v>14.865</v>
      </c>
      <c r="C270">
        <v>-7.014028056112287E-3</v>
      </c>
      <c r="D270">
        <v>4841.1400000000003</v>
      </c>
      <c r="E270">
        <v>-2.5260642024146351E-3</v>
      </c>
      <c r="F270">
        <v>181.9025</v>
      </c>
      <c r="G270">
        <f t="shared" si="8"/>
        <v>3.8124819614904215E-3</v>
      </c>
      <c r="H270">
        <v>5.8216700000000001E-3</v>
      </c>
      <c r="I270">
        <f t="shared" si="9"/>
        <v>3.1399999999995667E-6</v>
      </c>
      <c r="J270" s="6">
        <v>1</v>
      </c>
      <c r="K270">
        <v>1</v>
      </c>
      <c r="L270" t="b">
        <f>$K$270*$C$270&gt;0</f>
        <v>0</v>
      </c>
      <c r="N270" s="3"/>
    </row>
    <row r="271" spans="1:14" x14ac:dyDescent="0.45">
      <c r="A271" s="3">
        <v>42755</v>
      </c>
      <c r="B271">
        <v>14.865</v>
      </c>
      <c r="C271">
        <v>0</v>
      </c>
      <c r="D271">
        <v>4850.67</v>
      </c>
      <c r="E271">
        <v>1.9685445989994221E-3</v>
      </c>
      <c r="F271">
        <v>180.86349999999999</v>
      </c>
      <c r="G271">
        <f t="shared" si="8"/>
        <v>5.7446637934133182E-3</v>
      </c>
      <c r="H271">
        <v>5.8502900000000002E-3</v>
      </c>
      <c r="I271">
        <f t="shared" si="9"/>
        <v>-2.8620000000000034E-5</v>
      </c>
      <c r="J271" s="6">
        <v>1</v>
      </c>
      <c r="K271">
        <v>1</v>
      </c>
      <c r="L271" t="b">
        <f>$K$271*$C$271&gt;0</f>
        <v>0</v>
      </c>
      <c r="N271" s="3"/>
    </row>
    <row r="272" spans="1:14" x14ac:dyDescent="0.45">
      <c r="A272" s="3">
        <v>42758</v>
      </c>
      <c r="B272">
        <v>14.725</v>
      </c>
      <c r="C272">
        <v>-9.4180961991254808E-3</v>
      </c>
      <c r="D272">
        <v>4821.41</v>
      </c>
      <c r="E272">
        <v>-6.032156382520415E-3</v>
      </c>
      <c r="F272">
        <v>181.947</v>
      </c>
      <c r="G272">
        <f t="shared" si="8"/>
        <v>-5.9550308606353131E-3</v>
      </c>
      <c r="H272">
        <v>5.88771E-3</v>
      </c>
      <c r="I272">
        <f t="shared" si="9"/>
        <v>-3.7419999999999815E-5</v>
      </c>
      <c r="J272" s="6">
        <v>1</v>
      </c>
      <c r="K272">
        <v>1</v>
      </c>
      <c r="L272" t="b">
        <f>$K$272*$C$272&gt;0</f>
        <v>0</v>
      </c>
      <c r="N272" s="3"/>
    </row>
    <row r="273" spans="1:14" x14ac:dyDescent="0.45">
      <c r="A273" s="3">
        <v>42759</v>
      </c>
      <c r="B273">
        <v>14.63</v>
      </c>
      <c r="C273">
        <v>-6.4516129032257119E-3</v>
      </c>
      <c r="D273">
        <v>4830.03</v>
      </c>
      <c r="E273">
        <v>1.7878587384188016E-3</v>
      </c>
      <c r="F273">
        <v>181.125</v>
      </c>
      <c r="G273">
        <f t="shared" si="8"/>
        <v>4.538302277432793E-3</v>
      </c>
      <c r="H273">
        <v>5.9458799999999997E-3</v>
      </c>
      <c r="I273">
        <f t="shared" si="9"/>
        <v>-5.816999999999975E-5</v>
      </c>
      <c r="J273" s="6">
        <v>1</v>
      </c>
      <c r="K273">
        <v>1</v>
      </c>
      <c r="L273" t="b">
        <f>$K$273*$C$273&gt;0</f>
        <v>0</v>
      </c>
      <c r="N273" s="3"/>
    </row>
    <row r="274" spans="1:14" x14ac:dyDescent="0.45">
      <c r="A274" s="3">
        <v>42760</v>
      </c>
      <c r="B274">
        <v>14.53</v>
      </c>
      <c r="C274">
        <v>-6.8352699931648608E-3</v>
      </c>
      <c r="D274">
        <v>4877.67</v>
      </c>
      <c r="E274">
        <v>9.8632927745792021E-3</v>
      </c>
      <c r="F274">
        <v>179.9785</v>
      </c>
      <c r="G274">
        <f t="shared" si="8"/>
        <v>6.3702053300811468E-3</v>
      </c>
      <c r="H274">
        <v>6.0502300000000002E-3</v>
      </c>
      <c r="I274">
        <f t="shared" si="9"/>
        <v>-1.0435000000000045E-4</v>
      </c>
      <c r="J274" s="6">
        <v>1</v>
      </c>
      <c r="K274">
        <v>1</v>
      </c>
      <c r="L274" t="b">
        <f>$K$274*$C$274&gt;0</f>
        <v>0</v>
      </c>
      <c r="N274" s="3"/>
    </row>
    <row r="275" spans="1:14" x14ac:dyDescent="0.45">
      <c r="A275" s="3">
        <v>42761</v>
      </c>
      <c r="B275">
        <v>14.555</v>
      </c>
      <c r="C275">
        <v>1.7205781142464183E-3</v>
      </c>
      <c r="D275">
        <v>4867.24</v>
      </c>
      <c r="E275">
        <v>-2.1383160402406176E-3</v>
      </c>
      <c r="F275">
        <v>179.608</v>
      </c>
      <c r="G275">
        <f t="shared" si="8"/>
        <v>2.06282570932248E-3</v>
      </c>
      <c r="H275">
        <v>6.2031200000000003E-3</v>
      </c>
      <c r="I275">
        <f t="shared" si="9"/>
        <v>-1.5289000000000014E-4</v>
      </c>
      <c r="J275" s="6">
        <v>1</v>
      </c>
      <c r="K275">
        <v>1</v>
      </c>
      <c r="L275" t="b">
        <f>$K$275*$C$275&gt;0</f>
        <v>1</v>
      </c>
      <c r="N275" s="3"/>
    </row>
    <row r="276" spans="1:14" x14ac:dyDescent="0.45">
      <c r="A276" s="3">
        <v>42762</v>
      </c>
      <c r="B276">
        <v>14.45</v>
      </c>
      <c r="C276">
        <v>-7.2140158021298806E-3</v>
      </c>
      <c r="D276">
        <v>4839.9799999999996</v>
      </c>
      <c r="E276">
        <v>-5.6007100533361776E-3</v>
      </c>
      <c r="F276">
        <v>180.13650000000001</v>
      </c>
      <c r="G276">
        <f t="shared" si="8"/>
        <v>-2.9338862473735627E-3</v>
      </c>
      <c r="H276">
        <v>6.2848399999999999E-3</v>
      </c>
      <c r="I276">
        <f t="shared" si="9"/>
        <v>-8.1719999999999536E-5</v>
      </c>
      <c r="J276" s="6">
        <v>1</v>
      </c>
      <c r="K276">
        <v>1</v>
      </c>
      <c r="L276" t="b">
        <f>$K$276*$C$276&gt;0</f>
        <v>0</v>
      </c>
      <c r="N276" s="3"/>
    </row>
    <row r="277" spans="1:14" x14ac:dyDescent="0.45">
      <c r="A277" s="3">
        <v>42765</v>
      </c>
      <c r="B277">
        <v>14.37</v>
      </c>
      <c r="C277">
        <v>-5.5363321799307696E-3</v>
      </c>
      <c r="D277">
        <v>4784.6400000000003</v>
      </c>
      <c r="E277">
        <v>-1.1433931545171472E-2</v>
      </c>
      <c r="F277">
        <v>180.429</v>
      </c>
      <c r="G277">
        <f t="shared" si="8"/>
        <v>-1.6211362918376881E-3</v>
      </c>
      <c r="H277">
        <v>6.4981199999999996E-3</v>
      </c>
      <c r="I277">
        <f t="shared" si="9"/>
        <v>-2.1327999999999972E-4</v>
      </c>
      <c r="J277" s="6">
        <v>1</v>
      </c>
      <c r="K277">
        <v>1</v>
      </c>
      <c r="L277" t="b">
        <f>$K$277*$C$277&gt;0</f>
        <v>0</v>
      </c>
      <c r="N277" s="3"/>
    </row>
    <row r="278" spans="1:14" x14ac:dyDescent="0.45">
      <c r="A278" s="3">
        <v>42766</v>
      </c>
      <c r="B278">
        <v>14.324999999999999</v>
      </c>
      <c r="C278">
        <v>-3.1315240083507057E-3</v>
      </c>
      <c r="D278">
        <v>4748.8999999999996</v>
      </c>
      <c r="E278">
        <v>-7.4697364901018526E-3</v>
      </c>
      <c r="F278">
        <v>180.79750000000001</v>
      </c>
      <c r="G278">
        <f t="shared" si="8"/>
        <v>-2.0381918997773862E-3</v>
      </c>
      <c r="H278">
        <v>6.8963000000000002E-3</v>
      </c>
      <c r="I278">
        <f t="shared" si="9"/>
        <v>-3.9818000000000058E-4</v>
      </c>
      <c r="J278" s="6">
        <v>1</v>
      </c>
      <c r="K278">
        <v>1</v>
      </c>
      <c r="L278" t="b">
        <f>$K$278*$C$278&gt;0</f>
        <v>0</v>
      </c>
      <c r="N278" s="3"/>
    </row>
    <row r="279" spans="1:14" x14ac:dyDescent="0.45">
      <c r="A279" s="3">
        <v>42767</v>
      </c>
      <c r="B279">
        <v>14.265000000000001</v>
      </c>
      <c r="C279">
        <v>-4.1884816753925413E-3</v>
      </c>
      <c r="D279">
        <v>4794.58</v>
      </c>
      <c r="E279">
        <v>9.6190696792941566E-3</v>
      </c>
      <c r="F279">
        <v>179.89400000000001</v>
      </c>
      <c r="G279">
        <f t="shared" si="8"/>
        <v>5.0224020812257297E-3</v>
      </c>
      <c r="H279">
        <v>6.9529700000000002E-3</v>
      </c>
      <c r="I279">
        <f t="shared" si="9"/>
        <v>-5.6669999999999984E-5</v>
      </c>
      <c r="J279" s="6">
        <v>1</v>
      </c>
      <c r="K279">
        <v>1</v>
      </c>
      <c r="L279" t="b">
        <f>$K$279*$C$279&gt;0</f>
        <v>0</v>
      </c>
      <c r="N279" s="3"/>
    </row>
    <row r="280" spans="1:14" x14ac:dyDescent="0.45">
      <c r="A280" s="3">
        <v>42768</v>
      </c>
      <c r="B280">
        <v>14.28</v>
      </c>
      <c r="C280">
        <v>1.051524710830698E-3</v>
      </c>
      <c r="D280">
        <v>4794.29</v>
      </c>
      <c r="E280">
        <v>-6.0484964272133901E-5</v>
      </c>
      <c r="F280">
        <v>180.5865</v>
      </c>
      <c r="G280">
        <f t="shared" si="8"/>
        <v>-3.8347274021036659E-3</v>
      </c>
      <c r="H280">
        <v>6.97826E-3</v>
      </c>
      <c r="I280">
        <f t="shared" si="9"/>
        <v>-2.5289999999999861E-5</v>
      </c>
      <c r="J280" s="6">
        <v>1</v>
      </c>
      <c r="K280">
        <v>1</v>
      </c>
      <c r="L280" t="b">
        <f>$K$280*$C$280&gt;0</f>
        <v>1</v>
      </c>
      <c r="N280" s="3"/>
    </row>
    <row r="281" spans="1:14" x14ac:dyDescent="0.45">
      <c r="A281" s="3">
        <v>42769</v>
      </c>
      <c r="B281">
        <v>14.365</v>
      </c>
      <c r="C281">
        <v>5.9523809523809312E-3</v>
      </c>
      <c r="D281">
        <v>4825.42</v>
      </c>
      <c r="E281">
        <v>6.4931407987418588E-3</v>
      </c>
      <c r="F281">
        <v>180.67699999999999</v>
      </c>
      <c r="G281">
        <f t="shared" si="8"/>
        <v>-5.0089386031426653E-4</v>
      </c>
      <c r="H281">
        <v>6.8769800000000004E-3</v>
      </c>
      <c r="I281">
        <f t="shared" si="9"/>
        <v>1.012799999999996E-4</v>
      </c>
      <c r="J281" s="6">
        <v>1</v>
      </c>
      <c r="K281">
        <v>1</v>
      </c>
      <c r="L281" t="b">
        <f>$K$281*$C$281&gt;0</f>
        <v>1</v>
      </c>
      <c r="N281" s="3"/>
    </row>
    <row r="282" spans="1:14" x14ac:dyDescent="0.45">
      <c r="A282" s="3">
        <v>42772</v>
      </c>
      <c r="B282">
        <v>14.28</v>
      </c>
      <c r="C282">
        <v>-5.9171597633136397E-3</v>
      </c>
      <c r="D282">
        <v>4778.08</v>
      </c>
      <c r="E282">
        <v>-9.81054498883005E-3</v>
      </c>
      <c r="F282">
        <v>181.34450000000001</v>
      </c>
      <c r="G282">
        <f t="shared" si="8"/>
        <v>-3.6808395071260547E-3</v>
      </c>
      <c r="H282">
        <v>7.0268199999999996E-3</v>
      </c>
      <c r="I282">
        <f t="shared" si="9"/>
        <v>-1.4983999999999918E-4</v>
      </c>
      <c r="J282" s="6">
        <v>1</v>
      </c>
      <c r="K282">
        <v>1</v>
      </c>
      <c r="L282" t="b">
        <f>$K$282*$C$282&gt;0</f>
        <v>0</v>
      </c>
      <c r="N282" s="3"/>
    </row>
    <row r="283" spans="1:14" x14ac:dyDescent="0.45">
      <c r="A283" s="3">
        <v>42773</v>
      </c>
      <c r="B283">
        <v>14.15</v>
      </c>
      <c r="C283">
        <v>-9.1036414565826007E-3</v>
      </c>
      <c r="D283">
        <v>4754.47</v>
      </c>
      <c r="E283">
        <v>-4.9413153400528209E-3</v>
      </c>
      <c r="F283">
        <v>181.51400000000001</v>
      </c>
      <c r="G283">
        <f t="shared" si="8"/>
        <v>-9.3381226792421668E-4</v>
      </c>
      <c r="H283">
        <v>7.1154199999999999E-3</v>
      </c>
      <c r="I283">
        <f t="shared" si="9"/>
        <v>-8.860000000000031E-5</v>
      </c>
      <c r="J283" s="6">
        <v>1</v>
      </c>
      <c r="K283">
        <v>1</v>
      </c>
      <c r="L283" t="b">
        <f>$K$283*$C$283&gt;0</f>
        <v>0</v>
      </c>
      <c r="N283" s="3"/>
    </row>
    <row r="284" spans="1:14" x14ac:dyDescent="0.45">
      <c r="A284" s="3">
        <v>42774</v>
      </c>
      <c r="B284">
        <v>14.28</v>
      </c>
      <c r="C284">
        <v>9.187279151943395E-3</v>
      </c>
      <c r="D284">
        <v>4766.6000000000004</v>
      </c>
      <c r="E284">
        <v>2.5512833186454031E-3</v>
      </c>
      <c r="F284">
        <v>181.999</v>
      </c>
      <c r="G284">
        <f t="shared" si="8"/>
        <v>-2.6648498068669868E-3</v>
      </c>
      <c r="H284">
        <v>7.2242499999999998E-3</v>
      </c>
      <c r="I284">
        <f t="shared" si="9"/>
        <v>-1.0882999999999986E-4</v>
      </c>
      <c r="J284" s="6">
        <v>1</v>
      </c>
      <c r="K284">
        <v>1</v>
      </c>
      <c r="L284" t="b">
        <f>$K$284*$C$284&gt;0</f>
        <v>1</v>
      </c>
      <c r="N284" s="3"/>
    </row>
    <row r="285" spans="1:14" x14ac:dyDescent="0.45">
      <c r="A285" s="3">
        <v>42775</v>
      </c>
      <c r="B285">
        <v>14.45</v>
      </c>
      <c r="C285">
        <v>1.1904761904761862E-2</v>
      </c>
      <c r="D285">
        <v>4826.24</v>
      </c>
      <c r="E285">
        <v>1.2512063105777571E-2</v>
      </c>
      <c r="F285">
        <v>181.768</v>
      </c>
      <c r="G285">
        <f t="shared" si="8"/>
        <v>1.2708507548082615E-3</v>
      </c>
      <c r="H285">
        <v>7.1524199999999996E-3</v>
      </c>
      <c r="I285">
        <f t="shared" si="9"/>
        <v>7.1830000000000158E-5</v>
      </c>
      <c r="J285" s="6">
        <v>1</v>
      </c>
      <c r="K285">
        <v>1</v>
      </c>
      <c r="L285" t="b">
        <f>$K$285*$C$285&gt;0</f>
        <v>1</v>
      </c>
      <c r="N285" s="3"/>
    </row>
    <row r="286" spans="1:14" x14ac:dyDescent="0.45">
      <c r="A286" s="3">
        <v>42776</v>
      </c>
      <c r="B286">
        <v>14.404999999999999</v>
      </c>
      <c r="C286">
        <v>-3.1141868512111204E-3</v>
      </c>
      <c r="D286">
        <v>4828.32</v>
      </c>
      <c r="E286">
        <v>4.30977323962356E-4</v>
      </c>
      <c r="F286">
        <v>181.07550000000001</v>
      </c>
      <c r="G286">
        <f t="shared" si="8"/>
        <v>3.8243716019008556E-3</v>
      </c>
      <c r="H286">
        <v>7.1583599999999999E-3</v>
      </c>
      <c r="I286">
        <f t="shared" si="9"/>
        <v>-5.9400000000002853E-6</v>
      </c>
      <c r="J286" s="6">
        <v>1</v>
      </c>
      <c r="K286">
        <v>1</v>
      </c>
      <c r="L286" t="b">
        <f>$K$286*$C$286&gt;0</f>
        <v>0</v>
      </c>
      <c r="N286" s="3"/>
    </row>
    <row r="287" spans="1:14" x14ac:dyDescent="0.45">
      <c r="A287" s="3">
        <v>42779</v>
      </c>
      <c r="B287">
        <v>14.404999999999999</v>
      </c>
      <c r="C287">
        <v>0</v>
      </c>
      <c r="D287">
        <v>4888.1899999999996</v>
      </c>
      <c r="E287">
        <v>1.2399758093912583E-2</v>
      </c>
      <c r="F287">
        <v>180.8245</v>
      </c>
      <c r="G287">
        <f t="shared" si="8"/>
        <v>1.3880862383139903E-3</v>
      </c>
      <c r="H287">
        <v>7.06998E-3</v>
      </c>
      <c r="I287">
        <f t="shared" si="9"/>
        <v>8.8379999999999882E-5</v>
      </c>
      <c r="J287" s="6">
        <v>1</v>
      </c>
      <c r="K287">
        <v>1</v>
      </c>
      <c r="L287" t="b">
        <f>$K$287*$C$287&gt;0</f>
        <v>0</v>
      </c>
      <c r="N287" s="3"/>
    </row>
    <row r="288" spans="1:14" x14ac:dyDescent="0.45">
      <c r="A288" s="3">
        <v>42780</v>
      </c>
      <c r="B288">
        <v>14.494999999999999</v>
      </c>
      <c r="C288">
        <v>6.2478306143700646E-3</v>
      </c>
      <c r="D288">
        <v>4895.82</v>
      </c>
      <c r="E288">
        <v>1.5609049566405186E-3</v>
      </c>
      <c r="F288">
        <v>180.05099999999999</v>
      </c>
      <c r="G288">
        <f t="shared" si="8"/>
        <v>4.2960050207996314E-3</v>
      </c>
      <c r="H288">
        <v>6.9673499999999998E-3</v>
      </c>
      <c r="I288">
        <f t="shared" si="9"/>
        <v>1.0263000000000026E-4</v>
      </c>
      <c r="J288" s="6">
        <v>1</v>
      </c>
      <c r="K288">
        <v>1</v>
      </c>
      <c r="L288" t="b">
        <f>$K$288*$C$288&gt;0</f>
        <v>1</v>
      </c>
      <c r="N288" s="3"/>
    </row>
    <row r="289" spans="1:14" x14ac:dyDescent="0.45">
      <c r="A289" s="3">
        <v>42781</v>
      </c>
      <c r="B289">
        <v>14.595000000000001</v>
      </c>
      <c r="C289">
        <v>6.8989306657469829E-3</v>
      </c>
      <c r="D289">
        <v>4924.8599999999997</v>
      </c>
      <c r="E289">
        <v>5.9315906222041637E-3</v>
      </c>
      <c r="F289">
        <v>179.8</v>
      </c>
      <c r="G289">
        <f t="shared" si="8"/>
        <v>1.3959955506117616E-3</v>
      </c>
      <c r="H289">
        <v>6.8435199999999996E-3</v>
      </c>
      <c r="I289">
        <f t="shared" si="9"/>
        <v>1.2383000000000012E-4</v>
      </c>
      <c r="J289" s="6">
        <v>1</v>
      </c>
      <c r="K289">
        <v>1</v>
      </c>
      <c r="L289" t="b">
        <f>$K$289*$C$289&gt;0</f>
        <v>1</v>
      </c>
      <c r="N289" s="3"/>
    </row>
    <row r="290" spans="1:14" x14ac:dyDescent="0.45">
      <c r="A290" s="3">
        <v>42782</v>
      </c>
      <c r="B290">
        <v>14.654999999999999</v>
      </c>
      <c r="C290">
        <v>4.1109969167523186E-3</v>
      </c>
      <c r="D290">
        <v>4899.46</v>
      </c>
      <c r="E290">
        <v>-5.1575070154278313E-3</v>
      </c>
      <c r="F290">
        <v>180.46799999999999</v>
      </c>
      <c r="G290">
        <f t="shared" si="8"/>
        <v>-3.7014872442758806E-3</v>
      </c>
      <c r="H290">
        <v>6.8490199999999999E-3</v>
      </c>
      <c r="I290">
        <f t="shared" si="9"/>
        <v>-5.5000000000002963E-6</v>
      </c>
      <c r="J290" s="6">
        <v>1</v>
      </c>
      <c r="K290">
        <v>1</v>
      </c>
      <c r="L290" t="b">
        <f>$K$290*$C$290&gt;0</f>
        <v>1</v>
      </c>
      <c r="N290" s="3"/>
    </row>
    <row r="291" spans="1:14" x14ac:dyDescent="0.45">
      <c r="A291" s="3">
        <v>42783</v>
      </c>
      <c r="B291">
        <v>14.395</v>
      </c>
      <c r="C291">
        <v>-1.7741385192766912E-2</v>
      </c>
      <c r="D291">
        <v>4867.58</v>
      </c>
      <c r="E291">
        <v>-6.506839529254238E-3</v>
      </c>
      <c r="F291">
        <v>181.42750000000001</v>
      </c>
      <c r="G291">
        <f t="shared" si="8"/>
        <v>-5.2886139091373741E-3</v>
      </c>
      <c r="H291">
        <v>7.0594000000000004E-3</v>
      </c>
      <c r="I291">
        <f t="shared" si="9"/>
        <v>-2.1038000000000046E-4</v>
      </c>
      <c r="J291" s="6">
        <v>1</v>
      </c>
      <c r="K291">
        <v>1</v>
      </c>
      <c r="L291" t="b">
        <f>$K$291*$C$291&gt;0</f>
        <v>0</v>
      </c>
      <c r="N291" s="3"/>
    </row>
    <row r="292" spans="1:14" x14ac:dyDescent="0.45">
      <c r="A292" s="3">
        <v>42786</v>
      </c>
      <c r="B292">
        <v>14.35</v>
      </c>
      <c r="C292">
        <v>-3.1260854463355248E-3</v>
      </c>
      <c r="D292">
        <v>4864.99</v>
      </c>
      <c r="E292">
        <v>-5.3209192247483106E-4</v>
      </c>
      <c r="F292">
        <v>181.232</v>
      </c>
      <c r="G292">
        <f t="shared" si="8"/>
        <v>1.0787278184869464E-3</v>
      </c>
      <c r="H292">
        <v>7.08911E-3</v>
      </c>
      <c r="I292">
        <f t="shared" si="9"/>
        <v>-2.9709999999999633E-5</v>
      </c>
      <c r="J292" s="6">
        <v>1</v>
      </c>
      <c r="K292">
        <v>1</v>
      </c>
      <c r="L292" t="b">
        <f>$K$292*$C$292&gt;0</f>
        <v>0</v>
      </c>
      <c r="N292" s="3"/>
    </row>
    <row r="293" spans="1:14" x14ac:dyDescent="0.45">
      <c r="A293" s="3">
        <v>42787</v>
      </c>
      <c r="B293">
        <v>14.455</v>
      </c>
      <c r="C293">
        <v>7.3170731707317138E-3</v>
      </c>
      <c r="D293">
        <v>4888.76</v>
      </c>
      <c r="E293">
        <v>4.8859298785814964E-3</v>
      </c>
      <c r="F293">
        <v>180.91650000000001</v>
      </c>
      <c r="G293">
        <f t="shared" si="8"/>
        <v>1.7438984282802661E-3</v>
      </c>
      <c r="H293">
        <v>7.1082699999999999E-3</v>
      </c>
      <c r="I293">
        <f t="shared" si="9"/>
        <v>-1.9159999999999837E-5</v>
      </c>
      <c r="J293" s="6">
        <v>1</v>
      </c>
      <c r="K293">
        <v>1</v>
      </c>
      <c r="L293" t="b">
        <f>$K$293*$C$293&gt;0</f>
        <v>1</v>
      </c>
      <c r="N293" s="3"/>
    </row>
    <row r="294" spans="1:14" x14ac:dyDescent="0.45">
      <c r="A294" s="3">
        <v>42788</v>
      </c>
      <c r="B294">
        <v>14.54</v>
      </c>
      <c r="C294">
        <v>5.8803182289863809E-3</v>
      </c>
      <c r="D294">
        <v>4895.88</v>
      </c>
      <c r="E294">
        <v>1.4564020324172589E-3</v>
      </c>
      <c r="F294">
        <v>180.89599999999999</v>
      </c>
      <c r="G294">
        <f t="shared" si="8"/>
        <v>1.1332478330094986E-4</v>
      </c>
      <c r="H294">
        <v>7.2777199999999997E-3</v>
      </c>
      <c r="I294">
        <f t="shared" si="9"/>
        <v>-1.6944999999999981E-4</v>
      </c>
      <c r="J294" s="6">
        <v>1</v>
      </c>
      <c r="K294">
        <v>1</v>
      </c>
      <c r="L294" t="b">
        <f>$K$294*$C$294&gt;0</f>
        <v>1</v>
      </c>
      <c r="N294" s="3"/>
    </row>
    <row r="295" spans="1:14" x14ac:dyDescent="0.45">
      <c r="A295" s="3">
        <v>42789</v>
      </c>
      <c r="B295">
        <v>14.61</v>
      </c>
      <c r="C295">
        <v>4.8143053645117728E-3</v>
      </c>
      <c r="D295">
        <v>4891.29</v>
      </c>
      <c r="E295">
        <v>-9.3752297850435706E-4</v>
      </c>
      <c r="F295">
        <v>181.8835</v>
      </c>
      <c r="G295">
        <f t="shared" si="8"/>
        <v>-5.4292995241460584E-3</v>
      </c>
      <c r="H295">
        <v>7.30118E-3</v>
      </c>
      <c r="I295">
        <f t="shared" si="9"/>
        <v>-2.3460000000000321E-5</v>
      </c>
      <c r="J295" s="6">
        <v>1</v>
      </c>
      <c r="K295">
        <v>1</v>
      </c>
      <c r="L295" t="b">
        <f>$K$295*$C$295&gt;0</f>
        <v>1</v>
      </c>
      <c r="N295" s="3"/>
    </row>
    <row r="296" spans="1:14" x14ac:dyDescent="0.45">
      <c r="A296" s="3">
        <v>42790</v>
      </c>
      <c r="B296">
        <v>14.42</v>
      </c>
      <c r="C296">
        <v>-1.3004791238877433E-2</v>
      </c>
      <c r="D296">
        <v>4845.24</v>
      </c>
      <c r="E296">
        <v>-9.4146942831032643E-3</v>
      </c>
      <c r="F296">
        <v>182.6925</v>
      </c>
      <c r="G296">
        <f t="shared" si="8"/>
        <v>-4.4282058650464418E-3</v>
      </c>
      <c r="H296">
        <v>7.3294099999999997E-3</v>
      </c>
      <c r="I296">
        <f t="shared" si="9"/>
        <v>-2.8229999999999748E-5</v>
      </c>
      <c r="J296" s="6">
        <v>1</v>
      </c>
      <c r="K296">
        <v>1</v>
      </c>
      <c r="L296" t="b">
        <f>$K$296*$C$296&gt;0</f>
        <v>0</v>
      </c>
      <c r="N296" s="3"/>
    </row>
    <row r="297" spans="1:14" x14ac:dyDescent="0.45">
      <c r="A297" s="3">
        <v>42793</v>
      </c>
      <c r="B297">
        <v>14.265000000000001</v>
      </c>
      <c r="C297">
        <v>-1.0748959778085987E-2</v>
      </c>
      <c r="D297">
        <v>4845.18</v>
      </c>
      <c r="E297">
        <v>-1.2383287515072006E-5</v>
      </c>
      <c r="F297">
        <v>182.37299999999999</v>
      </c>
      <c r="G297">
        <f t="shared" si="8"/>
        <v>1.7519040647464568E-3</v>
      </c>
      <c r="H297">
        <v>7.3205500000000003E-3</v>
      </c>
      <c r="I297">
        <f t="shared" si="9"/>
        <v>8.8599999999994239E-6</v>
      </c>
      <c r="J297" s="6">
        <v>1</v>
      </c>
      <c r="K297">
        <v>1</v>
      </c>
      <c r="L297" t="b">
        <f>$K$297*$C$297&gt;0</f>
        <v>0</v>
      </c>
      <c r="N297" s="3"/>
    </row>
    <row r="298" spans="1:14" x14ac:dyDescent="0.45">
      <c r="A298" s="3">
        <v>42794</v>
      </c>
      <c r="B298">
        <v>14.265000000000001</v>
      </c>
      <c r="C298">
        <v>0</v>
      </c>
      <c r="D298">
        <v>4858.58</v>
      </c>
      <c r="E298">
        <v>2.7656351260427758E-3</v>
      </c>
      <c r="F298">
        <v>182.04949999999999</v>
      </c>
      <c r="G298">
        <f t="shared" si="8"/>
        <v>1.7769892254579922E-3</v>
      </c>
      <c r="H298">
        <v>7.29038E-3</v>
      </c>
      <c r="I298">
        <f t="shared" si="9"/>
        <v>3.017000000000037E-5</v>
      </c>
      <c r="J298" s="6">
        <v>1</v>
      </c>
      <c r="K298">
        <v>1</v>
      </c>
      <c r="L298" t="b">
        <f>$K$298*$C$298&gt;0</f>
        <v>0</v>
      </c>
      <c r="N298" s="3"/>
    </row>
    <row r="299" spans="1:14" x14ac:dyDescent="0.45">
      <c r="A299" s="3">
        <v>42795</v>
      </c>
      <c r="B299">
        <v>14.4</v>
      </c>
      <c r="C299">
        <v>9.4637223974762819E-3</v>
      </c>
      <c r="D299">
        <v>4960.83</v>
      </c>
      <c r="E299">
        <v>2.1045243672019431E-2</v>
      </c>
      <c r="F299">
        <v>180.4075</v>
      </c>
      <c r="G299">
        <f t="shared" si="8"/>
        <v>9.1016171722351213E-3</v>
      </c>
      <c r="H299">
        <v>7.00076E-3</v>
      </c>
      <c r="I299">
        <f t="shared" si="9"/>
        <v>2.8961999999999998E-4</v>
      </c>
      <c r="J299" s="6">
        <v>1</v>
      </c>
      <c r="K299">
        <v>1</v>
      </c>
      <c r="L299" t="b">
        <f>$K$299*$C$299&gt;0</f>
        <v>1</v>
      </c>
      <c r="N299" s="3"/>
    </row>
    <row r="300" spans="1:14" x14ac:dyDescent="0.45">
      <c r="A300" s="3">
        <v>42796</v>
      </c>
      <c r="B300">
        <v>14.37</v>
      </c>
      <c r="C300">
        <v>-2.083333333333437E-3</v>
      </c>
      <c r="D300">
        <v>4963.8</v>
      </c>
      <c r="E300">
        <v>5.9869013854552122E-4</v>
      </c>
      <c r="F300">
        <v>179.19900000000001</v>
      </c>
      <c r="G300">
        <f t="shared" si="8"/>
        <v>6.7438992405091103E-3</v>
      </c>
      <c r="H300">
        <v>6.9436000000000003E-3</v>
      </c>
      <c r="I300">
        <f t="shared" si="9"/>
        <v>5.7159999999999676E-5</v>
      </c>
      <c r="J300" s="6">
        <v>1</v>
      </c>
      <c r="K300">
        <v>1</v>
      </c>
      <c r="L300" t="b">
        <f>$K$300*$C$300&gt;0</f>
        <v>0</v>
      </c>
      <c r="N300" s="3"/>
    </row>
    <row r="301" spans="1:14" x14ac:dyDescent="0.45">
      <c r="A301" s="3">
        <v>42797</v>
      </c>
      <c r="B301">
        <v>14.375</v>
      </c>
      <c r="C301">
        <v>3.4794711203911532E-4</v>
      </c>
      <c r="D301">
        <v>4995.13</v>
      </c>
      <c r="E301">
        <v>6.3116966839920075E-3</v>
      </c>
      <c r="F301">
        <v>178.67949999999999</v>
      </c>
      <c r="G301">
        <f t="shared" si="8"/>
        <v>2.9074404170597035E-3</v>
      </c>
      <c r="H301">
        <v>6.8015799999999998E-3</v>
      </c>
      <c r="I301">
        <f t="shared" si="9"/>
        <v>1.4202000000000051E-4</v>
      </c>
      <c r="J301" s="6">
        <v>1</v>
      </c>
      <c r="K301">
        <v>1</v>
      </c>
      <c r="L301" t="b">
        <f>$K$301*$C$301&gt;0</f>
        <v>1</v>
      </c>
      <c r="N301" s="3"/>
    </row>
    <row r="302" spans="1:14" x14ac:dyDescent="0.45">
      <c r="A302" s="3">
        <v>42800</v>
      </c>
      <c r="B302">
        <v>14.4</v>
      </c>
      <c r="C302">
        <v>1.7391304347826875E-3</v>
      </c>
      <c r="D302">
        <v>4972.1899999999996</v>
      </c>
      <c r="E302">
        <v>-4.5924730687690873E-3</v>
      </c>
      <c r="F302">
        <v>178.96250000000001</v>
      </c>
      <c r="G302">
        <f t="shared" si="8"/>
        <v>-1.5813368722498167E-3</v>
      </c>
      <c r="H302">
        <v>6.8219400000000003E-3</v>
      </c>
      <c r="I302">
        <f t="shared" si="9"/>
        <v>-2.0360000000000517E-5</v>
      </c>
      <c r="J302" s="6">
        <v>1</v>
      </c>
      <c r="K302">
        <v>1</v>
      </c>
      <c r="L302" t="b">
        <f>$K$302*$C$302&gt;0</f>
        <v>1</v>
      </c>
      <c r="N302" s="3"/>
    </row>
    <row r="303" spans="1:14" x14ac:dyDescent="0.45">
      <c r="A303" s="3">
        <v>42801</v>
      </c>
      <c r="B303">
        <v>14.345000000000001</v>
      </c>
      <c r="C303">
        <v>-3.8194444444443754E-3</v>
      </c>
      <c r="D303">
        <v>4955</v>
      </c>
      <c r="E303">
        <v>-3.4572291083002638E-3</v>
      </c>
      <c r="F303">
        <v>179.233</v>
      </c>
      <c r="G303">
        <f t="shared" si="8"/>
        <v>-1.5092086836687724E-3</v>
      </c>
      <c r="H303">
        <v>6.82447E-3</v>
      </c>
      <c r="I303">
        <f t="shared" si="9"/>
        <v>-2.52999999999972E-6</v>
      </c>
      <c r="J303" s="6">
        <v>1</v>
      </c>
      <c r="K303">
        <v>1</v>
      </c>
      <c r="L303" t="b">
        <f>$K$303*$C$303&gt;0</f>
        <v>0</v>
      </c>
      <c r="N303" s="3"/>
    </row>
    <row r="304" spans="1:14" x14ac:dyDescent="0.45">
      <c r="A304" s="3">
        <v>42802</v>
      </c>
      <c r="B304">
        <v>14.385</v>
      </c>
      <c r="C304">
        <v>2.7884280237016057E-3</v>
      </c>
      <c r="D304">
        <v>4960.4799999999996</v>
      </c>
      <c r="E304">
        <v>1.1059535822399713E-3</v>
      </c>
      <c r="F304">
        <v>178.465</v>
      </c>
      <c r="G304">
        <f t="shared" si="8"/>
        <v>4.303364805424037E-3</v>
      </c>
      <c r="H304">
        <v>6.8465599999999998E-3</v>
      </c>
      <c r="I304">
        <f t="shared" si="9"/>
        <v>-2.2089999999999783E-5</v>
      </c>
      <c r="J304" s="6">
        <v>1</v>
      </c>
      <c r="K304">
        <v>1</v>
      </c>
      <c r="L304" t="b">
        <f>$K$304*$C$304&gt;0</f>
        <v>1</v>
      </c>
      <c r="N304" s="3"/>
    </row>
    <row r="305" spans="1:14" x14ac:dyDescent="0.45">
      <c r="A305" s="3">
        <v>42803</v>
      </c>
      <c r="B305">
        <v>14.635</v>
      </c>
      <c r="C305">
        <v>1.7379214459506409E-2</v>
      </c>
      <c r="D305">
        <v>4981.51</v>
      </c>
      <c r="E305">
        <v>4.2395090797666679E-3</v>
      </c>
      <c r="F305">
        <v>177.4975</v>
      </c>
      <c r="G305">
        <f t="shared" si="8"/>
        <v>5.4507809969155385E-3</v>
      </c>
      <c r="H305">
        <v>6.8977999999999999E-3</v>
      </c>
      <c r="I305">
        <f t="shared" si="9"/>
        <v>-5.124000000000014E-5</v>
      </c>
      <c r="J305" s="6">
        <v>1</v>
      </c>
      <c r="K305">
        <v>1</v>
      </c>
      <c r="L305" t="b">
        <f>$K$305*$C$305&gt;0</f>
        <v>1</v>
      </c>
      <c r="N305" s="3"/>
    </row>
    <row r="306" spans="1:14" x14ac:dyDescent="0.45">
      <c r="A306" s="3">
        <v>42804</v>
      </c>
      <c r="B306">
        <v>14.765000000000001</v>
      </c>
      <c r="C306">
        <v>8.8828151691151547E-3</v>
      </c>
      <c r="D306">
        <v>4993.32</v>
      </c>
      <c r="E306">
        <v>2.3707670967236805E-3</v>
      </c>
      <c r="F306">
        <v>177.0085</v>
      </c>
      <c r="G306">
        <f t="shared" si="8"/>
        <v>2.76257919817402E-3</v>
      </c>
      <c r="H306">
        <v>6.90028E-3</v>
      </c>
      <c r="I306">
        <f t="shared" si="9"/>
        <v>-2.4800000000000169E-6</v>
      </c>
      <c r="J306" s="6">
        <v>1</v>
      </c>
      <c r="K306">
        <v>1</v>
      </c>
      <c r="L306" t="b">
        <f>$K$306*$C$306&gt;0</f>
        <v>1</v>
      </c>
      <c r="N306" s="3"/>
    </row>
    <row r="307" spans="1:14" x14ac:dyDescent="0.45">
      <c r="A307" s="3">
        <v>42807</v>
      </c>
      <c r="B307">
        <v>14.695</v>
      </c>
      <c r="C307">
        <v>-4.7409414155096252E-3</v>
      </c>
      <c r="D307">
        <v>4999.6000000000004</v>
      </c>
      <c r="E307">
        <v>1.2576802608286197E-3</v>
      </c>
      <c r="F307">
        <v>177.5505</v>
      </c>
      <c r="G307">
        <f t="shared" si="8"/>
        <v>-3.052652625591068E-3</v>
      </c>
      <c r="H307">
        <v>6.9559399999999999E-3</v>
      </c>
      <c r="I307">
        <f t="shared" si="9"/>
        <v>-5.5659999999999911E-5</v>
      </c>
      <c r="J307" s="6">
        <v>1</v>
      </c>
      <c r="K307">
        <v>1</v>
      </c>
      <c r="L307" t="b">
        <f>$K$307*$C$307&gt;0</f>
        <v>0</v>
      </c>
      <c r="N307" s="3"/>
    </row>
    <row r="308" spans="1:14" x14ac:dyDescent="0.45">
      <c r="A308" s="3">
        <v>42808</v>
      </c>
      <c r="B308">
        <v>14.595000000000001</v>
      </c>
      <c r="C308">
        <v>-6.8050357264375361E-3</v>
      </c>
      <c r="D308">
        <v>4974.26</v>
      </c>
      <c r="E308">
        <v>-5.0684054724378091E-3</v>
      </c>
      <c r="F308">
        <v>178.38849999999999</v>
      </c>
      <c r="G308">
        <f t="shared" si="8"/>
        <v>-4.6976122339724702E-3</v>
      </c>
      <c r="H308">
        <v>7.1066799999999998E-3</v>
      </c>
      <c r="I308">
        <f t="shared" si="9"/>
        <v>-1.507399999999999E-4</v>
      </c>
      <c r="J308" s="6">
        <v>1</v>
      </c>
      <c r="K308">
        <v>1</v>
      </c>
      <c r="L308" t="b">
        <f>$K$308*$C$308&gt;0</f>
        <v>0</v>
      </c>
      <c r="N308" s="3"/>
    </row>
    <row r="309" spans="1:14" x14ac:dyDescent="0.45">
      <c r="A309" s="3">
        <v>42809</v>
      </c>
      <c r="B309">
        <v>14.52</v>
      </c>
      <c r="C309">
        <v>-5.1387461459404538E-3</v>
      </c>
      <c r="D309">
        <v>4985.4799999999996</v>
      </c>
      <c r="E309">
        <v>2.2556118900096678E-3</v>
      </c>
      <c r="F309">
        <v>179.03399999999999</v>
      </c>
      <c r="G309">
        <f t="shared" si="8"/>
        <v>-3.6054604153400449E-3</v>
      </c>
      <c r="H309">
        <v>7.0873500000000001E-3</v>
      </c>
      <c r="I309">
        <f t="shared" si="9"/>
        <v>1.9329999999999695E-5</v>
      </c>
      <c r="J309" s="6">
        <v>1</v>
      </c>
      <c r="K309">
        <v>1</v>
      </c>
      <c r="L309" t="b">
        <f>$K$309*$C$309&gt;0</f>
        <v>0</v>
      </c>
      <c r="N309" s="3"/>
    </row>
    <row r="310" spans="1:14" x14ac:dyDescent="0.45">
      <c r="A310" s="3">
        <v>42810</v>
      </c>
      <c r="B310">
        <v>14.73</v>
      </c>
      <c r="C310">
        <v>1.4462809917355379E-2</v>
      </c>
      <c r="D310">
        <v>5013.38</v>
      </c>
      <c r="E310">
        <v>5.5962515143979097E-3</v>
      </c>
      <c r="F310">
        <v>178.58099999999999</v>
      </c>
      <c r="G310">
        <f t="shared" si="8"/>
        <v>2.5366640348076785E-3</v>
      </c>
      <c r="H310">
        <v>6.9224300000000002E-3</v>
      </c>
      <c r="I310">
        <f t="shared" si="9"/>
        <v>1.6491999999999982E-4</v>
      </c>
      <c r="J310" s="6">
        <v>1</v>
      </c>
      <c r="K310">
        <v>1</v>
      </c>
      <c r="L310" t="b">
        <f>$K$310*$C$310&gt;0</f>
        <v>1</v>
      </c>
      <c r="N310" s="3"/>
    </row>
    <row r="311" spans="1:14" x14ac:dyDescent="0.45">
      <c r="A311" s="3">
        <v>42811</v>
      </c>
      <c r="B311">
        <v>14.855</v>
      </c>
      <c r="C311">
        <v>8.4860828241684061E-3</v>
      </c>
      <c r="D311">
        <v>5029.24</v>
      </c>
      <c r="E311">
        <v>3.1635343819937933E-3</v>
      </c>
      <c r="F311">
        <v>179.01349999999999</v>
      </c>
      <c r="G311">
        <f t="shared" si="8"/>
        <v>-2.4160189036022128E-3</v>
      </c>
      <c r="H311">
        <v>6.9164400000000003E-3</v>
      </c>
      <c r="I311">
        <f t="shared" si="9"/>
        <v>5.9899999999999884E-6</v>
      </c>
      <c r="J311" s="6">
        <v>1</v>
      </c>
      <c r="K311">
        <v>1</v>
      </c>
      <c r="L311" t="b">
        <f>$K$311*$C$311&gt;0</f>
        <v>1</v>
      </c>
      <c r="N311" s="3"/>
    </row>
    <row r="312" spans="1:14" x14ac:dyDescent="0.45">
      <c r="A312" s="3">
        <v>42814</v>
      </c>
      <c r="B312">
        <v>14.78</v>
      </c>
      <c r="C312">
        <v>-5.0488051161226011E-3</v>
      </c>
      <c r="D312">
        <v>5012.16</v>
      </c>
      <c r="E312">
        <v>-3.3961393769237347E-3</v>
      </c>
      <c r="F312">
        <v>178.92500000000001</v>
      </c>
      <c r="G312">
        <f t="shared" si="8"/>
        <v>4.9462065111072206E-4</v>
      </c>
      <c r="H312">
        <v>7.5560000000000002E-3</v>
      </c>
      <c r="I312">
        <f t="shared" si="9"/>
        <v>-6.3955999999999995E-4</v>
      </c>
      <c r="J312" s="6">
        <v>1</v>
      </c>
      <c r="K312">
        <v>1</v>
      </c>
      <c r="L312" t="b">
        <f>$K$312*$C$312&gt;0</f>
        <v>0</v>
      </c>
      <c r="N312" s="3"/>
    </row>
    <row r="313" spans="1:14" x14ac:dyDescent="0.45">
      <c r="A313" s="3">
        <v>42815</v>
      </c>
      <c r="B313">
        <v>14.695</v>
      </c>
      <c r="C313">
        <v>-5.7510148849796439E-3</v>
      </c>
      <c r="D313">
        <v>5002.43</v>
      </c>
      <c r="E313">
        <v>-1.9412788099341105E-3</v>
      </c>
      <c r="F313">
        <v>178.809</v>
      </c>
      <c r="G313">
        <f t="shared" si="8"/>
        <v>6.4873692040112729E-4</v>
      </c>
      <c r="H313">
        <v>7.5237899999999998E-3</v>
      </c>
      <c r="I313">
        <f t="shared" si="9"/>
        <v>3.2210000000000398E-5</v>
      </c>
      <c r="J313" s="6">
        <v>1</v>
      </c>
      <c r="K313">
        <v>1</v>
      </c>
      <c r="L313" t="b">
        <f>$K$313*$C$313&gt;0</f>
        <v>0</v>
      </c>
      <c r="N313" s="3"/>
    </row>
    <row r="314" spans="1:14" x14ac:dyDescent="0.45">
      <c r="A314" s="3">
        <v>42816</v>
      </c>
      <c r="B314">
        <v>14.824999999999999</v>
      </c>
      <c r="C314">
        <v>8.8465464443687747E-3</v>
      </c>
      <c r="D314">
        <v>4994.7</v>
      </c>
      <c r="E314">
        <v>-1.5452490089816751E-3</v>
      </c>
      <c r="F314">
        <v>179.76249999999999</v>
      </c>
      <c r="G314">
        <f t="shared" si="8"/>
        <v>-5.3042208469508134E-3</v>
      </c>
      <c r="H314">
        <v>7.5829399999999998E-3</v>
      </c>
      <c r="I314">
        <f t="shared" si="9"/>
        <v>-5.9150000000000001E-5</v>
      </c>
      <c r="J314" s="6">
        <v>1</v>
      </c>
      <c r="K314">
        <v>1</v>
      </c>
      <c r="L314" t="b">
        <f>$K$314*$C$314&gt;0</f>
        <v>1</v>
      </c>
      <c r="N314" s="3"/>
    </row>
    <row r="315" spans="1:14" x14ac:dyDescent="0.45">
      <c r="A315" s="3">
        <v>42817</v>
      </c>
      <c r="B315">
        <v>14.8</v>
      </c>
      <c r="C315">
        <v>-1.6863406408093029E-3</v>
      </c>
      <c r="D315">
        <v>5032.76</v>
      </c>
      <c r="E315">
        <v>7.6200772819188245E-3</v>
      </c>
      <c r="F315">
        <v>179.339</v>
      </c>
      <c r="G315">
        <f t="shared" si="8"/>
        <v>2.3614495452746187E-3</v>
      </c>
      <c r="H315">
        <v>7.5792899999999998E-3</v>
      </c>
      <c r="I315">
        <f t="shared" si="9"/>
        <v>3.6500000000000074E-6</v>
      </c>
      <c r="J315" s="6">
        <v>1</v>
      </c>
      <c r="K315">
        <v>1</v>
      </c>
      <c r="L315" t="b">
        <f>$K$315*$C$315&gt;0</f>
        <v>0</v>
      </c>
      <c r="N315" s="3"/>
    </row>
    <row r="316" spans="1:14" x14ac:dyDescent="0.45">
      <c r="A316" s="3">
        <v>42818</v>
      </c>
      <c r="B316">
        <v>14.65</v>
      </c>
      <c r="C316">
        <v>-1.0135135135135198E-2</v>
      </c>
      <c r="D316">
        <v>5020.8999999999996</v>
      </c>
      <c r="E316">
        <v>-2.356559820059112E-3</v>
      </c>
      <c r="F316">
        <v>179.75450000000001</v>
      </c>
      <c r="G316">
        <f t="shared" si="8"/>
        <v>-2.3114859433283064E-3</v>
      </c>
      <c r="H316">
        <v>7.5826799999999996E-3</v>
      </c>
      <c r="I316">
        <f t="shared" si="9"/>
        <v>-3.3899999999998168E-6</v>
      </c>
      <c r="J316" s="6">
        <v>1</v>
      </c>
      <c r="K316">
        <v>1</v>
      </c>
      <c r="L316" t="b">
        <f>$K$316*$C$316&gt;0</f>
        <v>0</v>
      </c>
      <c r="N316" s="3"/>
    </row>
    <row r="317" spans="1:14" x14ac:dyDescent="0.45">
      <c r="A317" s="3">
        <v>42821</v>
      </c>
      <c r="B317">
        <v>14.78</v>
      </c>
      <c r="C317">
        <v>8.8737201365187701E-3</v>
      </c>
      <c r="D317">
        <v>5017.43</v>
      </c>
      <c r="E317">
        <v>-6.9111115537046075E-4</v>
      </c>
      <c r="F317">
        <v>179.85749999999999</v>
      </c>
      <c r="G317">
        <f t="shared" si="8"/>
        <v>-5.726755903978642E-4</v>
      </c>
      <c r="H317">
        <v>7.6130599999999996E-3</v>
      </c>
      <c r="I317">
        <f t="shared" si="9"/>
        <v>-3.037999999999999E-5</v>
      </c>
      <c r="J317" s="6">
        <v>1</v>
      </c>
      <c r="K317">
        <v>1</v>
      </c>
      <c r="L317" t="b">
        <f>$K$317*$C$317&gt;0</f>
        <v>1</v>
      </c>
      <c r="N317" s="3"/>
    </row>
    <row r="318" spans="1:14" x14ac:dyDescent="0.45">
      <c r="A318" s="3">
        <v>42822</v>
      </c>
      <c r="B318">
        <v>14.685</v>
      </c>
      <c r="C318">
        <v>-6.4276048714477785E-3</v>
      </c>
      <c r="D318">
        <v>5046.2</v>
      </c>
      <c r="E318">
        <v>5.7340112368282625E-3</v>
      </c>
      <c r="F318">
        <v>179.94049999999999</v>
      </c>
      <c r="G318">
        <f t="shared" si="8"/>
        <v>-4.6126358435150117E-4</v>
      </c>
      <c r="H318">
        <v>7.5794699999999996E-3</v>
      </c>
      <c r="I318">
        <f t="shared" si="9"/>
        <v>3.3590000000000009E-5</v>
      </c>
      <c r="J318" s="6">
        <v>1</v>
      </c>
      <c r="K318">
        <v>1</v>
      </c>
      <c r="L318" t="b">
        <f>$K$318*$C$318&gt;0</f>
        <v>0</v>
      </c>
      <c r="N318" s="3"/>
    </row>
    <row r="319" spans="1:14" x14ac:dyDescent="0.45">
      <c r="A319" s="3">
        <v>42823</v>
      </c>
      <c r="B319">
        <v>14.6</v>
      </c>
      <c r="C319">
        <v>-5.7882192713654135E-3</v>
      </c>
      <c r="D319">
        <v>5069.04</v>
      </c>
      <c r="E319">
        <v>4.5261781142245106E-3</v>
      </c>
      <c r="F319">
        <v>180.32499999999999</v>
      </c>
      <c r="G319">
        <f t="shared" si="8"/>
        <v>-2.1322611950644887E-3</v>
      </c>
      <c r="H319">
        <v>7.5807100000000001E-3</v>
      </c>
      <c r="I319">
        <f t="shared" si="9"/>
        <v>-1.2400000000004421E-6</v>
      </c>
      <c r="J319" s="6">
        <v>1</v>
      </c>
      <c r="K319">
        <v>1</v>
      </c>
      <c r="L319" t="b">
        <f>$K$319*$C$319&gt;0</f>
        <v>0</v>
      </c>
      <c r="N319" s="3"/>
    </row>
    <row r="320" spans="1:14" x14ac:dyDescent="0.45">
      <c r="A320" s="3">
        <v>42824</v>
      </c>
      <c r="B320">
        <v>14.625</v>
      </c>
      <c r="C320">
        <v>1.712328767123239E-3</v>
      </c>
      <c r="D320">
        <v>5089.6400000000003</v>
      </c>
      <c r="E320">
        <v>4.063885863990091E-3</v>
      </c>
      <c r="F320">
        <v>180.44399999999999</v>
      </c>
      <c r="G320">
        <f t="shared" si="8"/>
        <v>-6.5948438296647982E-4</v>
      </c>
      <c r="H320">
        <v>7.5801000000000002E-3</v>
      </c>
      <c r="I320">
        <f t="shared" si="9"/>
        <v>6.0999999999984678E-7</v>
      </c>
      <c r="J320" s="6">
        <v>1</v>
      </c>
      <c r="K320">
        <v>1</v>
      </c>
      <c r="L320" t="b">
        <f>$K$320*$C$320&gt;0</f>
        <v>1</v>
      </c>
      <c r="N320" s="3"/>
    </row>
    <row r="321" spans="1:14" x14ac:dyDescent="0.45">
      <c r="A321" s="3">
        <v>42825</v>
      </c>
      <c r="B321">
        <v>14.565</v>
      </c>
      <c r="C321">
        <v>-4.1025641025641546E-3</v>
      </c>
      <c r="D321">
        <v>5122.51</v>
      </c>
      <c r="E321">
        <v>6.4582170841158693E-3</v>
      </c>
      <c r="F321">
        <v>180.41749999999999</v>
      </c>
      <c r="G321">
        <f t="shared" si="8"/>
        <v>1.4688153865338727E-4</v>
      </c>
      <c r="H321">
        <v>7.5774600000000003E-3</v>
      </c>
      <c r="I321">
        <f t="shared" si="9"/>
        <v>2.6399999999999341E-6</v>
      </c>
      <c r="J321" s="6">
        <v>1</v>
      </c>
      <c r="K321">
        <v>1</v>
      </c>
      <c r="L321" t="b">
        <f>$K$321*$C$321&gt;0</f>
        <v>0</v>
      </c>
      <c r="N321" s="3"/>
    </row>
    <row r="322" spans="1:14" x14ac:dyDescent="0.45">
      <c r="A322" s="3">
        <v>42828</v>
      </c>
      <c r="B322">
        <v>14.55</v>
      </c>
      <c r="C322">
        <v>-1.029866117404632E-3</v>
      </c>
      <c r="D322">
        <v>5085.91</v>
      </c>
      <c r="E322">
        <v>-7.1449348073503449E-3</v>
      </c>
      <c r="F322">
        <v>181.1095</v>
      </c>
      <c r="G322">
        <f t="shared" si="8"/>
        <v>-3.8208928852434543E-3</v>
      </c>
      <c r="H322">
        <v>7.5571600000000003E-3</v>
      </c>
      <c r="I322">
        <f t="shared" si="9"/>
        <v>2.0300000000000006E-5</v>
      </c>
      <c r="J322" s="6">
        <v>1</v>
      </c>
      <c r="K322">
        <v>1</v>
      </c>
      <c r="L322" t="b">
        <f>$K$322*$C$322&gt;0</f>
        <v>0</v>
      </c>
      <c r="N322" s="3"/>
    </row>
    <row r="323" spans="1:14" x14ac:dyDescent="0.45">
      <c r="A323" s="3">
        <v>42829</v>
      </c>
      <c r="B323">
        <v>14.46</v>
      </c>
      <c r="C323">
        <v>-6.1855670103092564E-3</v>
      </c>
      <c r="D323">
        <v>5101.13</v>
      </c>
      <c r="E323">
        <v>2.9925814652638216E-3</v>
      </c>
      <c r="F323">
        <v>181.42</v>
      </c>
      <c r="G323">
        <f t="shared" si="8"/>
        <v>-1.7114981810163465E-3</v>
      </c>
      <c r="H323">
        <v>7.59854E-3</v>
      </c>
      <c r="I323">
        <f t="shared" si="9"/>
        <v>-4.1379999999999716E-5</v>
      </c>
      <c r="J323" s="6">
        <v>1</v>
      </c>
      <c r="K323">
        <v>1</v>
      </c>
      <c r="L323" t="b">
        <f>$K$323*$C$323&gt;0</f>
        <v>0</v>
      </c>
      <c r="N323" s="3"/>
    </row>
    <row r="324" spans="1:14" x14ac:dyDescent="0.45">
      <c r="A324" s="3">
        <v>42830</v>
      </c>
      <c r="B324">
        <v>14.385</v>
      </c>
      <c r="C324">
        <v>-5.1867219917013374E-3</v>
      </c>
      <c r="D324">
        <v>5091.8500000000004</v>
      </c>
      <c r="E324">
        <v>-1.8192047644345344E-3</v>
      </c>
      <c r="F324">
        <v>181.40950000000001</v>
      </c>
      <c r="G324">
        <f t="shared" ref="G324:G387" si="10">F323/F324-1</f>
        <v>5.7880099994633838E-5</v>
      </c>
      <c r="H324">
        <v>7.5870099999999999E-3</v>
      </c>
      <c r="I324">
        <f t="shared" ref="I324:I387" si="11">H323-H324</f>
        <v>1.1530000000000047E-5</v>
      </c>
      <c r="J324" s="6">
        <v>1</v>
      </c>
      <c r="K324">
        <v>1</v>
      </c>
      <c r="L324" t="b">
        <f>$K$324*$C$324&gt;0</f>
        <v>0</v>
      </c>
      <c r="N324" s="3"/>
    </row>
    <row r="325" spans="1:14" x14ac:dyDescent="0.45">
      <c r="A325" s="3">
        <v>42831</v>
      </c>
      <c r="B325">
        <v>14.355</v>
      </c>
      <c r="C325">
        <v>-2.0855057351407691E-3</v>
      </c>
      <c r="D325">
        <v>5121.4399999999996</v>
      </c>
      <c r="E325">
        <v>5.8112473855276292E-3</v>
      </c>
      <c r="F325">
        <v>181.50399999999999</v>
      </c>
      <c r="G325">
        <f t="shared" si="10"/>
        <v>-5.2064968265153055E-4</v>
      </c>
      <c r="H325">
        <v>7.5610599999999997E-3</v>
      </c>
      <c r="I325">
        <f t="shared" si="11"/>
        <v>2.5950000000000278E-5</v>
      </c>
      <c r="J325" s="6">
        <v>1</v>
      </c>
      <c r="K325">
        <v>1</v>
      </c>
      <c r="L325" t="b">
        <f>$K$325*$C$325&gt;0</f>
        <v>0</v>
      </c>
      <c r="N325" s="3"/>
    </row>
    <row r="326" spans="1:14" x14ac:dyDescent="0.45">
      <c r="A326" s="3">
        <v>42832</v>
      </c>
      <c r="B326">
        <v>14.305</v>
      </c>
      <c r="C326">
        <v>-3.4831069313828733E-3</v>
      </c>
      <c r="D326">
        <v>5135.28</v>
      </c>
      <c r="E326">
        <v>2.7023649598549859E-3</v>
      </c>
      <c r="F326">
        <v>182.214</v>
      </c>
      <c r="G326">
        <f t="shared" si="10"/>
        <v>-3.896517281877343E-3</v>
      </c>
      <c r="H326">
        <v>7.4875499999999999E-3</v>
      </c>
      <c r="I326">
        <f t="shared" si="11"/>
        <v>7.3509999999999721E-5</v>
      </c>
      <c r="J326" s="6">
        <v>1</v>
      </c>
      <c r="K326">
        <v>1</v>
      </c>
      <c r="L326" t="b">
        <f>$K$326*$C$326&gt;0</f>
        <v>0</v>
      </c>
      <c r="N326" s="3"/>
    </row>
    <row r="327" spans="1:14" x14ac:dyDescent="0.45">
      <c r="A327" s="3">
        <v>42835</v>
      </c>
      <c r="B327">
        <v>14.29</v>
      </c>
      <c r="C327">
        <v>-1.0485844110451614E-3</v>
      </c>
      <c r="D327">
        <v>5107.45</v>
      </c>
      <c r="E327">
        <v>-5.4193734324126108E-3</v>
      </c>
      <c r="F327">
        <v>182.73599999999999</v>
      </c>
      <c r="G327">
        <f t="shared" si="10"/>
        <v>-2.8565799842394934E-3</v>
      </c>
      <c r="H327">
        <v>7.4870900000000001E-3</v>
      </c>
      <c r="I327">
        <f t="shared" si="11"/>
        <v>4.5999999999987023E-7</v>
      </c>
      <c r="J327" s="6">
        <v>1</v>
      </c>
      <c r="K327">
        <v>1</v>
      </c>
      <c r="L327" t="b">
        <f>$K$327*$C$327&gt;0</f>
        <v>0</v>
      </c>
      <c r="N327" s="3"/>
    </row>
    <row r="328" spans="1:14" x14ac:dyDescent="0.45">
      <c r="A328" s="3">
        <v>42836</v>
      </c>
      <c r="B328">
        <v>14.34</v>
      </c>
      <c r="C328">
        <v>3.4989503149056578E-3</v>
      </c>
      <c r="D328">
        <v>5101.8599999999997</v>
      </c>
      <c r="E328">
        <v>-1.0944796326934902E-3</v>
      </c>
      <c r="F328">
        <v>182.85849999999999</v>
      </c>
      <c r="G328">
        <f t="shared" si="10"/>
        <v>-6.6991690296047679E-4</v>
      </c>
      <c r="H328">
        <v>7.5267099999999998E-3</v>
      </c>
      <c r="I328">
        <f t="shared" si="11"/>
        <v>-3.961999999999976E-5</v>
      </c>
      <c r="J328" s="6">
        <v>1</v>
      </c>
      <c r="K328">
        <v>1</v>
      </c>
      <c r="L328" t="b">
        <f>$K$328*$C$328&gt;0</f>
        <v>1</v>
      </c>
      <c r="N328" s="3"/>
    </row>
    <row r="329" spans="1:14" x14ac:dyDescent="0.45">
      <c r="A329" s="3">
        <v>42837</v>
      </c>
      <c r="B329">
        <v>14.36</v>
      </c>
      <c r="C329">
        <v>1.3947001394700731E-3</v>
      </c>
      <c r="D329">
        <v>5101.1099999999997</v>
      </c>
      <c r="E329">
        <v>-1.4700520986465904E-4</v>
      </c>
      <c r="F329">
        <v>183.08799999999999</v>
      </c>
      <c r="G329">
        <f t="shared" si="10"/>
        <v>-1.2534955868216402E-3</v>
      </c>
      <c r="H329">
        <v>7.5190099999999996E-3</v>
      </c>
      <c r="I329">
        <f t="shared" si="11"/>
        <v>7.7000000000002414E-6</v>
      </c>
      <c r="J329" s="6">
        <v>1</v>
      </c>
      <c r="K329">
        <v>1</v>
      </c>
      <c r="L329" t="b">
        <f>$K$329*$C$329&gt;0</f>
        <v>1</v>
      </c>
      <c r="N329" s="3"/>
    </row>
    <row r="330" spans="1:14" x14ac:dyDescent="0.45">
      <c r="A330" s="3">
        <v>42838</v>
      </c>
      <c r="B330">
        <v>14.15</v>
      </c>
      <c r="C330">
        <v>-1.4623955431754765E-2</v>
      </c>
      <c r="D330">
        <v>5071.1000000000004</v>
      </c>
      <c r="E330">
        <v>-5.8830333005952529E-3</v>
      </c>
      <c r="F330">
        <v>183.34350000000001</v>
      </c>
      <c r="G330">
        <f t="shared" si="10"/>
        <v>-1.3935590844508239E-3</v>
      </c>
      <c r="H330">
        <v>7.5296099999999999E-3</v>
      </c>
      <c r="I330">
        <f t="shared" si="11"/>
        <v>-1.0600000000000366E-5</v>
      </c>
      <c r="J330" s="6">
        <v>1</v>
      </c>
      <c r="K330">
        <v>1</v>
      </c>
      <c r="L330" t="b">
        <f>$K$330*$C$330&gt;0</f>
        <v>0</v>
      </c>
      <c r="N330" s="3"/>
    </row>
    <row r="331" spans="1:14" x14ac:dyDescent="0.45">
      <c r="A331" s="3">
        <v>42843</v>
      </c>
      <c r="B331">
        <v>13.965</v>
      </c>
      <c r="C331">
        <v>-1.3074204946996515E-2</v>
      </c>
      <c r="D331">
        <v>4990.25</v>
      </c>
      <c r="E331">
        <v>-1.594328646644716E-2</v>
      </c>
      <c r="F331">
        <v>184.11850000000001</v>
      </c>
      <c r="G331">
        <f t="shared" si="10"/>
        <v>-4.209245676018436E-3</v>
      </c>
      <c r="H331">
        <v>7.5319899999999997E-3</v>
      </c>
      <c r="I331">
        <f t="shared" si="11"/>
        <v>-2.3799999999997434E-6</v>
      </c>
      <c r="J331" s="6">
        <v>1</v>
      </c>
      <c r="K331">
        <v>1</v>
      </c>
      <c r="L331" t="b">
        <f>$K$331*$C$331&gt;0</f>
        <v>0</v>
      </c>
      <c r="N331" s="3"/>
    </row>
    <row r="332" spans="1:14" x14ac:dyDescent="0.45">
      <c r="A332" s="3">
        <v>42844</v>
      </c>
      <c r="B332">
        <v>14.03</v>
      </c>
      <c r="C332">
        <v>4.6544933762977525E-3</v>
      </c>
      <c r="D332">
        <v>5003.7299999999996</v>
      </c>
      <c r="E332">
        <v>2.7012674715694018E-3</v>
      </c>
      <c r="F332">
        <v>183.2475</v>
      </c>
      <c r="G332">
        <f t="shared" si="10"/>
        <v>4.7531344220248517E-3</v>
      </c>
      <c r="H332">
        <v>7.48534E-3</v>
      </c>
      <c r="I332">
        <f t="shared" si="11"/>
        <v>4.6649999999999643E-5</v>
      </c>
      <c r="J332" s="6">
        <v>1</v>
      </c>
      <c r="K332">
        <v>1</v>
      </c>
      <c r="L332" t="b">
        <f>$K$332*$C$332&gt;0</f>
        <v>1</v>
      </c>
      <c r="N332" s="3"/>
    </row>
    <row r="333" spans="1:14" x14ac:dyDescent="0.45">
      <c r="A333" s="3">
        <v>42845</v>
      </c>
      <c r="B333">
        <v>14.05</v>
      </c>
      <c r="C333">
        <v>1.4255167498218313E-3</v>
      </c>
      <c r="D333">
        <v>5077.91</v>
      </c>
      <c r="E333">
        <v>1.4824940594316605E-2</v>
      </c>
      <c r="F333">
        <v>182.47649999999999</v>
      </c>
      <c r="G333">
        <f t="shared" si="10"/>
        <v>4.225201601302242E-3</v>
      </c>
      <c r="H333">
        <v>7.3532099999999998E-3</v>
      </c>
      <c r="I333">
        <f t="shared" si="11"/>
        <v>1.3213000000000027E-4</v>
      </c>
      <c r="J333" s="6">
        <v>1</v>
      </c>
      <c r="K333">
        <v>1</v>
      </c>
      <c r="L333" t="b">
        <f>$K$333*$C$333&gt;0</f>
        <v>1</v>
      </c>
      <c r="N333" s="3"/>
    </row>
    <row r="334" spans="1:14" x14ac:dyDescent="0.45">
      <c r="A334" s="3">
        <v>42846</v>
      </c>
      <c r="B334">
        <v>14.01</v>
      </c>
      <c r="C334">
        <v>-2.846975088968029E-3</v>
      </c>
      <c r="D334">
        <v>5059.2</v>
      </c>
      <c r="E334">
        <v>-3.6845867689659917E-3</v>
      </c>
      <c r="F334">
        <v>182.46</v>
      </c>
      <c r="G334">
        <f t="shared" si="10"/>
        <v>9.0430779348782409E-5</v>
      </c>
      <c r="H334">
        <v>7.3308000000000002E-3</v>
      </c>
      <c r="I334">
        <f t="shared" si="11"/>
        <v>2.2409999999999618E-5</v>
      </c>
      <c r="J334" s="6">
        <v>1</v>
      </c>
      <c r="K334">
        <v>1</v>
      </c>
      <c r="L334" t="b">
        <f>$K$334*$C$334&gt;0</f>
        <v>0</v>
      </c>
      <c r="N334" s="3"/>
    </row>
    <row r="335" spans="1:14" x14ac:dyDescent="0.45">
      <c r="A335" s="3">
        <v>42849</v>
      </c>
      <c r="B335">
        <v>14.715</v>
      </c>
      <c r="C335">
        <v>5.0321199143468887E-2</v>
      </c>
      <c r="D335">
        <v>5268.85</v>
      </c>
      <c r="E335">
        <v>4.1439358001265081E-2</v>
      </c>
      <c r="F335">
        <v>181.85499999999999</v>
      </c>
      <c r="G335">
        <f t="shared" si="10"/>
        <v>3.3268263176706725E-3</v>
      </c>
      <c r="H335">
        <v>6.4562500000000002E-3</v>
      </c>
      <c r="I335">
        <f t="shared" si="11"/>
        <v>8.7454999999999998E-4</v>
      </c>
      <c r="J335" s="6">
        <v>1</v>
      </c>
      <c r="K335">
        <v>1</v>
      </c>
      <c r="L335" t="b">
        <f>$K$335*$C$335&gt;0</f>
        <v>1</v>
      </c>
      <c r="N335" s="3"/>
    </row>
    <row r="336" spans="1:14" x14ac:dyDescent="0.45">
      <c r="A336" s="3">
        <v>42850</v>
      </c>
      <c r="B336">
        <v>14.64</v>
      </c>
      <c r="C336">
        <v>-5.0968399592252744E-3</v>
      </c>
      <c r="D336">
        <v>5277.88</v>
      </c>
      <c r="E336">
        <v>1.7138464750372506E-3</v>
      </c>
      <c r="F336">
        <v>181.05549999999999</v>
      </c>
      <c r="G336">
        <f t="shared" si="10"/>
        <v>4.4157730640603798E-3</v>
      </c>
      <c r="H336">
        <v>6.3092499999999998E-3</v>
      </c>
      <c r="I336">
        <f t="shared" si="11"/>
        <v>1.4700000000000043E-4</v>
      </c>
      <c r="J336" s="6">
        <v>1</v>
      </c>
      <c r="K336">
        <v>1</v>
      </c>
      <c r="L336" t="b">
        <f>$K$336*$C$336&gt;0</f>
        <v>0</v>
      </c>
      <c r="N336" s="3"/>
    </row>
    <row r="337" spans="1:14" x14ac:dyDescent="0.45">
      <c r="A337" s="3">
        <v>42851</v>
      </c>
      <c r="B337">
        <v>14.725</v>
      </c>
      <c r="C337">
        <v>5.8060109289617134E-3</v>
      </c>
      <c r="D337">
        <v>5287.88</v>
      </c>
      <c r="E337">
        <v>1.8947001447551237E-3</v>
      </c>
      <c r="F337">
        <v>181.75049999999999</v>
      </c>
      <c r="G337">
        <f t="shared" si="10"/>
        <v>-3.8239234555063062E-3</v>
      </c>
      <c r="H337">
        <v>6.2543E-3</v>
      </c>
      <c r="I337">
        <f t="shared" si="11"/>
        <v>5.4949999999999791E-5</v>
      </c>
      <c r="J337" s="6">
        <v>1</v>
      </c>
      <c r="K337">
        <v>1</v>
      </c>
      <c r="L337" t="b">
        <f>$K$337*$C$337&gt;0</f>
        <v>1</v>
      </c>
      <c r="N337" s="3"/>
    </row>
    <row r="338" spans="1:14" x14ac:dyDescent="0.45">
      <c r="A338" s="3">
        <v>42852</v>
      </c>
      <c r="B338">
        <v>14.54</v>
      </c>
      <c r="C338">
        <v>-1.2563667232597608E-2</v>
      </c>
      <c r="D338">
        <v>5271.7</v>
      </c>
      <c r="E338">
        <v>-3.0598273788361441E-3</v>
      </c>
      <c r="F338">
        <v>182.7105</v>
      </c>
      <c r="G338">
        <f t="shared" si="10"/>
        <v>-5.2542136330424594E-3</v>
      </c>
      <c r="H338">
        <v>6.2677399999999999E-3</v>
      </c>
      <c r="I338">
        <f t="shared" si="11"/>
        <v>-1.343999999999998E-5</v>
      </c>
      <c r="J338" s="6">
        <v>1</v>
      </c>
      <c r="K338">
        <v>1</v>
      </c>
      <c r="L338" t="b">
        <f>$K$338*$C$338&gt;0</f>
        <v>0</v>
      </c>
      <c r="N338" s="3"/>
    </row>
    <row r="339" spans="1:14" x14ac:dyDescent="0.45">
      <c r="A339" s="3">
        <v>42853</v>
      </c>
      <c r="B339">
        <v>14.2</v>
      </c>
      <c r="C339">
        <v>-2.3383768913342484E-2</v>
      </c>
      <c r="D339">
        <v>5267.33</v>
      </c>
      <c r="E339">
        <v>-8.2895460667331555E-4</v>
      </c>
      <c r="F339">
        <v>182.2235</v>
      </c>
      <c r="G339">
        <f t="shared" si="10"/>
        <v>2.672542235222064E-3</v>
      </c>
      <c r="H339">
        <v>6.3230400000000003E-3</v>
      </c>
      <c r="I339">
        <f t="shared" si="11"/>
        <v>-5.5300000000000314E-5</v>
      </c>
      <c r="J339" s="6">
        <v>1</v>
      </c>
      <c r="K339">
        <v>1</v>
      </c>
      <c r="L339" t="b">
        <f>$K$339*$C$339&gt;0</f>
        <v>0</v>
      </c>
      <c r="N339" s="3"/>
    </row>
    <row r="340" spans="1:14" x14ac:dyDescent="0.45">
      <c r="A340" s="3">
        <v>42857</v>
      </c>
      <c r="B340">
        <v>14.32</v>
      </c>
      <c r="C340">
        <v>8.4507042253521014E-3</v>
      </c>
      <c r="D340">
        <v>5304.15</v>
      </c>
      <c r="E340">
        <v>6.9902588218317963E-3</v>
      </c>
      <c r="F340">
        <v>182.23500000000001</v>
      </c>
      <c r="G340">
        <f t="shared" si="10"/>
        <v>-6.3105331028712186E-5</v>
      </c>
      <c r="H340">
        <v>6.2814300000000002E-3</v>
      </c>
      <c r="I340">
        <f t="shared" si="11"/>
        <v>4.1610000000000084E-5</v>
      </c>
      <c r="J340" s="6">
        <v>1</v>
      </c>
      <c r="K340">
        <v>1</v>
      </c>
      <c r="L340" t="b">
        <f>$K$340*$C$340&gt;0</f>
        <v>1</v>
      </c>
      <c r="N340" s="3"/>
    </row>
    <row r="341" spans="1:14" x14ac:dyDescent="0.45">
      <c r="A341" s="3">
        <v>42858</v>
      </c>
      <c r="B341">
        <v>14.385</v>
      </c>
      <c r="C341">
        <v>4.5391061452513259E-3</v>
      </c>
      <c r="D341">
        <v>5301</v>
      </c>
      <c r="E341">
        <v>-5.938746076185053E-4</v>
      </c>
      <c r="F341">
        <v>182.422</v>
      </c>
      <c r="G341">
        <f t="shared" si="10"/>
        <v>-1.025095657321895E-3</v>
      </c>
      <c r="H341">
        <v>6.2264900000000003E-3</v>
      </c>
      <c r="I341">
        <f t="shared" si="11"/>
        <v>5.493999999999985E-5</v>
      </c>
      <c r="J341" s="6">
        <v>1</v>
      </c>
      <c r="K341">
        <v>1</v>
      </c>
      <c r="L341" t="b">
        <f>$K$341*$C$341&gt;0</f>
        <v>1</v>
      </c>
      <c r="N341" s="3"/>
    </row>
    <row r="342" spans="1:14" x14ac:dyDescent="0.45">
      <c r="A342" s="3">
        <v>42859</v>
      </c>
      <c r="B342">
        <v>14.6</v>
      </c>
      <c r="C342">
        <v>1.4946124435175623E-2</v>
      </c>
      <c r="D342">
        <v>5372.42</v>
      </c>
      <c r="E342">
        <v>1.347292963591773E-2</v>
      </c>
      <c r="F342">
        <v>181.09950000000001</v>
      </c>
      <c r="G342">
        <f t="shared" si="10"/>
        <v>7.3026154130739762E-3</v>
      </c>
      <c r="H342">
        <v>6.0839099999999997E-3</v>
      </c>
      <c r="I342">
        <f t="shared" si="11"/>
        <v>1.4258000000000066E-4</v>
      </c>
      <c r="J342" s="6">
        <v>1</v>
      </c>
      <c r="K342">
        <v>1</v>
      </c>
      <c r="L342" t="b">
        <f>$K$342*$C$342&gt;0</f>
        <v>1</v>
      </c>
      <c r="N342" s="3"/>
    </row>
    <row r="343" spans="1:14" x14ac:dyDescent="0.45">
      <c r="A343" s="3">
        <v>42860</v>
      </c>
      <c r="B343">
        <v>15</v>
      </c>
      <c r="C343">
        <v>2.7397260273972712E-2</v>
      </c>
      <c r="D343">
        <v>5432.4</v>
      </c>
      <c r="E343">
        <v>1.1164428693214434E-2</v>
      </c>
      <c r="F343">
        <v>180.76900000000001</v>
      </c>
      <c r="G343">
        <f t="shared" si="10"/>
        <v>1.8283002063406162E-3</v>
      </c>
      <c r="H343">
        <v>6.06267E-3</v>
      </c>
      <c r="I343">
        <f t="shared" si="11"/>
        <v>2.1239999999999627E-5</v>
      </c>
      <c r="J343" s="6">
        <v>1</v>
      </c>
      <c r="K343">
        <v>1</v>
      </c>
      <c r="L343" t="b">
        <f>$K$343*$C$343&gt;0</f>
        <v>1</v>
      </c>
      <c r="N343" s="3"/>
    </row>
    <row r="344" spans="1:14" x14ac:dyDescent="0.45">
      <c r="A344" s="3">
        <v>42863</v>
      </c>
      <c r="B344">
        <v>15.045</v>
      </c>
      <c r="C344">
        <v>2.9999999999998916E-3</v>
      </c>
      <c r="D344">
        <v>5382.95</v>
      </c>
      <c r="E344">
        <v>-9.1027906634267852E-3</v>
      </c>
      <c r="F344">
        <v>180.99199999999999</v>
      </c>
      <c r="G344">
        <f t="shared" si="10"/>
        <v>-1.2320986562941449E-3</v>
      </c>
      <c r="H344">
        <v>6.0271500000000002E-3</v>
      </c>
      <c r="I344">
        <f t="shared" si="11"/>
        <v>3.5519999999999823E-5</v>
      </c>
      <c r="J344" s="6">
        <v>1</v>
      </c>
      <c r="K344">
        <v>1</v>
      </c>
      <c r="L344" t="b">
        <f>$K$344*$C$344&gt;0</f>
        <v>1</v>
      </c>
      <c r="N344" s="3"/>
    </row>
    <row r="345" spans="1:14" x14ac:dyDescent="0.45">
      <c r="A345" s="3">
        <v>42864</v>
      </c>
      <c r="B345">
        <v>15.05</v>
      </c>
      <c r="C345">
        <v>3.3233632436036054E-4</v>
      </c>
      <c r="D345">
        <v>5398.01</v>
      </c>
      <c r="E345">
        <v>2.797722438439898E-3</v>
      </c>
      <c r="F345">
        <v>180.56549999999999</v>
      </c>
      <c r="G345">
        <f t="shared" si="10"/>
        <v>2.3620237531534194E-3</v>
      </c>
      <c r="H345">
        <v>5.9255599999999999E-3</v>
      </c>
      <c r="I345">
        <f t="shared" si="11"/>
        <v>1.0159000000000036E-4</v>
      </c>
      <c r="J345" s="6">
        <v>1</v>
      </c>
      <c r="K345">
        <v>1</v>
      </c>
      <c r="L345" t="b">
        <f>$K$345*$C$345&gt;0</f>
        <v>1</v>
      </c>
      <c r="N345" s="3"/>
    </row>
    <row r="346" spans="1:14" x14ac:dyDescent="0.45">
      <c r="A346" s="3">
        <v>42865</v>
      </c>
      <c r="B346">
        <v>14.91</v>
      </c>
      <c r="C346">
        <v>-9.302325581395432E-3</v>
      </c>
      <c r="D346">
        <v>5400.46</v>
      </c>
      <c r="E346">
        <v>4.5387096355886669E-4</v>
      </c>
      <c r="F346">
        <v>180.89500000000001</v>
      </c>
      <c r="G346">
        <f t="shared" si="10"/>
        <v>-1.8214986594434768E-3</v>
      </c>
      <c r="H346">
        <v>5.9584299999999998E-3</v>
      </c>
      <c r="I346">
        <f t="shared" si="11"/>
        <v>-3.2869999999999948E-5</v>
      </c>
      <c r="J346" s="6">
        <v>1</v>
      </c>
      <c r="K346">
        <v>1</v>
      </c>
      <c r="L346" t="b">
        <f>$K$346*$C$346&gt;0</f>
        <v>0</v>
      </c>
      <c r="N346" s="3"/>
    </row>
    <row r="347" spans="1:14" x14ac:dyDescent="0.45">
      <c r="A347" s="3">
        <v>42866</v>
      </c>
      <c r="B347">
        <v>14.835000000000001</v>
      </c>
      <c r="C347">
        <v>-5.0301810865190921E-3</v>
      </c>
      <c r="D347">
        <v>5383.42</v>
      </c>
      <c r="E347">
        <v>-3.1552867718676048E-3</v>
      </c>
      <c r="F347">
        <v>180.63399999999999</v>
      </c>
      <c r="G347">
        <f t="shared" si="10"/>
        <v>1.4449107034113506E-3</v>
      </c>
      <c r="H347">
        <v>5.8550800000000004E-3</v>
      </c>
      <c r="I347">
        <f t="shared" si="11"/>
        <v>1.0334999999999945E-4</v>
      </c>
      <c r="J347" s="6">
        <v>1</v>
      </c>
      <c r="K347">
        <v>1</v>
      </c>
      <c r="L347" t="b">
        <f>$K$347*$C$347&gt;0</f>
        <v>0</v>
      </c>
      <c r="N347" s="3"/>
    </row>
    <row r="348" spans="1:14" x14ac:dyDescent="0.45">
      <c r="A348" s="3">
        <v>42867</v>
      </c>
      <c r="B348">
        <v>15.324999999999999</v>
      </c>
      <c r="C348">
        <v>3.3029996629592162E-2</v>
      </c>
      <c r="D348">
        <v>5405.42</v>
      </c>
      <c r="E348">
        <v>4.0866215156907248E-3</v>
      </c>
      <c r="F348">
        <v>181.399</v>
      </c>
      <c r="G348">
        <f t="shared" si="10"/>
        <v>-4.2172228071820639E-3</v>
      </c>
      <c r="H348">
        <v>5.8764100000000003E-3</v>
      </c>
      <c r="I348">
        <f t="shared" si="11"/>
        <v>-2.132999999999996E-5</v>
      </c>
      <c r="J348" s="6">
        <v>1</v>
      </c>
      <c r="K348">
        <v>1</v>
      </c>
      <c r="L348" t="b">
        <f>$K$348*$C$348&gt;0</f>
        <v>1</v>
      </c>
      <c r="N348" s="3"/>
    </row>
    <row r="349" spans="1:14" x14ac:dyDescent="0.45">
      <c r="A349" s="3">
        <v>42870</v>
      </c>
      <c r="B349">
        <v>15.265000000000001</v>
      </c>
      <c r="C349">
        <v>-3.9151712887437462E-3</v>
      </c>
      <c r="D349">
        <v>5417.4</v>
      </c>
      <c r="E349">
        <v>2.2162940160059819E-3</v>
      </c>
      <c r="F349">
        <v>180.51599999999999</v>
      </c>
      <c r="G349">
        <f t="shared" si="10"/>
        <v>4.8915331604955092E-3</v>
      </c>
      <c r="H349">
        <v>5.8770699999999999E-3</v>
      </c>
      <c r="I349">
        <f t="shared" si="11"/>
        <v>-6.5999999999954984E-7</v>
      </c>
      <c r="J349" s="6">
        <v>1</v>
      </c>
      <c r="K349">
        <v>1</v>
      </c>
      <c r="L349" t="b">
        <f>$K$349*$C$349&gt;0</f>
        <v>0</v>
      </c>
      <c r="N349" s="3"/>
    </row>
    <row r="350" spans="1:14" x14ac:dyDescent="0.45">
      <c r="A350" s="3">
        <v>42871</v>
      </c>
      <c r="B350">
        <v>15.44</v>
      </c>
      <c r="C350">
        <v>1.1464133639043528E-2</v>
      </c>
      <c r="D350">
        <v>5406.1</v>
      </c>
      <c r="E350">
        <v>-2.0858714512494991E-3</v>
      </c>
      <c r="F350">
        <v>180.285</v>
      </c>
      <c r="G350">
        <f t="shared" si="10"/>
        <v>1.2813046010482498E-3</v>
      </c>
      <c r="H350">
        <v>5.7617199999999997E-3</v>
      </c>
      <c r="I350">
        <f t="shared" si="11"/>
        <v>1.1535000000000017E-4</v>
      </c>
      <c r="J350" s="6">
        <v>1</v>
      </c>
      <c r="K350">
        <v>1</v>
      </c>
      <c r="L350" t="b">
        <f>$K$350*$C$350&gt;0</f>
        <v>1</v>
      </c>
      <c r="N350" s="3"/>
    </row>
    <row r="351" spans="1:14" x14ac:dyDescent="0.45">
      <c r="A351" s="3">
        <v>42872</v>
      </c>
      <c r="B351">
        <v>15.244999999999999</v>
      </c>
      <c r="C351">
        <v>-1.2629533678756522E-2</v>
      </c>
      <c r="D351">
        <v>5317.89</v>
      </c>
      <c r="E351">
        <v>-1.6316753297201281E-2</v>
      </c>
      <c r="F351">
        <v>181.27699999999999</v>
      </c>
      <c r="G351">
        <f t="shared" si="10"/>
        <v>-5.4722882660237504E-3</v>
      </c>
      <c r="H351">
        <v>5.7557299999999997E-3</v>
      </c>
      <c r="I351">
        <f t="shared" si="11"/>
        <v>5.9899999999999884E-6</v>
      </c>
      <c r="J351" s="6">
        <v>1</v>
      </c>
      <c r="K351">
        <v>1</v>
      </c>
      <c r="L351" t="b">
        <f>$K$351*$C$351&gt;0</f>
        <v>0</v>
      </c>
      <c r="N351" s="3"/>
    </row>
    <row r="352" spans="1:14" x14ac:dyDescent="0.45">
      <c r="A352" s="3">
        <v>42873</v>
      </c>
      <c r="B352">
        <v>15.215</v>
      </c>
      <c r="C352">
        <v>-1.9678583142013206E-3</v>
      </c>
      <c r="D352">
        <v>5289.73</v>
      </c>
      <c r="E352">
        <v>-5.2953332994855051E-3</v>
      </c>
      <c r="F352">
        <v>181.6525</v>
      </c>
      <c r="G352">
        <f t="shared" si="10"/>
        <v>-2.067133675561994E-3</v>
      </c>
      <c r="H352">
        <v>5.8352200000000003E-3</v>
      </c>
      <c r="I352">
        <f t="shared" si="11"/>
        <v>-7.9490000000000637E-5</v>
      </c>
      <c r="J352" s="6">
        <v>1</v>
      </c>
      <c r="K352">
        <v>1</v>
      </c>
      <c r="L352" t="b">
        <f>$K$352*$C$352&gt;0</f>
        <v>0</v>
      </c>
      <c r="N352" s="3"/>
    </row>
    <row r="353" spans="1:14" x14ac:dyDescent="0.45">
      <c r="A353" s="3">
        <v>42874</v>
      </c>
      <c r="B353">
        <v>15.29</v>
      </c>
      <c r="C353">
        <v>4.9293460400918754E-3</v>
      </c>
      <c r="D353">
        <v>5324.4</v>
      </c>
      <c r="E353">
        <v>6.5542097611788197E-3</v>
      </c>
      <c r="F353">
        <v>181.24199999999999</v>
      </c>
      <c r="G353">
        <f t="shared" si="10"/>
        <v>2.2649275554231796E-3</v>
      </c>
      <c r="H353">
        <v>5.77656E-3</v>
      </c>
      <c r="I353">
        <f t="shared" si="11"/>
        <v>5.8660000000000309E-5</v>
      </c>
      <c r="J353" s="6">
        <v>1</v>
      </c>
      <c r="K353">
        <v>1</v>
      </c>
      <c r="L353" t="b">
        <f>$K$353*$C$353&gt;0</f>
        <v>1</v>
      </c>
      <c r="N353" s="3"/>
    </row>
    <row r="354" spans="1:14" x14ac:dyDescent="0.45">
      <c r="A354" s="3">
        <v>42877</v>
      </c>
      <c r="B354">
        <v>15.6</v>
      </c>
      <c r="C354">
        <v>2.0274689339437657E-2</v>
      </c>
      <c r="D354">
        <v>5322.88</v>
      </c>
      <c r="E354">
        <v>-2.854781759445979E-4</v>
      </c>
      <c r="F354">
        <v>180.70050000000001</v>
      </c>
      <c r="G354">
        <f t="shared" si="10"/>
        <v>2.9966712875724166E-3</v>
      </c>
      <c r="H354">
        <v>5.7205399999999997E-3</v>
      </c>
      <c r="I354">
        <f t="shared" si="11"/>
        <v>5.6020000000000375E-5</v>
      </c>
      <c r="J354" s="6">
        <v>1</v>
      </c>
      <c r="K354">
        <v>1</v>
      </c>
      <c r="L354" t="b">
        <f>$K$354*$C$354&gt;0</f>
        <v>1</v>
      </c>
      <c r="N354" s="3"/>
    </row>
    <row r="355" spans="1:14" x14ac:dyDescent="0.45">
      <c r="A355" s="3">
        <v>42879</v>
      </c>
      <c r="B355">
        <v>15.7</v>
      </c>
      <c r="C355">
        <v>6.4102564102563875E-3</v>
      </c>
      <c r="D355">
        <v>5341.34</v>
      </c>
      <c r="E355">
        <v>3.4680473728507799E-3</v>
      </c>
      <c r="F355">
        <v>180.7775</v>
      </c>
      <c r="G355">
        <f t="shared" si="10"/>
        <v>-4.2593796241230386E-4</v>
      </c>
      <c r="H355">
        <v>5.6192799999999999E-3</v>
      </c>
      <c r="I355">
        <f t="shared" si="11"/>
        <v>1.0125999999999972E-4</v>
      </c>
      <c r="J355" s="6">
        <v>1</v>
      </c>
      <c r="K355">
        <v>1</v>
      </c>
      <c r="L355" t="b">
        <f>$K$355*$C$355&gt;0</f>
        <v>1</v>
      </c>
      <c r="N355" s="3"/>
    </row>
    <row r="356" spans="1:14" x14ac:dyDescent="0.45">
      <c r="A356" s="3">
        <v>42880</v>
      </c>
      <c r="B356">
        <v>15.69</v>
      </c>
      <c r="C356">
        <v>-6.3694267515923553E-4</v>
      </c>
      <c r="D356">
        <v>5337.16</v>
      </c>
      <c r="E356">
        <v>-7.8257515904256447E-4</v>
      </c>
      <c r="F356">
        <v>181.52350000000001</v>
      </c>
      <c r="G356">
        <f t="shared" si="10"/>
        <v>-4.1096607326324142E-3</v>
      </c>
      <c r="H356">
        <v>5.535E-3</v>
      </c>
      <c r="I356">
        <f t="shared" si="11"/>
        <v>8.4279999999999945E-5</v>
      </c>
      <c r="J356" s="6">
        <v>1</v>
      </c>
      <c r="K356">
        <v>1</v>
      </c>
      <c r="L356" t="b">
        <f>$K$356*$C$356&gt;0</f>
        <v>0</v>
      </c>
      <c r="N356" s="3"/>
    </row>
    <row r="357" spans="1:14" x14ac:dyDescent="0.45">
      <c r="A357" s="3">
        <v>42881</v>
      </c>
      <c r="B357">
        <v>15.73</v>
      </c>
      <c r="C357">
        <v>2.5493945188017619E-3</v>
      </c>
      <c r="D357">
        <v>5336.64</v>
      </c>
      <c r="E357">
        <v>-9.7430093907502346E-5</v>
      </c>
      <c r="F357">
        <v>182.15950000000001</v>
      </c>
      <c r="G357">
        <f t="shared" si="10"/>
        <v>-3.4914456835904994E-3</v>
      </c>
      <c r="H357">
        <v>5.5108600000000002E-3</v>
      </c>
      <c r="I357">
        <f t="shared" si="11"/>
        <v>2.4139999999999752E-5</v>
      </c>
      <c r="J357" s="6">
        <v>1</v>
      </c>
      <c r="K357">
        <v>1</v>
      </c>
      <c r="L357" t="b">
        <f>$K$357*$C$357&gt;0</f>
        <v>1</v>
      </c>
      <c r="N357" s="3"/>
    </row>
    <row r="358" spans="1:14" x14ac:dyDescent="0.45">
      <c r="A358" s="3">
        <v>42884</v>
      </c>
      <c r="B358">
        <v>15.734999999999999</v>
      </c>
      <c r="C358">
        <v>3.1786395422761515E-4</v>
      </c>
      <c r="D358">
        <v>5332.47</v>
      </c>
      <c r="E358">
        <v>-7.8139053786652202E-4</v>
      </c>
      <c r="F358">
        <v>182.6995</v>
      </c>
      <c r="G358">
        <f t="shared" si="10"/>
        <v>-2.9556731135005343E-3</v>
      </c>
      <c r="H358">
        <v>5.5276500000000003E-3</v>
      </c>
      <c r="I358">
        <f t="shared" si="11"/>
        <v>-1.6790000000000034E-5</v>
      </c>
      <c r="J358" s="6">
        <v>1</v>
      </c>
      <c r="K358">
        <v>1</v>
      </c>
      <c r="L358" t="b">
        <f>$K$358*$C$358&gt;0</f>
        <v>1</v>
      </c>
      <c r="N358" s="3"/>
    </row>
    <row r="359" spans="1:14" x14ac:dyDescent="0.45">
      <c r="A359" s="3">
        <v>42885</v>
      </c>
      <c r="B359">
        <v>15.65</v>
      </c>
      <c r="C359">
        <v>-5.4019701302827627E-3</v>
      </c>
      <c r="D359">
        <v>5305.94</v>
      </c>
      <c r="E359">
        <v>-4.9751803573204745E-3</v>
      </c>
      <c r="F359">
        <v>182.70150000000001</v>
      </c>
      <c r="G359">
        <f t="shared" si="10"/>
        <v>-1.0946817623369576E-5</v>
      </c>
      <c r="H359">
        <v>5.5349199999999996E-3</v>
      </c>
      <c r="I359">
        <f t="shared" si="11"/>
        <v>-7.2699999999993256E-6</v>
      </c>
      <c r="J359" s="6">
        <v>1</v>
      </c>
      <c r="K359">
        <v>1</v>
      </c>
      <c r="L359" t="b">
        <f>$K$359*$C$359&gt;0</f>
        <v>0</v>
      </c>
      <c r="N359" s="3"/>
    </row>
    <row r="360" spans="1:14" x14ac:dyDescent="0.45">
      <c r="A360" s="3">
        <v>42886</v>
      </c>
      <c r="B360">
        <v>15.64</v>
      </c>
      <c r="C360">
        <v>-6.3897763578268929E-4</v>
      </c>
      <c r="D360">
        <v>5283.63</v>
      </c>
      <c r="E360">
        <v>-4.2047215008084171E-3</v>
      </c>
      <c r="F360">
        <v>182.35550000000001</v>
      </c>
      <c r="G360">
        <f t="shared" si="10"/>
        <v>1.8973927301342286E-3</v>
      </c>
      <c r="H360">
        <v>5.4975700000000002E-3</v>
      </c>
      <c r="I360">
        <f t="shared" si="11"/>
        <v>3.7349999999999363E-5</v>
      </c>
      <c r="J360" s="6">
        <v>1</v>
      </c>
      <c r="K360">
        <v>1</v>
      </c>
      <c r="L360" t="b">
        <f>$K$360*$C$360&gt;0</f>
        <v>0</v>
      </c>
      <c r="N360" s="3"/>
    </row>
    <row r="361" spans="1:14" x14ac:dyDescent="0.45">
      <c r="A361" s="3">
        <v>42887</v>
      </c>
      <c r="B361">
        <v>15.53</v>
      </c>
      <c r="C361">
        <v>-7.03324808184147E-3</v>
      </c>
      <c r="D361">
        <v>5318.67</v>
      </c>
      <c r="E361">
        <v>6.631804270927466E-3</v>
      </c>
      <c r="F361">
        <v>182.37450000000001</v>
      </c>
      <c r="G361">
        <f t="shared" si="10"/>
        <v>-1.0418123147704073E-4</v>
      </c>
      <c r="H361">
        <v>5.4554E-3</v>
      </c>
      <c r="I361">
        <f t="shared" si="11"/>
        <v>4.2170000000000228E-5</v>
      </c>
      <c r="J361" s="6">
        <v>1</v>
      </c>
      <c r="K361">
        <v>1</v>
      </c>
      <c r="L361" t="b">
        <f>$K$361*$C$361&gt;0</f>
        <v>0</v>
      </c>
      <c r="N361" s="3"/>
    </row>
    <row r="362" spans="1:14" x14ac:dyDescent="0.45">
      <c r="A362" s="3">
        <v>42888</v>
      </c>
      <c r="B362">
        <v>15.55</v>
      </c>
      <c r="C362">
        <v>1.2878300064391723E-3</v>
      </c>
      <c r="D362">
        <v>5343.41</v>
      </c>
      <c r="E362">
        <v>4.6515388245558231E-3</v>
      </c>
      <c r="F362">
        <v>182.8955</v>
      </c>
      <c r="G362">
        <f t="shared" si="10"/>
        <v>-2.8486212071919814E-3</v>
      </c>
      <c r="H362">
        <v>5.4457300000000002E-3</v>
      </c>
      <c r="I362">
        <f t="shared" si="11"/>
        <v>9.6699999999998176E-6</v>
      </c>
      <c r="J362" s="6">
        <v>1</v>
      </c>
      <c r="K362">
        <v>1</v>
      </c>
      <c r="L362" t="b">
        <f>$K$362*$C$362&gt;0</f>
        <v>1</v>
      </c>
      <c r="N362" s="3"/>
    </row>
    <row r="363" spans="1:14" x14ac:dyDescent="0.45">
      <c r="A363" s="3">
        <v>42891</v>
      </c>
      <c r="B363">
        <v>15.46</v>
      </c>
      <c r="C363">
        <v>-5.7877813504823017E-3</v>
      </c>
      <c r="D363">
        <v>5307.89</v>
      </c>
      <c r="E363">
        <v>-6.6474404921200714E-3</v>
      </c>
      <c r="F363">
        <v>182.52500000000001</v>
      </c>
      <c r="G363">
        <f t="shared" si="10"/>
        <v>2.0298589234351017E-3</v>
      </c>
      <c r="H363">
        <v>5.4314100000000002E-3</v>
      </c>
      <c r="I363">
        <f t="shared" si="11"/>
        <v>1.4319999999999958E-5</v>
      </c>
      <c r="J363" s="6">
        <v>1</v>
      </c>
      <c r="K363">
        <v>1</v>
      </c>
      <c r="L363" t="b">
        <f>$K$363*$C$363&gt;0</f>
        <v>0</v>
      </c>
      <c r="N363" s="3"/>
    </row>
    <row r="364" spans="1:14" x14ac:dyDescent="0.45">
      <c r="A364" s="3">
        <v>42892</v>
      </c>
      <c r="B364">
        <v>15.42</v>
      </c>
      <c r="C364">
        <v>-2.5873221216041742E-3</v>
      </c>
      <c r="D364">
        <v>5269.22</v>
      </c>
      <c r="E364">
        <v>-7.2853808198738434E-3</v>
      </c>
      <c r="F364">
        <v>183.33349999999999</v>
      </c>
      <c r="G364">
        <f t="shared" si="10"/>
        <v>-4.4099959909126296E-3</v>
      </c>
      <c r="H364">
        <v>5.4299400000000003E-3</v>
      </c>
      <c r="I364">
        <f t="shared" si="11"/>
        <v>1.4699999999999436E-6</v>
      </c>
      <c r="J364" s="6">
        <v>1</v>
      </c>
      <c r="K364">
        <v>1</v>
      </c>
      <c r="L364" t="b">
        <f>$K$364*$C$364&gt;0</f>
        <v>0</v>
      </c>
      <c r="N364" s="3"/>
    </row>
    <row r="365" spans="1:14" x14ac:dyDescent="0.45">
      <c r="A365" s="3">
        <v>42893</v>
      </c>
      <c r="B365">
        <v>15.315</v>
      </c>
      <c r="C365">
        <v>-6.809338521400754E-3</v>
      </c>
      <c r="D365">
        <v>5265.53</v>
      </c>
      <c r="E365">
        <v>-7.002934020595708E-4</v>
      </c>
      <c r="F365">
        <v>183.0035</v>
      </c>
      <c r="G365">
        <f t="shared" si="10"/>
        <v>1.8032442002473559E-3</v>
      </c>
      <c r="H365">
        <v>5.4347199999999997E-3</v>
      </c>
      <c r="I365">
        <f t="shared" si="11"/>
        <v>-4.7799999999993681E-6</v>
      </c>
      <c r="J365" s="6">
        <v>1</v>
      </c>
      <c r="K365">
        <v>1</v>
      </c>
      <c r="L365" t="b">
        <f>$K$365*$C$365&gt;0</f>
        <v>0</v>
      </c>
      <c r="N365" s="3"/>
    </row>
    <row r="366" spans="1:14" x14ac:dyDescent="0.45">
      <c r="A366" s="3">
        <v>42894</v>
      </c>
      <c r="B366">
        <v>15.244999999999999</v>
      </c>
      <c r="C366">
        <v>-4.5706823375775141E-3</v>
      </c>
      <c r="D366">
        <v>5264.24</v>
      </c>
      <c r="E366">
        <v>-2.4498958319485453E-4</v>
      </c>
      <c r="F366">
        <v>183.32499999999999</v>
      </c>
      <c r="G366">
        <f t="shared" si="10"/>
        <v>-1.7537160780034533E-3</v>
      </c>
      <c r="H366">
        <v>5.4090099999999997E-3</v>
      </c>
      <c r="I366">
        <f t="shared" si="11"/>
        <v>2.5709999999999969E-5</v>
      </c>
      <c r="J366" s="6">
        <v>1</v>
      </c>
      <c r="K366">
        <v>1</v>
      </c>
      <c r="L366" t="b">
        <f>$K$366*$C$366&gt;0</f>
        <v>0</v>
      </c>
      <c r="N366" s="3"/>
    </row>
    <row r="367" spans="1:14" x14ac:dyDescent="0.45">
      <c r="A367" s="3">
        <v>42895</v>
      </c>
      <c r="B367">
        <v>15.27</v>
      </c>
      <c r="C367">
        <v>1.6398819285010635E-3</v>
      </c>
      <c r="D367">
        <v>5299.71</v>
      </c>
      <c r="E367">
        <v>6.7379146847408311E-3</v>
      </c>
      <c r="F367">
        <v>183.02549999999999</v>
      </c>
      <c r="G367">
        <f t="shared" si="10"/>
        <v>1.636384001136415E-3</v>
      </c>
      <c r="H367">
        <v>5.3476299999999999E-3</v>
      </c>
      <c r="I367">
        <f t="shared" si="11"/>
        <v>6.1379999999999768E-5</v>
      </c>
      <c r="J367" s="6">
        <v>1</v>
      </c>
      <c r="K367">
        <v>1</v>
      </c>
      <c r="L367" t="b">
        <f>$K$367*$C$367&gt;0</f>
        <v>1</v>
      </c>
      <c r="N367" s="3"/>
    </row>
    <row r="368" spans="1:14" x14ac:dyDescent="0.45">
      <c r="A368" s="3">
        <v>42898</v>
      </c>
      <c r="B368">
        <v>15.065</v>
      </c>
      <c r="C368">
        <v>-1.3425016371971243E-2</v>
      </c>
      <c r="D368">
        <v>5240.59</v>
      </c>
      <c r="E368">
        <v>-1.1155327366969114E-2</v>
      </c>
      <c r="F368">
        <v>183.43799999999999</v>
      </c>
      <c r="G368">
        <f t="shared" si="10"/>
        <v>-2.2487161874856776E-3</v>
      </c>
      <c r="H368">
        <v>5.3242300000000001E-3</v>
      </c>
      <c r="I368">
        <f t="shared" si="11"/>
        <v>2.339999999999981E-5</v>
      </c>
      <c r="J368" s="6">
        <v>1</v>
      </c>
      <c r="K368">
        <v>1</v>
      </c>
      <c r="L368" t="b">
        <f>$K$368*$C$368&gt;0</f>
        <v>0</v>
      </c>
      <c r="N368" s="3"/>
    </row>
    <row r="369" spans="1:14" x14ac:dyDescent="0.45">
      <c r="A369" s="3">
        <v>42899</v>
      </c>
      <c r="B369">
        <v>14.88</v>
      </c>
      <c r="C369">
        <v>-1.2280119482243501E-2</v>
      </c>
      <c r="D369">
        <v>5261.74</v>
      </c>
      <c r="E369">
        <v>4.0358051288118535E-3</v>
      </c>
      <c r="F369">
        <v>183.28049999999999</v>
      </c>
      <c r="G369">
        <f t="shared" si="10"/>
        <v>8.5933855483810717E-4</v>
      </c>
      <c r="H369">
        <v>5.2521900000000003E-3</v>
      </c>
      <c r="I369">
        <f t="shared" si="11"/>
        <v>7.2039999999999778E-5</v>
      </c>
      <c r="J369" s="6">
        <v>1</v>
      </c>
      <c r="K369">
        <v>1</v>
      </c>
      <c r="L369" t="b">
        <f>$K$369*$C$369&gt;0</f>
        <v>0</v>
      </c>
      <c r="N369" s="3"/>
    </row>
    <row r="370" spans="1:14" x14ac:dyDescent="0.45">
      <c r="A370" s="3">
        <v>42900</v>
      </c>
      <c r="B370">
        <v>14.855</v>
      </c>
      <c r="C370">
        <v>-1.6801075268817467E-3</v>
      </c>
      <c r="D370">
        <v>5243.29</v>
      </c>
      <c r="E370">
        <v>-3.506444636184991E-3</v>
      </c>
      <c r="F370">
        <v>184.178</v>
      </c>
      <c r="G370">
        <f t="shared" si="10"/>
        <v>-4.8730032902952747E-3</v>
      </c>
      <c r="H370">
        <v>5.1104899999999997E-3</v>
      </c>
      <c r="I370">
        <f t="shared" si="11"/>
        <v>1.4170000000000068E-4</v>
      </c>
      <c r="J370" s="6">
        <v>1</v>
      </c>
      <c r="K370">
        <v>1</v>
      </c>
      <c r="L370" t="b">
        <f>$K$370*$C$370&gt;0</f>
        <v>0</v>
      </c>
      <c r="N370" s="3"/>
    </row>
    <row r="371" spans="1:14" x14ac:dyDescent="0.45">
      <c r="A371" s="3">
        <v>42901</v>
      </c>
      <c r="B371">
        <v>14.64</v>
      </c>
      <c r="C371">
        <v>-1.4473241332884523E-2</v>
      </c>
      <c r="D371">
        <v>5216.88</v>
      </c>
      <c r="E371">
        <v>-5.0369138460775176E-3</v>
      </c>
      <c r="F371">
        <v>183.261</v>
      </c>
      <c r="G371">
        <f t="shared" si="10"/>
        <v>5.0037924053671912E-3</v>
      </c>
      <c r="H371">
        <v>5.1123200000000001E-3</v>
      </c>
      <c r="I371">
        <f t="shared" si="11"/>
        <v>-1.8300000000004077E-6</v>
      </c>
      <c r="J371" s="6">
        <v>1</v>
      </c>
      <c r="K371">
        <v>1</v>
      </c>
      <c r="L371" t="b">
        <f>$K$371*$C$371&gt;0</f>
        <v>0</v>
      </c>
      <c r="N371" s="3"/>
    </row>
    <row r="372" spans="1:14" x14ac:dyDescent="0.45">
      <c r="A372" s="3">
        <v>42902</v>
      </c>
      <c r="B372">
        <v>14.734999999999999</v>
      </c>
      <c r="C372">
        <v>6.4890710382512484E-3</v>
      </c>
      <c r="D372">
        <v>5263.31</v>
      </c>
      <c r="E372">
        <v>8.8999555289752674E-3</v>
      </c>
      <c r="F372">
        <v>183.77250000000001</v>
      </c>
      <c r="G372">
        <f t="shared" si="10"/>
        <v>-2.7833326531445657E-3</v>
      </c>
      <c r="H372">
        <v>5.1128500000000004E-3</v>
      </c>
      <c r="I372">
        <f t="shared" si="11"/>
        <v>-5.3000000000032188E-7</v>
      </c>
      <c r="J372" s="6">
        <v>1</v>
      </c>
      <c r="K372">
        <v>1</v>
      </c>
      <c r="L372" t="b">
        <f>$K$372*$C$372&gt;0</f>
        <v>1</v>
      </c>
      <c r="N372" s="3"/>
    </row>
    <row r="373" spans="1:14" x14ac:dyDescent="0.45">
      <c r="A373" s="3">
        <v>42905</v>
      </c>
      <c r="B373">
        <v>14.56</v>
      </c>
      <c r="C373">
        <v>-1.187648456057E-2</v>
      </c>
      <c r="D373">
        <v>5310.72</v>
      </c>
      <c r="E373">
        <v>9.0076396792131419E-3</v>
      </c>
      <c r="F373">
        <v>184.26400000000001</v>
      </c>
      <c r="G373">
        <f t="shared" si="10"/>
        <v>-2.6673685581557471E-3</v>
      </c>
      <c r="H373">
        <v>5.0662900000000002E-3</v>
      </c>
      <c r="I373">
        <f t="shared" si="11"/>
        <v>4.6560000000000178E-5</v>
      </c>
      <c r="J373" s="6">
        <v>1</v>
      </c>
      <c r="K373">
        <v>1</v>
      </c>
      <c r="L373" t="b">
        <f>$K$373*$C$373&gt;0</f>
        <v>0</v>
      </c>
      <c r="N373" s="3"/>
    </row>
    <row r="374" spans="1:14" x14ac:dyDescent="0.45">
      <c r="A374" s="3">
        <v>42906</v>
      </c>
      <c r="B374">
        <v>14.414999999999999</v>
      </c>
      <c r="C374">
        <v>-9.9587912087912844E-3</v>
      </c>
      <c r="D374">
        <v>5293.65</v>
      </c>
      <c r="E374">
        <v>-3.2142534345626084E-3</v>
      </c>
      <c r="F374">
        <v>185.3545</v>
      </c>
      <c r="G374">
        <f t="shared" si="10"/>
        <v>-5.8833208797196557E-3</v>
      </c>
      <c r="H374">
        <v>4.9527299999999998E-3</v>
      </c>
      <c r="I374">
        <f t="shared" si="11"/>
        <v>1.135600000000004E-4</v>
      </c>
      <c r="J374" s="6">
        <v>1</v>
      </c>
      <c r="K374">
        <v>1</v>
      </c>
      <c r="L374" t="b">
        <f>$K$374*$C$374&gt;0</f>
        <v>0</v>
      </c>
      <c r="N374" s="3"/>
    </row>
    <row r="375" spans="1:14" x14ac:dyDescent="0.45">
      <c r="A375" s="3">
        <v>42907</v>
      </c>
      <c r="B375">
        <v>14.51</v>
      </c>
      <c r="C375">
        <v>6.5903572667360688E-3</v>
      </c>
      <c r="D375">
        <v>5274.26</v>
      </c>
      <c r="E375">
        <v>-3.6628791098768376E-3</v>
      </c>
      <c r="F375">
        <v>185.65950000000001</v>
      </c>
      <c r="G375">
        <f t="shared" si="10"/>
        <v>-1.6427923160409197E-3</v>
      </c>
      <c r="H375">
        <v>4.9260399999999996E-3</v>
      </c>
      <c r="I375">
        <f t="shared" si="11"/>
        <v>2.669000000000022E-5</v>
      </c>
      <c r="J375" s="6">
        <v>1</v>
      </c>
      <c r="K375">
        <v>1</v>
      </c>
      <c r="L375" t="b">
        <f>$K$375*$C$375&gt;0</f>
        <v>1</v>
      </c>
      <c r="N375" s="3"/>
    </row>
    <row r="376" spans="1:14" x14ac:dyDescent="0.45">
      <c r="A376" s="3">
        <v>42908</v>
      </c>
      <c r="B376">
        <v>14.4</v>
      </c>
      <c r="C376">
        <v>-7.5809786354238407E-3</v>
      </c>
      <c r="D376">
        <v>5281.93</v>
      </c>
      <c r="E376">
        <v>1.4542324420867558E-3</v>
      </c>
      <c r="F376">
        <v>185.99549999999999</v>
      </c>
      <c r="G376">
        <f t="shared" si="10"/>
        <v>-1.8064953184350196E-3</v>
      </c>
      <c r="H376">
        <v>4.9067599999999996E-3</v>
      </c>
      <c r="I376">
        <f t="shared" si="11"/>
        <v>1.9279999999999992E-5</v>
      </c>
      <c r="J376" s="6">
        <v>1</v>
      </c>
      <c r="K376">
        <v>1</v>
      </c>
      <c r="L376" t="b">
        <f>$K$376*$C$376&gt;0</f>
        <v>0</v>
      </c>
      <c r="N376" s="3"/>
    </row>
    <row r="377" spans="1:14" x14ac:dyDescent="0.45">
      <c r="A377" s="3">
        <v>42909</v>
      </c>
      <c r="B377">
        <v>14.37</v>
      </c>
      <c r="C377">
        <v>-2.083333333333437E-3</v>
      </c>
      <c r="D377">
        <v>5266.12</v>
      </c>
      <c r="E377">
        <v>-2.9932240677177369E-3</v>
      </c>
      <c r="F377">
        <v>186.321</v>
      </c>
      <c r="G377">
        <f t="shared" si="10"/>
        <v>-1.746985041943816E-3</v>
      </c>
      <c r="H377">
        <v>4.90976E-3</v>
      </c>
      <c r="I377">
        <f t="shared" si="11"/>
        <v>-3.0000000000003982E-6</v>
      </c>
      <c r="J377" s="6">
        <v>1</v>
      </c>
      <c r="K377">
        <v>1</v>
      </c>
      <c r="L377" t="b">
        <f>$K$377*$C$377&gt;0</f>
        <v>0</v>
      </c>
      <c r="N377" s="3"/>
    </row>
    <row r="378" spans="1:14" x14ac:dyDescent="0.45">
      <c r="A378" s="3">
        <v>42912</v>
      </c>
      <c r="B378">
        <v>14.39</v>
      </c>
      <c r="C378">
        <v>1.3917884481560172E-3</v>
      </c>
      <c r="D378">
        <v>5295.75</v>
      </c>
      <c r="E378">
        <v>5.6265333870098022E-3</v>
      </c>
      <c r="F378">
        <v>187.1765</v>
      </c>
      <c r="G378">
        <f t="shared" si="10"/>
        <v>-4.5705523930621439E-3</v>
      </c>
      <c r="H378">
        <v>4.8723100000000004E-3</v>
      </c>
      <c r="I378">
        <f t="shared" si="11"/>
        <v>3.7449999999999636E-5</v>
      </c>
      <c r="J378" s="6">
        <v>1</v>
      </c>
      <c r="K378">
        <v>1</v>
      </c>
      <c r="L378" t="b">
        <f>$K$378*$C$378&gt;0</f>
        <v>1</v>
      </c>
      <c r="N378" s="3"/>
    </row>
    <row r="379" spans="1:14" x14ac:dyDescent="0.45">
      <c r="A379" s="3">
        <v>42913</v>
      </c>
      <c r="B379">
        <v>14.25</v>
      </c>
      <c r="C379">
        <v>-9.7289784572620608E-3</v>
      </c>
      <c r="D379">
        <v>5258.58</v>
      </c>
      <c r="E379">
        <v>-7.0188358589434729E-3</v>
      </c>
      <c r="F379">
        <v>185.35400000000001</v>
      </c>
      <c r="G379">
        <f t="shared" si="10"/>
        <v>9.8325366595810593E-3</v>
      </c>
      <c r="H379">
        <v>4.8718800000000003E-3</v>
      </c>
      <c r="I379">
        <f t="shared" si="11"/>
        <v>4.300000000000484E-7</v>
      </c>
      <c r="J379" s="6">
        <v>1</v>
      </c>
      <c r="K379">
        <v>1</v>
      </c>
      <c r="L379" t="b">
        <f>$K$379*$C$379&gt;0</f>
        <v>0</v>
      </c>
      <c r="N379" s="3"/>
    </row>
    <row r="380" spans="1:14" x14ac:dyDescent="0.45">
      <c r="A380" s="3">
        <v>42914</v>
      </c>
      <c r="B380">
        <v>14.19</v>
      </c>
      <c r="C380">
        <v>-4.2105263157895534E-3</v>
      </c>
      <c r="D380">
        <v>5252.9</v>
      </c>
      <c r="E380">
        <v>-1.0801395053418039E-3</v>
      </c>
      <c r="F380">
        <v>185.88</v>
      </c>
      <c r="G380">
        <f t="shared" si="10"/>
        <v>-2.8297826554765093E-3</v>
      </c>
      <c r="H380">
        <v>4.8556299999999997E-3</v>
      </c>
      <c r="I380">
        <f t="shared" si="11"/>
        <v>1.6250000000000639E-5</v>
      </c>
      <c r="J380" s="6">
        <v>1</v>
      </c>
      <c r="K380">
        <v>1</v>
      </c>
      <c r="L380" t="b">
        <f>$K$380*$C$380&gt;0</f>
        <v>0</v>
      </c>
      <c r="N380" s="3"/>
    </row>
    <row r="381" spans="1:14" x14ac:dyDescent="0.45">
      <c r="A381" s="3">
        <v>42915</v>
      </c>
      <c r="B381">
        <v>14.035</v>
      </c>
      <c r="C381">
        <v>-1.0923185341789932E-2</v>
      </c>
      <c r="D381">
        <v>5154.3500000000004</v>
      </c>
      <c r="E381">
        <v>-1.8761065316301284E-2</v>
      </c>
      <c r="F381">
        <v>184.488</v>
      </c>
      <c r="G381">
        <f t="shared" si="10"/>
        <v>7.5452061922727243E-3</v>
      </c>
      <c r="H381">
        <v>4.8502800000000002E-3</v>
      </c>
      <c r="I381">
        <f t="shared" si="11"/>
        <v>5.3499999999994524E-6</v>
      </c>
      <c r="J381" s="6">
        <v>1</v>
      </c>
      <c r="K381">
        <v>1</v>
      </c>
      <c r="L381" t="b">
        <f>$K$381*$C$381&gt;0</f>
        <v>0</v>
      </c>
      <c r="N381" s="3"/>
    </row>
    <row r="382" spans="1:14" x14ac:dyDescent="0.45">
      <c r="A382" s="3">
        <v>42916</v>
      </c>
      <c r="B382">
        <v>13.89</v>
      </c>
      <c r="C382">
        <v>-1.033131457071601E-2</v>
      </c>
      <c r="D382">
        <v>5120.68</v>
      </c>
      <c r="E382">
        <v>-6.5323464646366292E-3</v>
      </c>
      <c r="F382">
        <v>184.44399999999999</v>
      </c>
      <c r="G382">
        <f t="shared" si="10"/>
        <v>2.3855479169831995E-4</v>
      </c>
      <c r="H382">
        <v>4.8791900000000003E-3</v>
      </c>
      <c r="I382">
        <f t="shared" si="11"/>
        <v>-2.8910000000000047E-5</v>
      </c>
      <c r="J382" s="6">
        <v>1</v>
      </c>
      <c r="K382">
        <v>1</v>
      </c>
      <c r="L382" t="b">
        <f>$K$382*$C$382&gt;0</f>
        <v>0</v>
      </c>
      <c r="N382" s="3"/>
    </row>
    <row r="383" spans="1:14" x14ac:dyDescent="0.45">
      <c r="A383" s="3">
        <v>42919</v>
      </c>
      <c r="B383">
        <v>14.08</v>
      </c>
      <c r="C383">
        <v>1.367890568754504E-2</v>
      </c>
      <c r="D383">
        <v>5195.72</v>
      </c>
      <c r="E383">
        <v>1.4654303725286422E-2</v>
      </c>
      <c r="F383">
        <v>184.12</v>
      </c>
      <c r="G383">
        <f t="shared" si="10"/>
        <v>1.7597219204865677E-3</v>
      </c>
      <c r="H383">
        <v>4.86872E-3</v>
      </c>
      <c r="I383">
        <f t="shared" si="11"/>
        <v>1.0470000000000271E-5</v>
      </c>
      <c r="J383" s="6">
        <v>1</v>
      </c>
      <c r="K383">
        <v>1</v>
      </c>
      <c r="L383" t="b">
        <f>$K$383*$C$383&gt;0</f>
        <v>1</v>
      </c>
      <c r="N383" s="3"/>
    </row>
    <row r="384" spans="1:14" x14ac:dyDescent="0.45">
      <c r="A384" s="3">
        <v>42920</v>
      </c>
      <c r="B384">
        <v>14.065</v>
      </c>
      <c r="C384">
        <v>-1.0653409090909394E-3</v>
      </c>
      <c r="D384">
        <v>5174.8999999999996</v>
      </c>
      <c r="E384">
        <v>-4.0071443418815411E-3</v>
      </c>
      <c r="F384">
        <v>184.09200000000001</v>
      </c>
      <c r="G384">
        <f t="shared" si="10"/>
        <v>1.5209786411141124E-4</v>
      </c>
      <c r="H384">
        <v>4.8559500000000004E-3</v>
      </c>
      <c r="I384">
        <f t="shared" si="11"/>
        <v>1.2769999999999622E-5</v>
      </c>
      <c r="J384" s="6">
        <v>1</v>
      </c>
      <c r="K384">
        <v>1</v>
      </c>
      <c r="L384" t="b">
        <f>$K$384*$C$384&gt;0</f>
        <v>0</v>
      </c>
      <c r="N384" s="3"/>
    </row>
    <row r="385" spans="1:14" x14ac:dyDescent="0.45">
      <c r="A385" s="3">
        <v>42921</v>
      </c>
      <c r="B385">
        <v>14.08</v>
      </c>
      <c r="C385">
        <v>1.0664770707429216E-3</v>
      </c>
      <c r="D385">
        <v>5180.1000000000004</v>
      </c>
      <c r="E385">
        <v>1.0048503352724225E-3</v>
      </c>
      <c r="F385">
        <v>184.54150000000001</v>
      </c>
      <c r="G385">
        <f t="shared" si="10"/>
        <v>-2.4357664807103108E-3</v>
      </c>
      <c r="H385">
        <v>4.8401599999999996E-3</v>
      </c>
      <c r="I385">
        <f t="shared" si="11"/>
        <v>1.5790000000000769E-5</v>
      </c>
      <c r="J385" s="6">
        <v>1</v>
      </c>
      <c r="K385">
        <v>1</v>
      </c>
      <c r="L385" t="b">
        <f>$K$385*$C$385&gt;0</f>
        <v>1</v>
      </c>
      <c r="N385" s="3"/>
    </row>
    <row r="386" spans="1:14" x14ac:dyDescent="0.45">
      <c r="A386" s="3">
        <v>42922</v>
      </c>
      <c r="B386">
        <v>14.03</v>
      </c>
      <c r="C386">
        <v>-3.5511363636364646E-3</v>
      </c>
      <c r="D386">
        <v>5152.3999999999996</v>
      </c>
      <c r="E386">
        <v>-5.347387116078961E-3</v>
      </c>
      <c r="F386">
        <v>183.15549999999999</v>
      </c>
      <c r="G386">
        <f t="shared" si="10"/>
        <v>7.5673403201106382E-3</v>
      </c>
      <c r="H386">
        <v>4.8584600000000002E-3</v>
      </c>
      <c r="I386">
        <f t="shared" si="11"/>
        <v>-1.8300000000000607E-5</v>
      </c>
      <c r="J386" s="6">
        <v>1</v>
      </c>
      <c r="K386">
        <v>1</v>
      </c>
      <c r="L386" t="b">
        <f>$K$386*$C$386&gt;0</f>
        <v>0</v>
      </c>
      <c r="N386" s="3"/>
    </row>
    <row r="387" spans="1:14" x14ac:dyDescent="0.45">
      <c r="A387" s="3">
        <v>42923</v>
      </c>
      <c r="B387">
        <v>14.005000000000001</v>
      </c>
      <c r="C387">
        <v>-1.7818959372771781E-3</v>
      </c>
      <c r="D387">
        <v>5145.16</v>
      </c>
      <c r="E387">
        <v>-1.4051704060242809E-3</v>
      </c>
      <c r="F387">
        <v>182.76849999999999</v>
      </c>
      <c r="G387">
        <f t="shared" si="10"/>
        <v>2.1174327085904388E-3</v>
      </c>
      <c r="H387">
        <v>4.9183200000000003E-3</v>
      </c>
      <c r="I387">
        <f t="shared" si="11"/>
        <v>-5.9860000000000121E-5</v>
      </c>
      <c r="J387" s="6">
        <v>1</v>
      </c>
      <c r="K387">
        <v>1</v>
      </c>
      <c r="L387" t="b">
        <f>$K$387*$C$387&gt;0</f>
        <v>0</v>
      </c>
      <c r="N387" s="3"/>
    </row>
    <row r="388" spans="1:14" x14ac:dyDescent="0.45">
      <c r="A388" s="3">
        <v>42926</v>
      </c>
      <c r="B388">
        <v>14.045</v>
      </c>
      <c r="C388">
        <v>2.856122813280848E-3</v>
      </c>
      <c r="D388">
        <v>5165.6400000000003</v>
      </c>
      <c r="E388">
        <v>3.9804398697029786E-3</v>
      </c>
      <c r="F388">
        <v>183.452</v>
      </c>
      <c r="G388">
        <f t="shared" ref="G388:G451" si="12">F387/F388-1</f>
        <v>-3.7257702287247785E-3</v>
      </c>
      <c r="H388">
        <v>4.9368099999999998E-3</v>
      </c>
      <c r="I388">
        <f t="shared" ref="I388:I451" si="13">H387-H388</f>
        <v>-1.8489999999999479E-5</v>
      </c>
      <c r="J388" s="6">
        <v>1</v>
      </c>
      <c r="K388">
        <v>1</v>
      </c>
      <c r="L388" t="b">
        <f>$K$388*$C$388&gt;0</f>
        <v>1</v>
      </c>
      <c r="N388" s="3"/>
    </row>
    <row r="389" spans="1:14" x14ac:dyDescent="0.45">
      <c r="A389" s="3">
        <v>42927</v>
      </c>
      <c r="B389">
        <v>13.925000000000001</v>
      </c>
      <c r="C389">
        <v>-8.5439658241366345E-3</v>
      </c>
      <c r="D389">
        <v>5140.6000000000004</v>
      </c>
      <c r="E389">
        <v>-4.8474148411425944E-3</v>
      </c>
      <c r="F389">
        <v>183.4545</v>
      </c>
      <c r="G389">
        <f t="shared" si="12"/>
        <v>-1.3627357192125267E-5</v>
      </c>
      <c r="H389">
        <v>4.9497100000000004E-3</v>
      </c>
      <c r="I389">
        <f t="shared" si="13"/>
        <v>-1.2900000000000585E-5</v>
      </c>
      <c r="J389" s="6">
        <v>1</v>
      </c>
      <c r="K389">
        <v>1</v>
      </c>
      <c r="L389" t="b">
        <f>$K$389*$C$389&gt;0</f>
        <v>0</v>
      </c>
      <c r="N389" s="3"/>
    </row>
    <row r="390" spans="1:14" x14ac:dyDescent="0.45">
      <c r="A390" s="3">
        <v>42928</v>
      </c>
      <c r="B390">
        <v>14.13</v>
      </c>
      <c r="C390">
        <v>1.4721723518851038E-2</v>
      </c>
      <c r="D390">
        <v>5222.13</v>
      </c>
      <c r="E390">
        <v>1.5860016340504934E-2</v>
      </c>
      <c r="F390">
        <v>184.637</v>
      </c>
      <c r="G390">
        <f t="shared" si="12"/>
        <v>-6.404458477986541E-3</v>
      </c>
      <c r="H390">
        <v>4.9371399999999996E-3</v>
      </c>
      <c r="I390">
        <f t="shared" si="13"/>
        <v>1.257000000000081E-5</v>
      </c>
      <c r="J390" s="6">
        <v>1</v>
      </c>
      <c r="K390">
        <v>1</v>
      </c>
      <c r="L390" t="b">
        <f>$K$390*$C$390&gt;0</f>
        <v>1</v>
      </c>
      <c r="N390" s="3"/>
    </row>
    <row r="391" spans="1:14" x14ac:dyDescent="0.45">
      <c r="A391" s="3">
        <v>42929</v>
      </c>
      <c r="B391">
        <v>14.36</v>
      </c>
      <c r="C391">
        <v>1.6277423920735945E-2</v>
      </c>
      <c r="D391">
        <v>5235.3999999999996</v>
      </c>
      <c r="E391">
        <v>2.5411087046856018E-3</v>
      </c>
      <c r="F391">
        <v>184.995</v>
      </c>
      <c r="G391">
        <f t="shared" si="12"/>
        <v>-1.9351874374983202E-3</v>
      </c>
      <c r="H391">
        <v>4.9325100000000002E-3</v>
      </c>
      <c r="I391">
        <f t="shared" si="13"/>
        <v>4.6299999999993915E-6</v>
      </c>
      <c r="J391" s="6">
        <v>1</v>
      </c>
      <c r="K391">
        <v>1</v>
      </c>
      <c r="L391" t="b">
        <f>$K$391*$C$391&gt;0</f>
        <v>1</v>
      </c>
      <c r="N391" s="3"/>
    </row>
    <row r="392" spans="1:14" x14ac:dyDescent="0.45">
      <c r="A392" s="3">
        <v>42930</v>
      </c>
      <c r="B392">
        <v>14.295</v>
      </c>
      <c r="C392">
        <v>-4.5264623955431071E-3</v>
      </c>
      <c r="D392">
        <v>5235.3100000000004</v>
      </c>
      <c r="E392">
        <v>-1.7190663559429886E-5</v>
      </c>
      <c r="F392">
        <v>185.7835</v>
      </c>
      <c r="G392">
        <f t="shared" si="12"/>
        <v>-4.2441874547524128E-3</v>
      </c>
      <c r="H392">
        <v>4.8818899999999998E-3</v>
      </c>
      <c r="I392">
        <f t="shared" si="13"/>
        <v>5.0620000000000352E-5</v>
      </c>
      <c r="J392" s="6">
        <v>1</v>
      </c>
      <c r="K392">
        <v>1</v>
      </c>
      <c r="L392" t="b">
        <f>$K$392*$C$392&gt;0</f>
        <v>0</v>
      </c>
      <c r="N392" s="3"/>
    </row>
    <row r="393" spans="1:14" x14ac:dyDescent="0.45">
      <c r="A393" s="3">
        <v>42933</v>
      </c>
      <c r="B393">
        <v>14.375</v>
      </c>
      <c r="C393">
        <v>5.5963623644630367E-3</v>
      </c>
      <c r="D393">
        <v>5230.17</v>
      </c>
      <c r="E393">
        <v>-9.8179477433046891E-4</v>
      </c>
      <c r="F393">
        <v>187.64250000000001</v>
      </c>
      <c r="G393">
        <f t="shared" si="12"/>
        <v>-9.9071372423624737E-3</v>
      </c>
      <c r="H393">
        <v>4.8424200000000001E-3</v>
      </c>
      <c r="I393">
        <f t="shared" si="13"/>
        <v>3.9469999999999783E-5</v>
      </c>
      <c r="J393" s="6">
        <v>1</v>
      </c>
      <c r="K393">
        <v>1</v>
      </c>
      <c r="L393" t="b">
        <f>$K$393*$C$393&gt;0</f>
        <v>1</v>
      </c>
      <c r="N393" s="3"/>
    </row>
    <row r="394" spans="1:14" x14ac:dyDescent="0.45">
      <c r="A394" s="3">
        <v>42934</v>
      </c>
      <c r="B394">
        <v>14.25</v>
      </c>
      <c r="C394">
        <v>-8.6956521739129933E-3</v>
      </c>
      <c r="D394">
        <v>5173.2700000000004</v>
      </c>
      <c r="E394">
        <v>-1.0879187483389563E-2</v>
      </c>
      <c r="F394">
        <v>188.41200000000001</v>
      </c>
      <c r="G394">
        <f t="shared" si="12"/>
        <v>-4.0841347684860141E-3</v>
      </c>
      <c r="H394">
        <v>4.7979499999999996E-3</v>
      </c>
      <c r="I394">
        <f t="shared" si="13"/>
        <v>4.4470000000000447E-5</v>
      </c>
      <c r="J394" s="6">
        <v>1</v>
      </c>
      <c r="K394">
        <v>1</v>
      </c>
      <c r="L394" t="b">
        <f>$K$394*$C$394&gt;0</f>
        <v>0</v>
      </c>
      <c r="N394" s="3"/>
    </row>
    <row r="395" spans="1:14" x14ac:dyDescent="0.45">
      <c r="A395" s="3">
        <v>42935</v>
      </c>
      <c r="B395">
        <v>14.35</v>
      </c>
      <c r="C395">
        <v>7.0175438596491446E-3</v>
      </c>
      <c r="D395">
        <v>5216.07</v>
      </c>
      <c r="E395">
        <v>8.2732971602099692E-3</v>
      </c>
      <c r="F395">
        <v>188.72049999999999</v>
      </c>
      <c r="G395">
        <f t="shared" si="12"/>
        <v>-1.6346925744684659E-3</v>
      </c>
      <c r="H395">
        <v>4.6831099999999999E-3</v>
      </c>
      <c r="I395">
        <f t="shared" si="13"/>
        <v>1.1483999999999973E-4</v>
      </c>
      <c r="J395" s="6">
        <v>1</v>
      </c>
      <c r="K395">
        <v>1</v>
      </c>
      <c r="L395" t="b">
        <f>$K$395*$C$395&gt;0</f>
        <v>1</v>
      </c>
      <c r="N395" s="3"/>
    </row>
    <row r="396" spans="1:14" x14ac:dyDescent="0.45">
      <c r="A396" s="3">
        <v>42936</v>
      </c>
      <c r="B396">
        <v>14.375</v>
      </c>
      <c r="C396">
        <v>1.7421602787457413E-3</v>
      </c>
      <c r="D396">
        <v>5199.22</v>
      </c>
      <c r="E396">
        <v>-3.2304014324959773E-3</v>
      </c>
      <c r="F396">
        <v>188.72049999999999</v>
      </c>
      <c r="G396">
        <f t="shared" si="12"/>
        <v>0</v>
      </c>
      <c r="H396">
        <v>4.5452699999999997E-3</v>
      </c>
      <c r="I396">
        <f t="shared" si="13"/>
        <v>1.3784000000000018E-4</v>
      </c>
      <c r="J396" s="6">
        <v>1</v>
      </c>
      <c r="K396">
        <v>1</v>
      </c>
      <c r="L396" t="b">
        <f>$K$396*$C$396&gt;0</f>
        <v>1</v>
      </c>
      <c r="N396" s="3"/>
    </row>
    <row r="397" spans="1:14" x14ac:dyDescent="0.45">
      <c r="A397" s="3">
        <v>42937</v>
      </c>
      <c r="B397">
        <v>14.225</v>
      </c>
      <c r="C397">
        <v>-1.0434782608695681E-2</v>
      </c>
      <c r="D397">
        <v>5117.66</v>
      </c>
      <c r="E397">
        <v>-1.5686968429879933E-2</v>
      </c>
      <c r="F397">
        <v>189.17349999999999</v>
      </c>
      <c r="G397">
        <f t="shared" si="12"/>
        <v>-2.3946271544376119E-3</v>
      </c>
      <c r="H397">
        <v>4.5092300000000004E-3</v>
      </c>
      <c r="I397">
        <f t="shared" si="13"/>
        <v>3.6039999999999336E-5</v>
      </c>
      <c r="J397" s="6">
        <v>1</v>
      </c>
      <c r="K397">
        <v>1</v>
      </c>
      <c r="L397" t="b">
        <f>$K$397*$C$397&gt;0</f>
        <v>0</v>
      </c>
      <c r="N397" s="3"/>
    </row>
    <row r="398" spans="1:14" x14ac:dyDescent="0.45">
      <c r="A398" s="3">
        <v>42940</v>
      </c>
      <c r="B398">
        <v>14.19</v>
      </c>
      <c r="C398">
        <v>-2.460456942003475E-3</v>
      </c>
      <c r="D398">
        <v>5127.7</v>
      </c>
      <c r="E398">
        <v>1.9618341195000166E-3</v>
      </c>
      <c r="F398">
        <v>189.1465</v>
      </c>
      <c r="G398">
        <f t="shared" si="12"/>
        <v>1.42746495441326E-4</v>
      </c>
      <c r="H398">
        <v>4.5235800000000001E-3</v>
      </c>
      <c r="I398">
        <f t="shared" si="13"/>
        <v>-1.434999999999978E-5</v>
      </c>
      <c r="J398" s="6">
        <v>1</v>
      </c>
      <c r="K398">
        <v>1</v>
      </c>
      <c r="L398" t="b">
        <f>$K$398*$C$398&gt;0</f>
        <v>0</v>
      </c>
      <c r="N398" s="3"/>
    </row>
    <row r="399" spans="1:14" x14ac:dyDescent="0.45">
      <c r="A399" s="3">
        <v>42941</v>
      </c>
      <c r="B399">
        <v>14.23</v>
      </c>
      <c r="C399">
        <v>2.8188865398168783E-3</v>
      </c>
      <c r="D399">
        <v>5161.08</v>
      </c>
      <c r="E399">
        <v>6.5097412095092011E-3</v>
      </c>
      <c r="F399">
        <v>188.0575</v>
      </c>
      <c r="G399">
        <f t="shared" si="12"/>
        <v>5.790782074631462E-3</v>
      </c>
      <c r="H399">
        <v>4.5096800000000003E-3</v>
      </c>
      <c r="I399">
        <f t="shared" si="13"/>
        <v>1.389999999999985E-5</v>
      </c>
      <c r="J399" s="6">
        <v>1</v>
      </c>
      <c r="K399">
        <v>1</v>
      </c>
      <c r="L399" t="b">
        <f>$K$399*$C$399&gt;0</f>
        <v>1</v>
      </c>
      <c r="N399" s="3"/>
    </row>
    <row r="400" spans="1:14" x14ac:dyDescent="0.45">
      <c r="A400" s="3">
        <v>42942</v>
      </c>
      <c r="B400">
        <v>14.33</v>
      </c>
      <c r="C400">
        <v>7.0274068868587669E-3</v>
      </c>
      <c r="D400">
        <v>5190.17</v>
      </c>
      <c r="E400">
        <v>5.6364171840002086E-3</v>
      </c>
      <c r="F400">
        <v>188.06549999999999</v>
      </c>
      <c r="G400">
        <f t="shared" si="12"/>
        <v>-4.2538370939815273E-5</v>
      </c>
      <c r="H400">
        <v>4.5114500000000002E-3</v>
      </c>
      <c r="I400">
        <f t="shared" si="13"/>
        <v>-1.7699999999998967E-6</v>
      </c>
      <c r="J400" s="6">
        <v>1</v>
      </c>
      <c r="K400">
        <v>1</v>
      </c>
      <c r="L400" t="b">
        <f>$K$400*$C$400&gt;0</f>
        <v>1</v>
      </c>
      <c r="N400" s="3"/>
    </row>
    <row r="401" spans="1:14" x14ac:dyDescent="0.45">
      <c r="A401" s="3">
        <v>42943</v>
      </c>
      <c r="B401">
        <v>14.48</v>
      </c>
      <c r="C401">
        <v>1.046755059316129E-2</v>
      </c>
      <c r="D401">
        <v>5186.95</v>
      </c>
      <c r="E401">
        <v>-6.2040357059600648E-4</v>
      </c>
      <c r="F401">
        <v>188.3535</v>
      </c>
      <c r="G401">
        <f t="shared" si="12"/>
        <v>-1.5290398107813408E-3</v>
      </c>
      <c r="H401">
        <v>4.4627099999999999E-3</v>
      </c>
      <c r="I401">
        <f t="shared" si="13"/>
        <v>4.8740000000000241E-5</v>
      </c>
      <c r="J401" s="6">
        <v>1</v>
      </c>
      <c r="K401">
        <v>1</v>
      </c>
      <c r="L401" t="b">
        <f>$K$401*$C$401&gt;0</f>
        <v>1</v>
      </c>
      <c r="N401" s="3"/>
    </row>
    <row r="402" spans="1:14" x14ac:dyDescent="0.45">
      <c r="A402" s="3">
        <v>42944</v>
      </c>
      <c r="B402">
        <v>14.324999999999999</v>
      </c>
      <c r="C402">
        <v>-1.0704419889502881E-2</v>
      </c>
      <c r="D402">
        <v>5131.3900000000003</v>
      </c>
      <c r="E402">
        <v>-1.0711497122586344E-2</v>
      </c>
      <c r="F402">
        <v>188.20650000000001</v>
      </c>
      <c r="G402">
        <f t="shared" si="12"/>
        <v>7.8105697730945778E-4</v>
      </c>
      <c r="H402">
        <v>4.4707200000000001E-3</v>
      </c>
      <c r="I402">
        <f t="shared" si="13"/>
        <v>-8.0100000000001351E-6</v>
      </c>
      <c r="J402" s="6">
        <v>1</v>
      </c>
      <c r="K402">
        <v>1</v>
      </c>
      <c r="L402" t="b">
        <f>$K$402*$C$402&gt;0</f>
        <v>0</v>
      </c>
      <c r="N402" s="3"/>
    </row>
    <row r="403" spans="1:14" x14ac:dyDescent="0.45">
      <c r="A403" s="3">
        <v>42947</v>
      </c>
      <c r="B403">
        <v>14.22</v>
      </c>
      <c r="C403">
        <v>-7.3298429319370584E-3</v>
      </c>
      <c r="D403">
        <v>5093.7700000000004</v>
      </c>
      <c r="E403">
        <v>-7.3313468670281878E-3</v>
      </c>
      <c r="F403">
        <v>188.41200000000001</v>
      </c>
      <c r="G403">
        <f t="shared" si="12"/>
        <v>-1.09069486019997E-3</v>
      </c>
      <c r="H403">
        <v>4.4693500000000004E-3</v>
      </c>
      <c r="I403">
        <f t="shared" si="13"/>
        <v>1.3699999999996701E-6</v>
      </c>
      <c r="J403" s="6">
        <v>1</v>
      </c>
      <c r="K403">
        <v>1</v>
      </c>
      <c r="L403" t="b">
        <f>$K$403*$C$403&gt;0</f>
        <v>0</v>
      </c>
      <c r="N403" s="3"/>
    </row>
    <row r="404" spans="1:14" x14ac:dyDescent="0.45">
      <c r="A404" s="3">
        <v>42948</v>
      </c>
      <c r="B404">
        <v>14.26</v>
      </c>
      <c r="C404">
        <v>2.8129395218001729E-3</v>
      </c>
      <c r="D404">
        <v>5127.03</v>
      </c>
      <c r="E404">
        <v>6.5295449146700602E-3</v>
      </c>
      <c r="F404">
        <v>189.589</v>
      </c>
      <c r="G404">
        <f t="shared" si="12"/>
        <v>-6.208166085585054E-3</v>
      </c>
      <c r="H404">
        <v>4.4396599999999998E-3</v>
      </c>
      <c r="I404">
        <f t="shared" si="13"/>
        <v>2.9690000000000619E-5</v>
      </c>
      <c r="J404" s="6">
        <v>1</v>
      </c>
      <c r="K404">
        <v>1</v>
      </c>
      <c r="L404" t="b">
        <f>$K$404*$C$404&gt;0</f>
        <v>1</v>
      </c>
      <c r="N404" s="3"/>
    </row>
    <row r="405" spans="1:14" x14ac:dyDescent="0.45">
      <c r="A405" s="3">
        <v>42949</v>
      </c>
      <c r="B405">
        <v>14.234999999999999</v>
      </c>
      <c r="C405">
        <v>-1.7531556802243831E-3</v>
      </c>
      <c r="D405">
        <v>5107.25</v>
      </c>
      <c r="E405">
        <v>-3.8579840570466262E-3</v>
      </c>
      <c r="F405">
        <v>189.7525</v>
      </c>
      <c r="G405">
        <f t="shared" si="12"/>
        <v>-8.6164872663074821E-4</v>
      </c>
      <c r="H405">
        <v>4.3936399999999999E-3</v>
      </c>
      <c r="I405">
        <f t="shared" si="13"/>
        <v>4.6019999999999915E-5</v>
      </c>
      <c r="J405" s="6">
        <v>1</v>
      </c>
      <c r="K405">
        <v>1</v>
      </c>
      <c r="L405" t="b">
        <f>$K$405*$C$405&gt;0</f>
        <v>0</v>
      </c>
      <c r="N405" s="3"/>
    </row>
    <row r="406" spans="1:14" x14ac:dyDescent="0.45">
      <c r="A406" s="3">
        <v>42950</v>
      </c>
      <c r="B406">
        <v>14.3</v>
      </c>
      <c r="C406">
        <v>4.5662100456622667E-3</v>
      </c>
      <c r="D406">
        <v>5130.49</v>
      </c>
      <c r="E406">
        <v>4.5503940476772087E-3</v>
      </c>
      <c r="F406">
        <v>190.44049999999999</v>
      </c>
      <c r="G406">
        <f t="shared" si="12"/>
        <v>-3.6126769253388424E-3</v>
      </c>
      <c r="H406">
        <v>4.3657899999999996E-3</v>
      </c>
      <c r="I406">
        <f t="shared" si="13"/>
        <v>2.785000000000027E-5</v>
      </c>
      <c r="J406" s="6">
        <v>1</v>
      </c>
      <c r="K406">
        <v>1</v>
      </c>
      <c r="L406" t="b">
        <f>$K$406*$C$406&gt;0</f>
        <v>1</v>
      </c>
      <c r="N406" s="3"/>
    </row>
    <row r="407" spans="1:14" x14ac:dyDescent="0.45">
      <c r="A407" s="3">
        <v>42951</v>
      </c>
      <c r="B407">
        <v>14.455</v>
      </c>
      <c r="C407">
        <v>1.08391608391607E-2</v>
      </c>
      <c r="D407">
        <v>5203.4399999999996</v>
      </c>
      <c r="E407">
        <v>1.4218914762527568E-2</v>
      </c>
      <c r="F407">
        <v>190.07249999999999</v>
      </c>
      <c r="G407">
        <f t="shared" si="12"/>
        <v>1.9361033289928553E-3</v>
      </c>
      <c r="H407">
        <v>4.3425299999999998E-3</v>
      </c>
      <c r="I407">
        <f t="shared" si="13"/>
        <v>2.3259999999999774E-5</v>
      </c>
      <c r="J407" s="6">
        <v>1</v>
      </c>
      <c r="K407">
        <v>1</v>
      </c>
      <c r="L407" t="b">
        <f>$K$407*$C$407&gt;0</f>
        <v>1</v>
      </c>
      <c r="N407" s="3"/>
    </row>
    <row r="408" spans="1:14" x14ac:dyDescent="0.45">
      <c r="A408" s="3">
        <v>42954</v>
      </c>
      <c r="B408">
        <v>14.51</v>
      </c>
      <c r="C408">
        <v>3.8049117952265732E-3</v>
      </c>
      <c r="D408">
        <v>5207.8900000000003</v>
      </c>
      <c r="E408">
        <v>8.5520348077450237E-4</v>
      </c>
      <c r="F408">
        <v>190.26750000000001</v>
      </c>
      <c r="G408">
        <f t="shared" si="12"/>
        <v>-1.0248728763452286E-3</v>
      </c>
      <c r="H408">
        <v>4.3394599999999998E-3</v>
      </c>
      <c r="I408">
        <f t="shared" si="13"/>
        <v>3.0699999999999825E-6</v>
      </c>
      <c r="J408" s="6">
        <v>1</v>
      </c>
      <c r="K408">
        <v>1</v>
      </c>
      <c r="L408" t="b">
        <f>$K$408*$C$408&gt;0</f>
        <v>1</v>
      </c>
      <c r="N408" s="3"/>
    </row>
    <row r="409" spans="1:14" x14ac:dyDescent="0.45">
      <c r="A409" s="3">
        <v>42955</v>
      </c>
      <c r="B409">
        <v>14.47</v>
      </c>
      <c r="C409">
        <v>-2.7567195037904169E-3</v>
      </c>
      <c r="D409">
        <v>5218.8900000000003</v>
      </c>
      <c r="E409">
        <v>2.1121797887435623E-3</v>
      </c>
      <c r="F409">
        <v>189.97200000000001</v>
      </c>
      <c r="G409">
        <f t="shared" si="12"/>
        <v>1.5554923883520644E-3</v>
      </c>
      <c r="H409">
        <v>4.3315100000000002E-3</v>
      </c>
      <c r="I409">
        <f t="shared" si="13"/>
        <v>7.949999999999624E-6</v>
      </c>
      <c r="J409" s="6">
        <v>1</v>
      </c>
      <c r="K409">
        <v>1</v>
      </c>
      <c r="L409" t="b">
        <f>$K$409*$C$409&gt;0</f>
        <v>0</v>
      </c>
      <c r="N409" s="3"/>
    </row>
    <row r="410" spans="1:14" x14ac:dyDescent="0.45">
      <c r="A410" s="3">
        <v>42956</v>
      </c>
      <c r="B410">
        <v>14.324999999999999</v>
      </c>
      <c r="C410">
        <v>-1.0020732550103717E-2</v>
      </c>
      <c r="D410">
        <v>5145.7</v>
      </c>
      <c r="E410">
        <v>-1.4024054923556628E-2</v>
      </c>
      <c r="F410">
        <v>190.8605</v>
      </c>
      <c r="G410">
        <f t="shared" si="12"/>
        <v>-4.655232486554306E-3</v>
      </c>
      <c r="H410">
        <v>4.4534400000000003E-3</v>
      </c>
      <c r="I410">
        <f t="shared" si="13"/>
        <v>-1.2193000000000013E-4</v>
      </c>
      <c r="J410" s="6">
        <v>1</v>
      </c>
      <c r="K410">
        <v>1</v>
      </c>
      <c r="L410" t="b">
        <f>$K$410*$C$410&gt;0</f>
        <v>0</v>
      </c>
      <c r="N410" s="3"/>
    </row>
    <row r="411" spans="1:14" x14ac:dyDescent="0.45">
      <c r="A411" s="3">
        <v>42957</v>
      </c>
      <c r="B411">
        <v>14.285</v>
      </c>
      <c r="C411">
        <v>-2.7923211169283979E-3</v>
      </c>
      <c r="D411">
        <v>5115.2299999999996</v>
      </c>
      <c r="E411">
        <v>-5.9214489768156797E-3</v>
      </c>
      <c r="F411">
        <v>191.0865</v>
      </c>
      <c r="G411">
        <f t="shared" si="12"/>
        <v>-1.1827104478862038E-3</v>
      </c>
      <c r="H411">
        <v>4.6160400000000001E-3</v>
      </c>
      <c r="I411">
        <f t="shared" si="13"/>
        <v>-1.6259999999999972E-4</v>
      </c>
      <c r="J411" s="6">
        <v>1</v>
      </c>
      <c r="K411">
        <v>1</v>
      </c>
      <c r="L411" t="b">
        <f>$K$411*$C$411&gt;0</f>
        <v>0</v>
      </c>
      <c r="N411" s="3"/>
    </row>
    <row r="412" spans="1:14" x14ac:dyDescent="0.45">
      <c r="A412" s="3">
        <v>42958</v>
      </c>
      <c r="B412">
        <v>14.065</v>
      </c>
      <c r="C412">
        <v>-1.5400770038501932E-2</v>
      </c>
      <c r="D412">
        <v>5060.92</v>
      </c>
      <c r="E412">
        <v>-1.0617313395487549E-2</v>
      </c>
      <c r="F412">
        <v>191.58</v>
      </c>
      <c r="G412">
        <f t="shared" si="12"/>
        <v>-2.57594738490452E-3</v>
      </c>
      <c r="H412">
        <v>4.74385E-3</v>
      </c>
      <c r="I412">
        <f t="shared" si="13"/>
        <v>-1.278099999999999E-4</v>
      </c>
      <c r="J412" s="6">
        <v>1</v>
      </c>
      <c r="K412">
        <v>1</v>
      </c>
      <c r="L412" t="b">
        <f>$K$412*$C$412&gt;0</f>
        <v>0</v>
      </c>
      <c r="N412" s="3"/>
    </row>
    <row r="413" spans="1:14" x14ac:dyDescent="0.45">
      <c r="A413" s="3">
        <v>42961</v>
      </c>
      <c r="B413">
        <v>14.285</v>
      </c>
      <c r="C413">
        <v>1.564166370423048E-2</v>
      </c>
      <c r="D413">
        <v>5121.67</v>
      </c>
      <c r="E413">
        <v>1.200374635441781E-2</v>
      </c>
      <c r="F413">
        <v>191.08799999999999</v>
      </c>
      <c r="G413">
        <f t="shared" si="12"/>
        <v>2.5747299673450907E-3</v>
      </c>
      <c r="H413">
        <v>4.6713099999999997E-3</v>
      </c>
      <c r="I413">
        <f t="shared" si="13"/>
        <v>7.2540000000000278E-5</v>
      </c>
      <c r="J413" s="6">
        <v>1</v>
      </c>
      <c r="K413">
        <v>1</v>
      </c>
      <c r="L413" t="b">
        <f>$K$413*$C$413&gt;0</f>
        <v>1</v>
      </c>
      <c r="N413" s="3"/>
    </row>
    <row r="414" spans="1:14" x14ac:dyDescent="0.45">
      <c r="A414" s="3">
        <v>42962</v>
      </c>
      <c r="B414">
        <v>14.33</v>
      </c>
      <c r="C414">
        <v>3.1501575078753952E-3</v>
      </c>
      <c r="D414">
        <v>5140.25</v>
      </c>
      <c r="E414">
        <v>3.6277229887906604E-3</v>
      </c>
      <c r="F414">
        <v>190.6755</v>
      </c>
      <c r="G414">
        <f t="shared" si="12"/>
        <v>2.1633613128062557E-3</v>
      </c>
      <c r="H414">
        <v>4.5605400000000001E-3</v>
      </c>
      <c r="I414">
        <f t="shared" si="13"/>
        <v>1.1076999999999962E-4</v>
      </c>
      <c r="J414" s="6">
        <v>1</v>
      </c>
      <c r="K414">
        <v>1</v>
      </c>
      <c r="L414" t="b">
        <f>$K$414*$C$414&gt;0</f>
        <v>1</v>
      </c>
      <c r="N414" s="3"/>
    </row>
    <row r="415" spans="1:14" x14ac:dyDescent="0.45">
      <c r="A415" s="3">
        <v>42963</v>
      </c>
      <c r="B415">
        <v>14.33</v>
      </c>
      <c r="C415">
        <v>0</v>
      </c>
      <c r="D415">
        <v>5176.6099999999997</v>
      </c>
      <c r="E415">
        <v>7.0735859150818925E-3</v>
      </c>
      <c r="F415">
        <v>190.4495</v>
      </c>
      <c r="G415">
        <f t="shared" si="12"/>
        <v>1.1866662816126805E-3</v>
      </c>
      <c r="H415">
        <v>4.4348599999999997E-3</v>
      </c>
      <c r="I415">
        <f t="shared" si="13"/>
        <v>1.2568000000000041E-4</v>
      </c>
      <c r="J415" s="6">
        <v>1</v>
      </c>
      <c r="K415">
        <v>1</v>
      </c>
      <c r="L415" t="b">
        <f>$K$415*$C$415&gt;0</f>
        <v>0</v>
      </c>
      <c r="N415" s="3"/>
    </row>
    <row r="416" spans="1:14" x14ac:dyDescent="0.45">
      <c r="A416" s="3">
        <v>42964</v>
      </c>
      <c r="B416">
        <v>14.244999999999999</v>
      </c>
      <c r="C416">
        <v>-5.9316120027913533E-3</v>
      </c>
      <c r="D416">
        <v>5146.8500000000004</v>
      </c>
      <c r="E416">
        <v>-5.7489360797895461E-3</v>
      </c>
      <c r="F416">
        <v>190.81950000000001</v>
      </c>
      <c r="G416">
        <f t="shared" si="12"/>
        <v>-1.9390051855288082E-3</v>
      </c>
      <c r="H416">
        <v>4.4676100000000003E-3</v>
      </c>
      <c r="I416">
        <f t="shared" si="13"/>
        <v>-3.2750000000000661E-5</v>
      </c>
      <c r="J416" s="6">
        <v>1</v>
      </c>
      <c r="K416">
        <v>1</v>
      </c>
      <c r="L416" t="b">
        <f>$K$416*$C$416&gt;0</f>
        <v>0</v>
      </c>
      <c r="N416" s="3"/>
    </row>
    <row r="417" spans="1:14" x14ac:dyDescent="0.45">
      <c r="A417" s="3">
        <v>42965</v>
      </c>
      <c r="B417">
        <v>14.225</v>
      </c>
      <c r="C417">
        <v>-1.4040014040013205E-3</v>
      </c>
      <c r="D417">
        <v>5114.1499999999996</v>
      </c>
      <c r="E417">
        <v>-6.3534006236826146E-3</v>
      </c>
      <c r="F417">
        <v>190.976</v>
      </c>
      <c r="G417">
        <f t="shared" si="12"/>
        <v>-8.1947469839138698E-4</v>
      </c>
      <c r="H417">
        <v>4.6619799999999996E-3</v>
      </c>
      <c r="I417">
        <f t="shared" si="13"/>
        <v>-1.9436999999999927E-4</v>
      </c>
      <c r="J417" s="6">
        <v>1</v>
      </c>
      <c r="K417">
        <v>1</v>
      </c>
      <c r="L417" t="b">
        <f>$K$417*$C$417&gt;0</f>
        <v>0</v>
      </c>
      <c r="N417" s="3"/>
    </row>
    <row r="418" spans="1:14" x14ac:dyDescent="0.45">
      <c r="A418" s="3">
        <v>42968</v>
      </c>
      <c r="B418">
        <v>14.154999999999999</v>
      </c>
      <c r="C418">
        <v>-4.920913884007061E-3</v>
      </c>
      <c r="D418">
        <v>5087.59</v>
      </c>
      <c r="E418">
        <v>-5.1934339039721999E-3</v>
      </c>
      <c r="F418">
        <v>191.14400000000001</v>
      </c>
      <c r="G418">
        <f t="shared" si="12"/>
        <v>-8.7891851169796809E-4</v>
      </c>
      <c r="H418">
        <v>4.6483799999999997E-3</v>
      </c>
      <c r="I418">
        <f t="shared" si="13"/>
        <v>1.3599999999999897E-5</v>
      </c>
      <c r="J418" s="6">
        <v>1</v>
      </c>
      <c r="K418">
        <v>1</v>
      </c>
      <c r="L418" t="b">
        <f>$K$418*$C$418&gt;0</f>
        <v>0</v>
      </c>
      <c r="N418" s="3"/>
    </row>
    <row r="419" spans="1:14" x14ac:dyDescent="0.45">
      <c r="A419" s="3">
        <v>42969</v>
      </c>
      <c r="B419">
        <v>14.244999999999999</v>
      </c>
      <c r="C419">
        <v>6.3581773225007687E-3</v>
      </c>
      <c r="D419">
        <v>5131.8599999999997</v>
      </c>
      <c r="E419">
        <v>8.7015659673832513E-3</v>
      </c>
      <c r="F419">
        <v>190.98949999999999</v>
      </c>
      <c r="G419">
        <f t="shared" si="12"/>
        <v>8.0894499435846257E-4</v>
      </c>
      <c r="H419">
        <v>4.6269600000000003E-3</v>
      </c>
      <c r="I419">
        <f t="shared" si="13"/>
        <v>2.1419999999999426E-5</v>
      </c>
      <c r="J419" s="6">
        <v>1</v>
      </c>
      <c r="K419">
        <v>1</v>
      </c>
      <c r="L419" t="b">
        <f>$K$419*$C$419&gt;0</f>
        <v>1</v>
      </c>
      <c r="N419" s="3"/>
    </row>
    <row r="420" spans="1:14" x14ac:dyDescent="0.45">
      <c r="A420" s="3">
        <v>42970</v>
      </c>
      <c r="B420">
        <v>14.25</v>
      </c>
      <c r="C420">
        <v>3.5100035100033011E-4</v>
      </c>
      <c r="D420">
        <v>5115.3900000000003</v>
      </c>
      <c r="E420">
        <v>-3.2093626872127246E-3</v>
      </c>
      <c r="F420">
        <v>191.39349999999999</v>
      </c>
      <c r="G420">
        <f t="shared" si="12"/>
        <v>-2.1108344849746219E-3</v>
      </c>
      <c r="H420">
        <v>4.6012600000000002E-3</v>
      </c>
      <c r="I420">
        <f t="shared" si="13"/>
        <v>2.5700000000000028E-5</v>
      </c>
      <c r="J420" s="6">
        <v>1</v>
      </c>
      <c r="K420">
        <v>1</v>
      </c>
      <c r="L420" t="b">
        <f>$K$420*$C$420&gt;0</f>
        <v>1</v>
      </c>
      <c r="N420" s="3"/>
    </row>
    <row r="421" spans="1:14" x14ac:dyDescent="0.45">
      <c r="A421" s="3">
        <v>42971</v>
      </c>
      <c r="B421">
        <v>14.215</v>
      </c>
      <c r="C421">
        <v>-2.4561403508771562E-3</v>
      </c>
      <c r="D421">
        <v>5113.13</v>
      </c>
      <c r="E421">
        <v>-4.4180404622129466E-4</v>
      </c>
      <c r="F421">
        <v>191.43350000000001</v>
      </c>
      <c r="G421">
        <f t="shared" si="12"/>
        <v>-2.0894984420183338E-4</v>
      </c>
      <c r="H421">
        <v>4.59473E-3</v>
      </c>
      <c r="I421">
        <f t="shared" si="13"/>
        <v>6.5300000000002509E-6</v>
      </c>
      <c r="J421" s="6">
        <v>1</v>
      </c>
      <c r="K421">
        <v>1</v>
      </c>
      <c r="L421" t="b">
        <f>$K$421*$C$421&gt;0</f>
        <v>0</v>
      </c>
      <c r="N421" s="3"/>
    </row>
    <row r="422" spans="1:14" x14ac:dyDescent="0.45">
      <c r="A422" s="3">
        <v>42972</v>
      </c>
      <c r="B422">
        <v>14.15</v>
      </c>
      <c r="C422">
        <v>-4.5726345409777824E-3</v>
      </c>
      <c r="D422">
        <v>5104.33</v>
      </c>
      <c r="E422">
        <v>-1.721059312006612E-3</v>
      </c>
      <c r="F422">
        <v>191.02850000000001</v>
      </c>
      <c r="G422">
        <f t="shared" si="12"/>
        <v>2.120102497794818E-3</v>
      </c>
      <c r="H422">
        <v>4.5735799999999998E-3</v>
      </c>
      <c r="I422">
        <f t="shared" si="13"/>
        <v>2.1150000000000162E-5</v>
      </c>
      <c r="J422" s="6">
        <v>1</v>
      </c>
      <c r="K422">
        <v>1</v>
      </c>
      <c r="L422" t="b">
        <f>$K$422*$C$422&gt;0</f>
        <v>0</v>
      </c>
      <c r="N422" s="3"/>
    </row>
    <row r="423" spans="1:14" x14ac:dyDescent="0.45">
      <c r="A423" s="3">
        <v>42975</v>
      </c>
      <c r="B423">
        <v>14.15</v>
      </c>
      <c r="C423">
        <v>0</v>
      </c>
      <c r="D423">
        <v>5079.75</v>
      </c>
      <c r="E423">
        <v>-4.8155193727678069E-3</v>
      </c>
      <c r="F423">
        <v>191.08250000000001</v>
      </c>
      <c r="G423">
        <f t="shared" si="12"/>
        <v>-2.8260044745076485E-4</v>
      </c>
      <c r="H423">
        <v>4.5753599999999997E-3</v>
      </c>
      <c r="I423">
        <f t="shared" si="13"/>
        <v>-1.7799999999998373E-6</v>
      </c>
      <c r="J423" s="6">
        <v>1</v>
      </c>
      <c r="K423">
        <v>1</v>
      </c>
      <c r="L423" t="b">
        <f>$K$423*$C$423&gt;0</f>
        <v>0</v>
      </c>
      <c r="N423" s="3"/>
    </row>
    <row r="424" spans="1:14" x14ac:dyDescent="0.45">
      <c r="A424" s="3">
        <v>42976</v>
      </c>
      <c r="B424">
        <v>14.11</v>
      </c>
      <c r="C424">
        <v>-2.8268551236749762E-3</v>
      </c>
      <c r="D424">
        <v>5031.92</v>
      </c>
      <c r="E424">
        <v>-9.415817707564389E-3</v>
      </c>
      <c r="F424">
        <v>191.44499999999999</v>
      </c>
      <c r="G424">
        <f t="shared" si="12"/>
        <v>-1.8934942150485856E-3</v>
      </c>
      <c r="H424">
        <v>4.6832100000000002E-3</v>
      </c>
      <c r="I424">
        <f t="shared" si="13"/>
        <v>-1.0785000000000048E-4</v>
      </c>
      <c r="J424" s="6">
        <v>1</v>
      </c>
      <c r="K424">
        <v>1</v>
      </c>
      <c r="L424" t="b">
        <f>$K$424*$C$424&gt;0</f>
        <v>0</v>
      </c>
      <c r="N424" s="3"/>
    </row>
    <row r="425" spans="1:14" x14ac:dyDescent="0.45">
      <c r="A425" s="3">
        <v>42977</v>
      </c>
      <c r="B425">
        <v>14.21</v>
      </c>
      <c r="C425">
        <v>7.0871722182850316E-3</v>
      </c>
      <c r="D425">
        <v>5056.34</v>
      </c>
      <c r="E425">
        <v>4.8530183309751784E-3</v>
      </c>
      <c r="F425">
        <v>190.81</v>
      </c>
      <c r="G425">
        <f t="shared" si="12"/>
        <v>3.3279178240133156E-3</v>
      </c>
      <c r="H425">
        <v>4.6451399999999999E-3</v>
      </c>
      <c r="I425">
        <f t="shared" si="13"/>
        <v>3.8070000000000291E-5</v>
      </c>
      <c r="J425" s="6">
        <v>1</v>
      </c>
      <c r="K425">
        <v>1</v>
      </c>
      <c r="L425" t="b">
        <f>$K$425*$C$425&gt;0</f>
        <v>1</v>
      </c>
      <c r="N425" s="3"/>
    </row>
    <row r="426" spans="1:14" x14ac:dyDescent="0.45">
      <c r="A426" s="3">
        <v>42978</v>
      </c>
      <c r="B426">
        <v>14.275</v>
      </c>
      <c r="C426">
        <v>4.5742434904996188E-3</v>
      </c>
      <c r="D426">
        <v>5085.59</v>
      </c>
      <c r="E426">
        <v>5.7848166855867245E-3</v>
      </c>
      <c r="F426">
        <v>190.39599999999999</v>
      </c>
      <c r="G426">
        <f t="shared" si="12"/>
        <v>2.1744154288956263E-3</v>
      </c>
      <c r="H426">
        <v>4.6179699999999999E-3</v>
      </c>
      <c r="I426">
        <f t="shared" si="13"/>
        <v>2.7169999999999972E-5</v>
      </c>
      <c r="J426" s="6">
        <v>1</v>
      </c>
      <c r="K426">
        <v>1</v>
      </c>
      <c r="L426" t="b">
        <f>$K$426*$C$426&gt;0</f>
        <v>1</v>
      </c>
      <c r="N426" s="3"/>
    </row>
    <row r="427" spans="1:14" x14ac:dyDescent="0.45">
      <c r="A427" s="3">
        <v>42979</v>
      </c>
      <c r="B427">
        <v>14.255000000000001</v>
      </c>
      <c r="C427">
        <v>-1.4010507880910517E-3</v>
      </c>
      <c r="D427">
        <v>5123.26</v>
      </c>
      <c r="E427">
        <v>7.4072034906471629E-3</v>
      </c>
      <c r="F427">
        <v>189.37100000000001</v>
      </c>
      <c r="G427">
        <f t="shared" si="12"/>
        <v>5.4126555808438059E-3</v>
      </c>
      <c r="H427">
        <v>4.5436499999999998E-3</v>
      </c>
      <c r="I427">
        <f t="shared" si="13"/>
        <v>7.4320000000000115E-5</v>
      </c>
      <c r="J427" s="6">
        <v>1</v>
      </c>
      <c r="K427">
        <v>1</v>
      </c>
      <c r="L427" t="b">
        <f>$K$427*$C$427&gt;0</f>
        <v>0</v>
      </c>
      <c r="N427" s="3"/>
    </row>
    <row r="428" spans="1:14" x14ac:dyDescent="0.45">
      <c r="A428" s="3">
        <v>42982</v>
      </c>
      <c r="B428">
        <v>14.234999999999999</v>
      </c>
      <c r="C428">
        <v>-1.403016485443831E-3</v>
      </c>
      <c r="D428">
        <v>5103.97</v>
      </c>
      <c r="E428">
        <v>-3.7651807638104939E-3</v>
      </c>
      <c r="F428">
        <v>189.35499999999999</v>
      </c>
      <c r="G428">
        <f t="shared" si="12"/>
        <v>8.4497372659919634E-5</v>
      </c>
      <c r="H428">
        <v>4.5197700000000002E-3</v>
      </c>
      <c r="I428">
        <f t="shared" si="13"/>
        <v>2.3879999999999561E-5</v>
      </c>
      <c r="J428" s="6">
        <v>1</v>
      </c>
      <c r="K428">
        <v>1</v>
      </c>
      <c r="L428" t="b">
        <f>$K$428*$C$428&gt;0</f>
        <v>0</v>
      </c>
      <c r="N428" s="3"/>
    </row>
    <row r="429" spans="1:14" x14ac:dyDescent="0.45">
      <c r="A429" s="3">
        <v>42983</v>
      </c>
      <c r="B429">
        <v>13.95</v>
      </c>
      <c r="C429">
        <v>-2.0021074815595341E-2</v>
      </c>
      <c r="D429">
        <v>5086.5600000000004</v>
      </c>
      <c r="E429">
        <v>-3.4110702061336262E-3</v>
      </c>
      <c r="F429">
        <v>189.81549999999999</v>
      </c>
      <c r="G429">
        <f t="shared" si="12"/>
        <v>-2.4260400230750045E-3</v>
      </c>
      <c r="H429">
        <v>4.4267500000000001E-3</v>
      </c>
      <c r="I429">
        <f t="shared" si="13"/>
        <v>9.3020000000000082E-5</v>
      </c>
      <c r="J429" s="6">
        <v>1</v>
      </c>
      <c r="K429">
        <v>1</v>
      </c>
      <c r="L429" t="b">
        <f>$K$429*$C$429&gt;0</f>
        <v>0</v>
      </c>
      <c r="N429" s="3"/>
    </row>
    <row r="430" spans="1:14" x14ac:dyDescent="0.45">
      <c r="A430" s="3">
        <v>42984</v>
      </c>
      <c r="B430">
        <v>13.89</v>
      </c>
      <c r="C430">
        <v>-4.3010752688170673E-3</v>
      </c>
      <c r="D430">
        <v>5101.41</v>
      </c>
      <c r="E430">
        <v>2.9194583372651461E-3</v>
      </c>
      <c r="F430">
        <v>189.31049999999999</v>
      </c>
      <c r="G430">
        <f t="shared" si="12"/>
        <v>2.6675752269420538E-3</v>
      </c>
      <c r="H430">
        <v>4.4866400000000001E-3</v>
      </c>
      <c r="I430">
        <f t="shared" si="13"/>
        <v>-5.9889999999999943E-5</v>
      </c>
      <c r="J430" s="6">
        <v>1</v>
      </c>
      <c r="K430">
        <v>1</v>
      </c>
      <c r="L430" t="b">
        <f>$K$430*$C$430&gt;0</f>
        <v>0</v>
      </c>
      <c r="N430" s="3"/>
    </row>
    <row r="431" spans="1:14" x14ac:dyDescent="0.45">
      <c r="A431" s="3">
        <v>42985</v>
      </c>
      <c r="B431">
        <v>13.93</v>
      </c>
      <c r="C431">
        <v>2.8797696184303945E-3</v>
      </c>
      <c r="D431">
        <v>5114.62</v>
      </c>
      <c r="E431">
        <v>2.5894801633274955E-3</v>
      </c>
      <c r="F431">
        <v>189.691</v>
      </c>
      <c r="G431">
        <f t="shared" si="12"/>
        <v>-2.0058937956993761E-3</v>
      </c>
      <c r="H431">
        <v>4.4354900000000003E-3</v>
      </c>
      <c r="I431">
        <f t="shared" si="13"/>
        <v>5.1149999999999807E-5</v>
      </c>
      <c r="J431" s="6">
        <v>1</v>
      </c>
      <c r="K431">
        <v>1</v>
      </c>
      <c r="L431" t="b">
        <f>$K$431*$C$431&gt;0</f>
        <v>1</v>
      </c>
      <c r="N431" s="3"/>
    </row>
    <row r="432" spans="1:14" x14ac:dyDescent="0.45">
      <c r="A432" s="3">
        <v>42986</v>
      </c>
      <c r="B432">
        <v>13.81</v>
      </c>
      <c r="C432">
        <v>-8.6145010768126085E-3</v>
      </c>
      <c r="D432">
        <v>5113.49</v>
      </c>
      <c r="E432">
        <v>-2.2093527964939241E-4</v>
      </c>
      <c r="F432">
        <v>189.2825</v>
      </c>
      <c r="G432">
        <f t="shared" si="12"/>
        <v>2.1581498553748801E-3</v>
      </c>
      <c r="H432">
        <v>4.4163400000000004E-3</v>
      </c>
      <c r="I432">
        <f t="shared" si="13"/>
        <v>1.9149999999999896E-5</v>
      </c>
      <c r="J432" s="6">
        <v>1</v>
      </c>
      <c r="K432">
        <v>1</v>
      </c>
      <c r="L432" t="b">
        <f>$K$432*$C$432&gt;0</f>
        <v>0</v>
      </c>
      <c r="N432" s="3"/>
    </row>
    <row r="433" spans="1:14" x14ac:dyDescent="0.45">
      <c r="A433" s="3">
        <v>42989</v>
      </c>
      <c r="B433">
        <v>13.95</v>
      </c>
      <c r="C433">
        <v>1.0137581462708045E-2</v>
      </c>
      <c r="D433">
        <v>5176.71</v>
      </c>
      <c r="E433">
        <v>1.2363376089520095E-2</v>
      </c>
      <c r="F433">
        <v>188.32650000000001</v>
      </c>
      <c r="G433">
        <f t="shared" si="12"/>
        <v>5.0762903786774061E-3</v>
      </c>
      <c r="H433">
        <v>4.3425699999999996E-3</v>
      </c>
      <c r="I433">
        <f t="shared" si="13"/>
        <v>7.3770000000000779E-5</v>
      </c>
      <c r="J433" s="6">
        <v>1</v>
      </c>
      <c r="K433">
        <v>1</v>
      </c>
      <c r="L433" t="b">
        <f>$K$433*$C$433&gt;0</f>
        <v>1</v>
      </c>
      <c r="N433" s="3"/>
    </row>
    <row r="434" spans="1:14" x14ac:dyDescent="0.45">
      <c r="A434" s="3">
        <v>42990</v>
      </c>
      <c r="B434">
        <v>13.94</v>
      </c>
      <c r="C434">
        <v>-7.1684587813614087E-4</v>
      </c>
      <c r="D434">
        <v>5209.01</v>
      </c>
      <c r="E434">
        <v>6.2394841511308474E-3</v>
      </c>
      <c r="F434">
        <v>186.9255</v>
      </c>
      <c r="G434">
        <f t="shared" si="12"/>
        <v>7.4949645714470492E-3</v>
      </c>
      <c r="H434">
        <v>4.3117900000000002E-3</v>
      </c>
      <c r="I434">
        <f t="shared" si="13"/>
        <v>3.077999999999935E-5</v>
      </c>
      <c r="J434" s="6">
        <v>1</v>
      </c>
      <c r="K434">
        <v>1</v>
      </c>
      <c r="L434" t="b">
        <f>$K$434*$C$434&gt;0</f>
        <v>0</v>
      </c>
      <c r="N434" s="3"/>
    </row>
    <row r="435" spans="1:14" x14ac:dyDescent="0.45">
      <c r="A435" s="3">
        <v>42991</v>
      </c>
      <c r="B435">
        <v>13.975</v>
      </c>
      <c r="C435">
        <v>2.5107604017216012E-3</v>
      </c>
      <c r="D435">
        <v>5217.59</v>
      </c>
      <c r="E435">
        <v>1.6471460027913665E-3</v>
      </c>
      <c r="F435">
        <v>186.83799999999999</v>
      </c>
      <c r="G435">
        <f t="shared" si="12"/>
        <v>4.683201490061073E-4</v>
      </c>
      <c r="H435">
        <v>4.2986200000000004E-3</v>
      </c>
      <c r="I435">
        <f t="shared" si="13"/>
        <v>1.3169999999999848E-5</v>
      </c>
      <c r="J435" s="6">
        <v>1</v>
      </c>
      <c r="K435">
        <v>1</v>
      </c>
      <c r="L435" t="b">
        <f>$K$435*$C$435&gt;0</f>
        <v>1</v>
      </c>
      <c r="N435" s="3"/>
    </row>
    <row r="436" spans="1:14" x14ac:dyDescent="0.45">
      <c r="A436" s="3">
        <v>42992</v>
      </c>
      <c r="B436">
        <v>13.92</v>
      </c>
      <c r="C436">
        <v>-3.9355992844364307E-3</v>
      </c>
      <c r="D436">
        <v>5225.2</v>
      </c>
      <c r="E436">
        <v>1.4585277877332548E-3</v>
      </c>
      <c r="F436">
        <v>186.5395</v>
      </c>
      <c r="G436">
        <f t="shared" si="12"/>
        <v>1.6001972772521356E-3</v>
      </c>
      <c r="H436">
        <v>4.2887799999999998E-3</v>
      </c>
      <c r="I436">
        <f t="shared" si="13"/>
        <v>9.8400000000005428E-6</v>
      </c>
      <c r="J436" s="6">
        <v>1</v>
      </c>
      <c r="K436">
        <v>1</v>
      </c>
      <c r="L436" t="b">
        <f>$K$436*$C$436&gt;0</f>
        <v>0</v>
      </c>
      <c r="N436" s="3"/>
    </row>
    <row r="437" spans="1:14" x14ac:dyDescent="0.45">
      <c r="A437" s="3">
        <v>42993</v>
      </c>
      <c r="B437">
        <v>13.895</v>
      </c>
      <c r="C437">
        <v>-1.7959770114942541E-3</v>
      </c>
      <c r="D437">
        <v>5213.91</v>
      </c>
      <c r="E437">
        <v>-2.1606828446757431E-3</v>
      </c>
      <c r="F437">
        <v>186.23599999999999</v>
      </c>
      <c r="G437">
        <f t="shared" si="12"/>
        <v>1.6296526987265025E-3</v>
      </c>
      <c r="H437">
        <v>4.2718699999999997E-3</v>
      </c>
      <c r="I437">
        <f t="shared" si="13"/>
        <v>1.6910000000000189E-5</v>
      </c>
      <c r="J437" s="6">
        <v>1</v>
      </c>
      <c r="K437">
        <v>1</v>
      </c>
      <c r="L437" t="b">
        <f>$K$437*$C$437&gt;0</f>
        <v>0</v>
      </c>
      <c r="N437" s="3"/>
    </row>
    <row r="438" spans="1:14" x14ac:dyDescent="0.45">
      <c r="A438" s="3">
        <v>42996</v>
      </c>
      <c r="B438">
        <v>14.01</v>
      </c>
      <c r="C438">
        <v>8.2763584023028969E-3</v>
      </c>
      <c r="D438">
        <v>5229.32</v>
      </c>
      <c r="E438">
        <v>2.9555554276923246E-3</v>
      </c>
      <c r="F438">
        <v>185.6885</v>
      </c>
      <c r="G438">
        <f t="shared" si="12"/>
        <v>2.9484863090605273E-3</v>
      </c>
      <c r="H438">
        <v>4.2340700000000004E-3</v>
      </c>
      <c r="I438">
        <f t="shared" si="13"/>
        <v>3.7799999999999292E-5</v>
      </c>
      <c r="J438" s="6">
        <v>1</v>
      </c>
      <c r="K438">
        <v>1</v>
      </c>
      <c r="L438" t="b">
        <f>$K$438*$C$438&gt;0</f>
        <v>1</v>
      </c>
      <c r="N438" s="3"/>
    </row>
    <row r="439" spans="1:14" x14ac:dyDescent="0.45">
      <c r="A439" s="3">
        <v>42997</v>
      </c>
      <c r="B439">
        <v>14.085000000000001</v>
      </c>
      <c r="C439">
        <v>5.3533190578158862E-3</v>
      </c>
      <c r="D439">
        <v>5237.4399999999996</v>
      </c>
      <c r="E439">
        <v>1.552783153450088E-3</v>
      </c>
      <c r="F439">
        <v>185.80549999999999</v>
      </c>
      <c r="G439">
        <f t="shared" si="12"/>
        <v>-6.2969072497853773E-4</v>
      </c>
      <c r="H439">
        <v>4.2057500000000003E-3</v>
      </c>
      <c r="I439">
        <f t="shared" si="13"/>
        <v>2.8320000000000081E-5</v>
      </c>
      <c r="J439" s="6">
        <v>1</v>
      </c>
      <c r="K439">
        <v>1</v>
      </c>
      <c r="L439" t="b">
        <f>$K$439*$C$439&gt;0</f>
        <v>1</v>
      </c>
      <c r="N439" s="3"/>
    </row>
    <row r="440" spans="1:14" x14ac:dyDescent="0.45">
      <c r="A440" s="3">
        <v>42998</v>
      </c>
      <c r="B440">
        <v>14.085000000000001</v>
      </c>
      <c r="C440">
        <v>0</v>
      </c>
      <c r="D440">
        <v>5241.66</v>
      </c>
      <c r="E440">
        <v>8.0573715402953994E-4</v>
      </c>
      <c r="F440">
        <v>186.1035</v>
      </c>
      <c r="G440">
        <f t="shared" si="12"/>
        <v>-1.6012595141950969E-3</v>
      </c>
      <c r="H440">
        <v>4.6312999999999997E-3</v>
      </c>
      <c r="I440">
        <f t="shared" si="13"/>
        <v>-4.2554999999999937E-4</v>
      </c>
      <c r="J440" s="6">
        <v>1</v>
      </c>
      <c r="K440">
        <v>1</v>
      </c>
      <c r="L440" t="b">
        <f>$K$440*$C$440&gt;0</f>
        <v>0</v>
      </c>
      <c r="N440" s="3"/>
    </row>
    <row r="441" spans="1:14" x14ac:dyDescent="0.45">
      <c r="A441" s="3">
        <v>42999</v>
      </c>
      <c r="B441">
        <v>13.77</v>
      </c>
      <c r="C441">
        <v>-2.2364217252396235E-2</v>
      </c>
      <c r="D441">
        <v>5267.29</v>
      </c>
      <c r="E441">
        <v>4.8896723557041444E-3</v>
      </c>
      <c r="F441">
        <v>185.79050000000001</v>
      </c>
      <c r="G441">
        <f t="shared" si="12"/>
        <v>1.6846932431959782E-3</v>
      </c>
      <c r="H441">
        <v>4.6648000000000002E-3</v>
      </c>
      <c r="I441">
        <f t="shared" si="13"/>
        <v>-3.3500000000000543E-5</v>
      </c>
      <c r="J441" s="6">
        <v>1</v>
      </c>
      <c r="K441">
        <v>1</v>
      </c>
      <c r="L441" t="b">
        <f>$K$441*$C$441&gt;0</f>
        <v>0</v>
      </c>
      <c r="N441" s="3"/>
    </row>
    <row r="442" spans="1:14" x14ac:dyDescent="0.45">
      <c r="A442" s="3">
        <v>43000</v>
      </c>
      <c r="B442">
        <v>13.78</v>
      </c>
      <c r="C442">
        <v>7.2621641249082103E-4</v>
      </c>
      <c r="D442">
        <v>5281.29</v>
      </c>
      <c r="E442">
        <v>2.6579132722899246E-3</v>
      </c>
      <c r="F442">
        <v>185.93700000000001</v>
      </c>
      <c r="G442">
        <f t="shared" si="12"/>
        <v>-7.87901278390013E-4</v>
      </c>
      <c r="H442">
        <v>4.76093E-3</v>
      </c>
      <c r="I442">
        <f t="shared" si="13"/>
        <v>-9.6129999999999827E-5</v>
      </c>
      <c r="J442" s="6">
        <v>1</v>
      </c>
      <c r="K442">
        <v>1</v>
      </c>
      <c r="L442" t="b">
        <f>$K$442*$C$442&gt;0</f>
        <v>1</v>
      </c>
      <c r="N442" s="3"/>
    </row>
    <row r="443" spans="1:14" x14ac:dyDescent="0.45">
      <c r="A443" s="3">
        <v>43003</v>
      </c>
      <c r="B443">
        <v>13.824999999999999</v>
      </c>
      <c r="C443">
        <v>3.2656023222061847E-3</v>
      </c>
      <c r="D443">
        <v>5267.13</v>
      </c>
      <c r="E443">
        <v>-2.6811631249182843E-3</v>
      </c>
      <c r="F443">
        <v>186.5855</v>
      </c>
      <c r="G443">
        <f t="shared" si="12"/>
        <v>-3.475618416222015E-3</v>
      </c>
      <c r="H443">
        <v>4.7871700000000003E-3</v>
      </c>
      <c r="I443">
        <f t="shared" si="13"/>
        <v>-2.6240000000000291E-5</v>
      </c>
      <c r="J443" s="6">
        <v>1</v>
      </c>
      <c r="K443">
        <v>1</v>
      </c>
      <c r="L443" t="b">
        <f>$K$443*$C$443&gt;0</f>
        <v>1</v>
      </c>
      <c r="N443" s="3"/>
    </row>
    <row r="444" spans="1:14" x14ac:dyDescent="0.45">
      <c r="A444" s="3">
        <v>43004</v>
      </c>
      <c r="B444">
        <v>13.84</v>
      </c>
      <c r="C444">
        <v>1.0849909584087492E-3</v>
      </c>
      <c r="D444">
        <v>5268.76</v>
      </c>
      <c r="E444">
        <v>3.094664456735341E-4</v>
      </c>
      <c r="F444">
        <v>186.46850000000001</v>
      </c>
      <c r="G444">
        <f t="shared" si="12"/>
        <v>6.2745182162138313E-4</v>
      </c>
      <c r="H444">
        <v>4.8265199999999999E-3</v>
      </c>
      <c r="I444">
        <f t="shared" si="13"/>
        <v>-3.9349999999999628E-5</v>
      </c>
      <c r="J444" s="6">
        <v>1</v>
      </c>
      <c r="K444">
        <v>1</v>
      </c>
      <c r="L444" t="b">
        <f>$K$444*$C$444&gt;0</f>
        <v>1</v>
      </c>
      <c r="N444" s="3"/>
    </row>
    <row r="445" spans="1:14" x14ac:dyDescent="0.45">
      <c r="A445" s="3">
        <v>43005</v>
      </c>
      <c r="B445">
        <v>13.89</v>
      </c>
      <c r="C445">
        <v>3.6127167630057855E-3</v>
      </c>
      <c r="D445">
        <v>5281.96</v>
      </c>
      <c r="E445">
        <v>2.5053333232107899E-3</v>
      </c>
      <c r="F445">
        <v>185.393</v>
      </c>
      <c r="G445">
        <f t="shared" si="12"/>
        <v>5.8011899046890303E-3</v>
      </c>
      <c r="H445">
        <v>4.80928E-3</v>
      </c>
      <c r="I445">
        <f t="shared" si="13"/>
        <v>1.7239999999999964E-5</v>
      </c>
      <c r="J445" s="6">
        <v>1</v>
      </c>
      <c r="K445">
        <v>1</v>
      </c>
      <c r="L445" t="b">
        <f>$K$445*$C$445&gt;0</f>
        <v>1</v>
      </c>
      <c r="N445" s="3"/>
    </row>
    <row r="446" spans="1:14" x14ac:dyDescent="0.45">
      <c r="A446" s="3">
        <v>43006</v>
      </c>
      <c r="B446">
        <v>13.82</v>
      </c>
      <c r="C446">
        <v>-5.0395968322534124E-3</v>
      </c>
      <c r="D446">
        <v>5293.77</v>
      </c>
      <c r="E446">
        <v>2.2359124264479391E-3</v>
      </c>
      <c r="F446">
        <v>185.2045</v>
      </c>
      <c r="G446">
        <f t="shared" si="12"/>
        <v>1.0177938441020551E-3</v>
      </c>
      <c r="H446">
        <v>4.8197500000000002E-3</v>
      </c>
      <c r="I446">
        <f t="shared" si="13"/>
        <v>-1.0470000000000271E-5</v>
      </c>
      <c r="J446" s="6">
        <v>1</v>
      </c>
      <c r="K446">
        <v>1</v>
      </c>
      <c r="L446" t="b">
        <f>$K$446*$C$446&gt;0</f>
        <v>0</v>
      </c>
      <c r="N446" s="3"/>
    </row>
    <row r="447" spans="1:14" x14ac:dyDescent="0.45">
      <c r="A447" s="3">
        <v>43007</v>
      </c>
      <c r="B447">
        <v>13.86</v>
      </c>
      <c r="C447">
        <v>2.8943560057885787E-3</v>
      </c>
      <c r="D447">
        <v>5329.81</v>
      </c>
      <c r="E447">
        <v>6.8080026143939598E-3</v>
      </c>
      <c r="F447">
        <v>185.70400000000001</v>
      </c>
      <c r="G447">
        <f t="shared" si="12"/>
        <v>-2.6897643561797357E-3</v>
      </c>
      <c r="H447">
        <v>4.8294399999999999E-3</v>
      </c>
      <c r="I447">
        <f t="shared" si="13"/>
        <v>-9.6899999999996989E-6</v>
      </c>
      <c r="J447" s="6">
        <v>1</v>
      </c>
      <c r="K447">
        <v>1</v>
      </c>
      <c r="L447" t="b">
        <f>$K$447*$C$447&gt;0</f>
        <v>1</v>
      </c>
      <c r="N447" s="3"/>
    </row>
    <row r="448" spans="1:14" x14ac:dyDescent="0.45">
      <c r="A448" s="3">
        <v>43010</v>
      </c>
      <c r="B448">
        <v>13.775</v>
      </c>
      <c r="C448">
        <v>-6.1327561327561009E-3</v>
      </c>
      <c r="D448">
        <v>5350.44</v>
      </c>
      <c r="E448">
        <v>3.8706820693419353E-3</v>
      </c>
      <c r="F448">
        <v>186.04599999999999</v>
      </c>
      <c r="G448">
        <f t="shared" si="12"/>
        <v>-1.8382550552012988E-3</v>
      </c>
      <c r="H448">
        <v>4.7995199999999998E-3</v>
      </c>
      <c r="I448">
        <f t="shared" si="13"/>
        <v>2.992000000000012E-5</v>
      </c>
      <c r="J448" s="6">
        <v>1</v>
      </c>
      <c r="K448">
        <v>1</v>
      </c>
      <c r="L448" t="b">
        <f>$K$448*$C$448&gt;0</f>
        <v>0</v>
      </c>
      <c r="N448" s="3"/>
    </row>
    <row r="449" spans="1:14" x14ac:dyDescent="0.45">
      <c r="A449" s="3">
        <v>43011</v>
      </c>
      <c r="B449">
        <v>13.81</v>
      </c>
      <c r="C449">
        <v>2.5408348457349739E-3</v>
      </c>
      <c r="D449">
        <v>5367.41</v>
      </c>
      <c r="E449">
        <v>3.1717017665837677E-3</v>
      </c>
      <c r="F449">
        <v>185.83699999999999</v>
      </c>
      <c r="G449">
        <f t="shared" si="12"/>
        <v>1.1246414868943955E-3</v>
      </c>
      <c r="H449">
        <v>4.7615299999999999E-3</v>
      </c>
      <c r="I449">
        <f t="shared" si="13"/>
        <v>3.7989999999999899E-5</v>
      </c>
      <c r="J449" s="6">
        <v>1</v>
      </c>
      <c r="K449">
        <v>1</v>
      </c>
      <c r="L449" t="b">
        <f>$K$449*$C$449&gt;0</f>
        <v>1</v>
      </c>
      <c r="N449" s="3"/>
    </row>
    <row r="450" spans="1:14" x14ac:dyDescent="0.45">
      <c r="A450" s="3">
        <v>43013</v>
      </c>
      <c r="B450">
        <v>13.81</v>
      </c>
      <c r="C450">
        <v>0</v>
      </c>
      <c r="D450">
        <v>5379.21</v>
      </c>
      <c r="E450">
        <v>2.1984532577166149E-3</v>
      </c>
      <c r="F450">
        <v>185.89400000000001</v>
      </c>
      <c r="G450">
        <f t="shared" si="12"/>
        <v>-3.0662635695621887E-4</v>
      </c>
      <c r="H450">
        <v>4.7836299999999997E-3</v>
      </c>
      <c r="I450">
        <f t="shared" si="13"/>
        <v>-2.2099999999999724E-5</v>
      </c>
      <c r="J450" s="6">
        <v>1</v>
      </c>
      <c r="K450">
        <v>1</v>
      </c>
      <c r="L450" t="b">
        <f>$K$450*$C$450&gt;0</f>
        <v>0</v>
      </c>
      <c r="N450" s="3"/>
    </row>
    <row r="451" spans="1:14" x14ac:dyDescent="0.45">
      <c r="A451" s="3">
        <v>43014</v>
      </c>
      <c r="B451">
        <v>13.835000000000001</v>
      </c>
      <c r="C451">
        <v>1.8102824040551191E-3</v>
      </c>
      <c r="D451">
        <v>5359.9</v>
      </c>
      <c r="E451">
        <v>-3.5897464497575138E-3</v>
      </c>
      <c r="F451">
        <v>185.82249999999999</v>
      </c>
      <c r="G451">
        <f t="shared" si="12"/>
        <v>3.8477579410467477E-4</v>
      </c>
      <c r="H451">
        <v>4.7881800000000004E-3</v>
      </c>
      <c r="I451">
        <f t="shared" si="13"/>
        <v>-4.550000000000734E-6</v>
      </c>
      <c r="J451" s="6">
        <v>1</v>
      </c>
      <c r="K451">
        <v>1</v>
      </c>
      <c r="L451" t="b">
        <f>$K$451*$C$451&gt;0</f>
        <v>1</v>
      </c>
      <c r="N451" s="3"/>
    </row>
    <row r="452" spans="1:14" x14ac:dyDescent="0.45">
      <c r="A452" s="3">
        <v>43017</v>
      </c>
      <c r="B452">
        <v>13.79</v>
      </c>
      <c r="C452">
        <v>-3.2526201662451681E-3</v>
      </c>
      <c r="D452">
        <v>5365.83</v>
      </c>
      <c r="E452">
        <v>1.1063639247002044E-3</v>
      </c>
      <c r="F452">
        <v>186.21799999999999</v>
      </c>
      <c r="G452">
        <f t="shared" ref="G452:G515" si="14">F451/F452-1</f>
        <v>-2.1238548368042176E-3</v>
      </c>
      <c r="H452">
        <v>4.8059699999999997E-3</v>
      </c>
      <c r="I452">
        <f t="shared" ref="I452:I515" si="15">H451-H452</f>
        <v>-1.7789999999999299E-5</v>
      </c>
      <c r="J452" s="6">
        <v>1</v>
      </c>
      <c r="K452">
        <v>1</v>
      </c>
      <c r="L452" t="b">
        <f>$K$452*$C$452&gt;0</f>
        <v>0</v>
      </c>
      <c r="N452" s="3"/>
    </row>
    <row r="453" spans="1:14" x14ac:dyDescent="0.45">
      <c r="A453" s="3">
        <v>43018</v>
      </c>
      <c r="B453">
        <v>13.83</v>
      </c>
      <c r="C453">
        <v>2.9006526468455807E-3</v>
      </c>
      <c r="D453">
        <v>5363.65</v>
      </c>
      <c r="E453">
        <v>-4.0627451857411234E-4</v>
      </c>
      <c r="F453">
        <v>186.29499999999999</v>
      </c>
      <c r="G453">
        <f t="shared" si="14"/>
        <v>-4.1332295552753973E-4</v>
      </c>
      <c r="H453">
        <v>4.8328599999999996E-3</v>
      </c>
      <c r="I453">
        <f t="shared" si="15"/>
        <v>-2.68899999999999E-5</v>
      </c>
      <c r="J453" s="6">
        <v>1</v>
      </c>
      <c r="K453">
        <v>1</v>
      </c>
      <c r="L453" t="b">
        <f>$K$453*$C$453&gt;0</f>
        <v>1</v>
      </c>
      <c r="N453" s="3"/>
    </row>
    <row r="454" spans="1:14" x14ac:dyDescent="0.45">
      <c r="A454" s="3">
        <v>43019</v>
      </c>
      <c r="B454">
        <v>13.92</v>
      </c>
      <c r="C454">
        <v>6.5075921908892553E-3</v>
      </c>
      <c r="D454">
        <v>5362.41</v>
      </c>
      <c r="E454">
        <v>-2.3118585291725946E-4</v>
      </c>
      <c r="F454">
        <v>185.80950000000001</v>
      </c>
      <c r="G454">
        <f t="shared" si="14"/>
        <v>2.6128911600320492E-3</v>
      </c>
      <c r="H454">
        <v>4.83834E-3</v>
      </c>
      <c r="I454">
        <f t="shared" si="15"/>
        <v>-5.4800000000004151E-6</v>
      </c>
      <c r="J454" s="6">
        <v>1</v>
      </c>
      <c r="K454">
        <v>1</v>
      </c>
      <c r="L454" t="b">
        <f>$K$454*$C$454&gt;0</f>
        <v>1</v>
      </c>
      <c r="N454" s="3"/>
    </row>
    <row r="455" spans="1:14" x14ac:dyDescent="0.45">
      <c r="A455" s="3">
        <v>43020</v>
      </c>
      <c r="B455">
        <v>13.83</v>
      </c>
      <c r="C455">
        <v>-6.4655172413793371E-3</v>
      </c>
      <c r="D455">
        <v>5360.81</v>
      </c>
      <c r="E455">
        <v>-2.9837330603210699E-4</v>
      </c>
      <c r="F455">
        <v>186.041</v>
      </c>
      <c r="G455">
        <f t="shared" si="14"/>
        <v>-1.2443493638497616E-3</v>
      </c>
      <c r="H455">
        <v>4.8420599999999996E-3</v>
      </c>
      <c r="I455">
        <f t="shared" si="15"/>
        <v>-3.7199999999995917E-6</v>
      </c>
      <c r="J455" s="6">
        <v>1</v>
      </c>
      <c r="K455">
        <v>1</v>
      </c>
      <c r="L455" t="b">
        <f>$K$455*$C$455&gt;0</f>
        <v>0</v>
      </c>
      <c r="N455" s="3"/>
    </row>
    <row r="456" spans="1:14" x14ac:dyDescent="0.45">
      <c r="A456" s="3">
        <v>43021</v>
      </c>
      <c r="B456">
        <v>13.83</v>
      </c>
      <c r="C456">
        <v>0</v>
      </c>
      <c r="D456">
        <v>5351.74</v>
      </c>
      <c r="E456">
        <v>-1.6919084989023281E-3</v>
      </c>
      <c r="F456">
        <v>186.71549999999999</v>
      </c>
      <c r="G456">
        <f t="shared" si="14"/>
        <v>-3.6124478149912598E-3</v>
      </c>
      <c r="H456">
        <v>4.8138E-3</v>
      </c>
      <c r="I456">
        <f t="shared" si="15"/>
        <v>2.825999999999957E-5</v>
      </c>
      <c r="J456" s="6">
        <v>1</v>
      </c>
      <c r="K456">
        <v>1</v>
      </c>
      <c r="L456" t="b">
        <f>$K$456*$C$456&gt;0</f>
        <v>0</v>
      </c>
      <c r="N456" s="3"/>
    </row>
    <row r="457" spans="1:14" x14ac:dyDescent="0.45">
      <c r="A457" s="3">
        <v>43024</v>
      </c>
      <c r="B457">
        <v>13.9</v>
      </c>
      <c r="C457">
        <v>5.0614605929140133E-3</v>
      </c>
      <c r="D457">
        <v>5362.88</v>
      </c>
      <c r="E457">
        <v>2.0815659953585808E-3</v>
      </c>
      <c r="F457">
        <v>187.3535</v>
      </c>
      <c r="G457">
        <f t="shared" si="14"/>
        <v>-3.4053273624459202E-3</v>
      </c>
      <c r="H457">
        <v>4.8321800000000002E-3</v>
      </c>
      <c r="I457">
        <f t="shared" si="15"/>
        <v>-1.8380000000000132E-5</v>
      </c>
      <c r="J457" s="6">
        <v>1</v>
      </c>
      <c r="K457">
        <v>1</v>
      </c>
      <c r="L457" t="b">
        <f>$K$457*$C$457&gt;0</f>
        <v>1</v>
      </c>
      <c r="N457" s="3"/>
    </row>
    <row r="458" spans="1:14" x14ac:dyDescent="0.45">
      <c r="A458" s="3">
        <v>43025</v>
      </c>
      <c r="B458">
        <v>13.865</v>
      </c>
      <c r="C458">
        <v>-2.5179856115108423E-3</v>
      </c>
      <c r="D458">
        <v>5361.37</v>
      </c>
      <c r="E458">
        <v>-2.8156512918431353E-4</v>
      </c>
      <c r="F458">
        <v>187.5095</v>
      </c>
      <c r="G458">
        <f t="shared" si="14"/>
        <v>-8.319578474691447E-4</v>
      </c>
      <c r="H458">
        <v>4.7914400000000001E-3</v>
      </c>
      <c r="I458">
        <f t="shared" si="15"/>
        <v>4.0740000000000047E-5</v>
      </c>
      <c r="J458" s="6">
        <v>1</v>
      </c>
      <c r="K458">
        <v>1</v>
      </c>
      <c r="L458" t="b">
        <f>$K$458*$C$458&gt;0</f>
        <v>0</v>
      </c>
      <c r="N458" s="3"/>
    </row>
    <row r="459" spans="1:14" x14ac:dyDescent="0.45">
      <c r="A459" s="3">
        <v>43027</v>
      </c>
      <c r="B459">
        <v>13.65</v>
      </c>
      <c r="C459">
        <v>-1.5506671474936895E-2</v>
      </c>
      <c r="D459">
        <v>5368.29</v>
      </c>
      <c r="E459">
        <v>1.2907148732506091E-3</v>
      </c>
      <c r="F459">
        <v>187.08</v>
      </c>
      <c r="G459">
        <f t="shared" si="14"/>
        <v>2.2958092794524987E-3</v>
      </c>
      <c r="H459">
        <v>4.7754299999999998E-3</v>
      </c>
      <c r="I459">
        <f t="shared" si="15"/>
        <v>1.601000000000033E-5</v>
      </c>
      <c r="J459" s="6">
        <v>1</v>
      </c>
      <c r="K459">
        <v>1</v>
      </c>
      <c r="L459" t="b">
        <f>$K$459*$C$459&gt;0</f>
        <v>0</v>
      </c>
      <c r="N459" s="3"/>
    </row>
    <row r="460" spans="1:14" x14ac:dyDescent="0.45">
      <c r="A460" s="3">
        <v>43028</v>
      </c>
      <c r="B460">
        <v>13.65</v>
      </c>
      <c r="C460">
        <v>0</v>
      </c>
      <c r="D460">
        <v>5372.38</v>
      </c>
      <c r="E460">
        <v>7.6188134396626417E-4</v>
      </c>
      <c r="F460">
        <v>185.834</v>
      </c>
      <c r="G460">
        <f t="shared" si="14"/>
        <v>6.7049086819419568E-3</v>
      </c>
      <c r="H460">
        <v>4.75129E-3</v>
      </c>
      <c r="I460">
        <f t="shared" si="15"/>
        <v>2.4139999999999752E-5</v>
      </c>
      <c r="J460" s="6">
        <v>1</v>
      </c>
      <c r="K460">
        <v>1</v>
      </c>
      <c r="L460" t="b">
        <f>$K$460*$C$460&gt;0</f>
        <v>0</v>
      </c>
      <c r="N460" s="3"/>
    </row>
    <row r="461" spans="1:14" x14ac:dyDescent="0.45">
      <c r="A461" s="3">
        <v>43031</v>
      </c>
      <c r="B461">
        <v>13.654999999999999</v>
      </c>
      <c r="C461">
        <v>3.66300366300365E-4</v>
      </c>
      <c r="D461">
        <v>5386.81</v>
      </c>
      <c r="E461">
        <v>2.6859604123312675E-3</v>
      </c>
      <c r="F461">
        <v>186.41</v>
      </c>
      <c r="G461">
        <f t="shared" si="14"/>
        <v>-3.0899629848183396E-3</v>
      </c>
      <c r="H461">
        <v>4.7351700000000004E-3</v>
      </c>
      <c r="I461">
        <f t="shared" si="15"/>
        <v>1.6119999999999676E-5</v>
      </c>
      <c r="J461" s="6">
        <v>1</v>
      </c>
      <c r="K461">
        <v>1</v>
      </c>
      <c r="L461" t="b">
        <f>$K$461*$C$461&gt;0</f>
        <v>1</v>
      </c>
      <c r="N461" s="3"/>
    </row>
    <row r="462" spans="1:14" x14ac:dyDescent="0.45">
      <c r="A462" s="3">
        <v>43032</v>
      </c>
      <c r="B462">
        <v>13.654999999999999</v>
      </c>
      <c r="C462">
        <v>0</v>
      </c>
      <c r="D462">
        <v>5394.8</v>
      </c>
      <c r="E462">
        <v>1.4832526114714195E-3</v>
      </c>
      <c r="F462">
        <v>185.56049999999999</v>
      </c>
      <c r="G462">
        <f t="shared" si="14"/>
        <v>4.5780217233732934E-3</v>
      </c>
      <c r="H462">
        <v>4.7160199999999996E-3</v>
      </c>
      <c r="I462">
        <f t="shared" si="15"/>
        <v>1.9150000000000764E-5</v>
      </c>
      <c r="J462" s="6">
        <v>1</v>
      </c>
      <c r="K462">
        <v>1</v>
      </c>
      <c r="L462" t="b">
        <f>$K$462*$C$462&gt;0</f>
        <v>0</v>
      </c>
      <c r="N462" s="3"/>
    </row>
    <row r="463" spans="1:14" x14ac:dyDescent="0.45">
      <c r="A463" s="3">
        <v>43033</v>
      </c>
      <c r="B463">
        <v>13.565</v>
      </c>
      <c r="C463">
        <v>-6.5909923105089696E-3</v>
      </c>
      <c r="D463">
        <v>5374.89</v>
      </c>
      <c r="E463">
        <v>-3.690590939423144E-3</v>
      </c>
      <c r="F463">
        <v>185.423</v>
      </c>
      <c r="G463">
        <f t="shared" si="14"/>
        <v>7.4154770443790596E-4</v>
      </c>
      <c r="H463">
        <v>4.7324000000000003E-3</v>
      </c>
      <c r="I463">
        <f t="shared" si="15"/>
        <v>-1.6380000000000734E-5</v>
      </c>
      <c r="J463" s="6">
        <v>1</v>
      </c>
      <c r="K463">
        <v>1</v>
      </c>
      <c r="L463" t="b">
        <f>$K$463*$C$463&gt;0</f>
        <v>0</v>
      </c>
      <c r="N463" s="3"/>
    </row>
    <row r="464" spans="1:14" x14ac:dyDescent="0.45">
      <c r="A464" s="3">
        <v>43034</v>
      </c>
      <c r="B464">
        <v>13.74</v>
      </c>
      <c r="C464">
        <v>1.2900847769996338E-2</v>
      </c>
      <c r="D464">
        <v>5455.4</v>
      </c>
      <c r="E464">
        <v>1.4978911196322109E-2</v>
      </c>
      <c r="F464">
        <v>186.5515</v>
      </c>
      <c r="G464">
        <f t="shared" si="14"/>
        <v>-6.0492678965325952E-3</v>
      </c>
      <c r="H464">
        <v>4.6705599999999998E-3</v>
      </c>
      <c r="I464">
        <f t="shared" si="15"/>
        <v>6.1840000000000506E-5</v>
      </c>
      <c r="J464" s="6">
        <v>1</v>
      </c>
      <c r="K464">
        <v>1</v>
      </c>
      <c r="L464" t="b">
        <f>$K$464*$C$464&gt;0</f>
        <v>1</v>
      </c>
      <c r="N464" s="3"/>
    </row>
    <row r="465" spans="1:14" x14ac:dyDescent="0.45">
      <c r="A465" s="3">
        <v>43035</v>
      </c>
      <c r="B465">
        <v>13.95</v>
      </c>
      <c r="C465">
        <v>1.5283842794759694E-2</v>
      </c>
      <c r="D465">
        <v>5494.13</v>
      </c>
      <c r="E465">
        <v>7.0993877625840085E-3</v>
      </c>
      <c r="F465">
        <v>187.339</v>
      </c>
      <c r="G465">
        <f t="shared" si="14"/>
        <v>-4.2036094993567197E-3</v>
      </c>
      <c r="H465">
        <v>4.5844900000000001E-3</v>
      </c>
      <c r="I465">
        <f t="shared" si="15"/>
        <v>8.6069999999999723E-5</v>
      </c>
      <c r="J465" s="6">
        <v>1</v>
      </c>
      <c r="K465">
        <v>1</v>
      </c>
      <c r="L465" t="b">
        <f>$K$465*$C$465&gt;0</f>
        <v>1</v>
      </c>
      <c r="N465" s="3"/>
    </row>
    <row r="466" spans="1:14" x14ac:dyDescent="0.45">
      <c r="A466" s="3">
        <v>43039</v>
      </c>
      <c r="B466">
        <v>14.085000000000001</v>
      </c>
      <c r="C466">
        <v>9.6774193548387899E-3</v>
      </c>
      <c r="D466">
        <v>5503.29</v>
      </c>
      <c r="E466">
        <v>1.6672339387673318E-3</v>
      </c>
      <c r="F466">
        <v>188.642</v>
      </c>
      <c r="G466">
        <f t="shared" si="14"/>
        <v>-6.9072634938136535E-3</v>
      </c>
      <c r="H466">
        <v>4.4553800000000001E-3</v>
      </c>
      <c r="I466">
        <f t="shared" si="15"/>
        <v>1.2910999999999999E-4</v>
      </c>
      <c r="J466" s="6">
        <v>1</v>
      </c>
      <c r="K466">
        <v>1</v>
      </c>
      <c r="L466" t="b">
        <f>$K$466*$C$466&gt;0</f>
        <v>1</v>
      </c>
      <c r="N466" s="3"/>
    </row>
    <row r="467" spans="1:14" x14ac:dyDescent="0.45">
      <c r="A467" s="3">
        <v>43040</v>
      </c>
      <c r="B467">
        <v>14.185</v>
      </c>
      <c r="C467">
        <v>7.0997515086972385E-3</v>
      </c>
      <c r="D467">
        <v>5514.29</v>
      </c>
      <c r="E467">
        <v>1.9988043515788423E-3</v>
      </c>
      <c r="F467">
        <v>188.7775</v>
      </c>
      <c r="G467">
        <f t="shared" si="14"/>
        <v>-7.1777621803448266E-4</v>
      </c>
      <c r="H467">
        <v>4.4048500000000001E-3</v>
      </c>
      <c r="I467">
        <f t="shared" si="15"/>
        <v>5.0530000000000019E-5</v>
      </c>
      <c r="J467" s="6">
        <v>1</v>
      </c>
      <c r="K467">
        <v>1</v>
      </c>
      <c r="L467" t="b">
        <f>$K$467*$C$467&gt;0</f>
        <v>1</v>
      </c>
      <c r="N467" s="3"/>
    </row>
    <row r="468" spans="1:14" x14ac:dyDescent="0.45">
      <c r="A468" s="3">
        <v>43041</v>
      </c>
      <c r="B468">
        <v>14.29</v>
      </c>
      <c r="C468">
        <v>7.4021854071200099E-3</v>
      </c>
      <c r="D468">
        <v>5510.5</v>
      </c>
      <c r="E468">
        <v>-6.8730516530690622E-4</v>
      </c>
      <c r="F468">
        <v>188.85149999999999</v>
      </c>
      <c r="G468">
        <f t="shared" si="14"/>
        <v>-3.9184226760169416E-4</v>
      </c>
      <c r="H468">
        <v>4.40954E-3</v>
      </c>
      <c r="I468">
        <f t="shared" si="15"/>
        <v>-4.6899999999999026E-6</v>
      </c>
      <c r="J468" s="6">
        <v>1</v>
      </c>
      <c r="K468">
        <v>1</v>
      </c>
      <c r="L468" t="b">
        <f>$K$468*$C$468&gt;0</f>
        <v>1</v>
      </c>
      <c r="N468" s="3"/>
    </row>
    <row r="469" spans="1:14" x14ac:dyDescent="0.45">
      <c r="A469" s="3">
        <v>43042</v>
      </c>
      <c r="B469">
        <v>14.29</v>
      </c>
      <c r="C469">
        <v>0</v>
      </c>
      <c r="D469">
        <v>5517.97</v>
      </c>
      <c r="E469">
        <v>1.355593866255278E-3</v>
      </c>
      <c r="F469">
        <v>189.07599999999999</v>
      </c>
      <c r="G469">
        <f t="shared" si="14"/>
        <v>-1.1873532336204029E-3</v>
      </c>
      <c r="H469">
        <v>4.4123499999999998E-3</v>
      </c>
      <c r="I469">
        <f t="shared" si="15"/>
        <v>-2.8099999999997918E-6</v>
      </c>
      <c r="J469" s="6">
        <v>1</v>
      </c>
      <c r="K469">
        <v>1</v>
      </c>
      <c r="L469" t="b">
        <f>$K$469*$C$469&gt;0</f>
        <v>0</v>
      </c>
      <c r="N469" s="3"/>
    </row>
    <row r="470" spans="1:14" x14ac:dyDescent="0.45">
      <c r="A470" s="3">
        <v>43045</v>
      </c>
      <c r="B470">
        <v>14.27</v>
      </c>
      <c r="C470">
        <v>-1.3995801259621965E-3</v>
      </c>
      <c r="D470">
        <v>5507.25</v>
      </c>
      <c r="E470">
        <v>-1.9427434364449603E-3</v>
      </c>
      <c r="F470">
        <v>189.62950000000001</v>
      </c>
      <c r="G470">
        <f t="shared" si="14"/>
        <v>-2.9188496515574203E-3</v>
      </c>
      <c r="H470">
        <v>4.4148800000000004E-3</v>
      </c>
      <c r="I470">
        <f t="shared" si="15"/>
        <v>-2.5300000000005873E-6</v>
      </c>
      <c r="J470" s="6">
        <v>1</v>
      </c>
      <c r="K470">
        <v>1</v>
      </c>
      <c r="L470" t="b">
        <f>$K$470*$C$470&gt;0</f>
        <v>0</v>
      </c>
      <c r="N470" s="3"/>
    </row>
    <row r="471" spans="1:14" x14ac:dyDescent="0.45">
      <c r="A471" s="3">
        <v>43046</v>
      </c>
      <c r="B471">
        <v>14.25</v>
      </c>
      <c r="C471">
        <v>-1.4015416958653715E-3</v>
      </c>
      <c r="D471">
        <v>5480.64</v>
      </c>
      <c r="E471">
        <v>-4.8318126106495773E-3</v>
      </c>
      <c r="F471">
        <v>189.815</v>
      </c>
      <c r="G471">
        <f t="shared" si="14"/>
        <v>-9.7726733925129761E-4</v>
      </c>
      <c r="H471">
        <v>4.3985999999999999E-3</v>
      </c>
      <c r="I471">
        <f t="shared" si="15"/>
        <v>1.6280000000000461E-5</v>
      </c>
      <c r="J471" s="6">
        <v>1</v>
      </c>
      <c r="K471">
        <v>1</v>
      </c>
      <c r="L471" t="b">
        <f>$K$471*$C$471&gt;0</f>
        <v>0</v>
      </c>
      <c r="N471" s="3"/>
    </row>
    <row r="472" spans="1:14" x14ac:dyDescent="0.45">
      <c r="A472" s="3">
        <v>43047</v>
      </c>
      <c r="B472">
        <v>14.335000000000001</v>
      </c>
      <c r="C472">
        <v>5.9649122807017285E-3</v>
      </c>
      <c r="D472">
        <v>5471.43</v>
      </c>
      <c r="E472">
        <v>-1.6804606761253726E-3</v>
      </c>
      <c r="F472">
        <v>189.63849999999999</v>
      </c>
      <c r="G472">
        <f t="shared" si="14"/>
        <v>9.3071818222578706E-4</v>
      </c>
      <c r="H472">
        <v>4.5340299999999997E-3</v>
      </c>
      <c r="I472">
        <f t="shared" si="15"/>
        <v>-1.3542999999999975E-4</v>
      </c>
      <c r="J472" s="6">
        <v>1</v>
      </c>
      <c r="K472">
        <v>1</v>
      </c>
      <c r="L472" t="b">
        <f>$K$472*$C$472&gt;0</f>
        <v>1</v>
      </c>
      <c r="N472" s="3"/>
    </row>
    <row r="473" spans="1:14" x14ac:dyDescent="0.45">
      <c r="A473" s="3">
        <v>43048</v>
      </c>
      <c r="B473">
        <v>14.295</v>
      </c>
      <c r="C473">
        <v>-2.7903732124172631E-3</v>
      </c>
      <c r="D473">
        <v>5407.75</v>
      </c>
      <c r="E473">
        <v>-1.163863925884101E-2</v>
      </c>
      <c r="F473">
        <v>188.398</v>
      </c>
      <c r="G473">
        <f t="shared" si="14"/>
        <v>6.5844648032356012E-3</v>
      </c>
      <c r="H473">
        <v>4.5573899999999997E-3</v>
      </c>
      <c r="I473">
        <f t="shared" si="15"/>
        <v>-2.3360000000000047E-5</v>
      </c>
      <c r="J473" s="6">
        <v>1</v>
      </c>
      <c r="K473">
        <v>1</v>
      </c>
      <c r="L473" t="b">
        <f>$K$473*$C$473&gt;0</f>
        <v>0</v>
      </c>
      <c r="N473" s="3"/>
    </row>
    <row r="474" spans="1:14" x14ac:dyDescent="0.45">
      <c r="A474" s="3">
        <v>43049</v>
      </c>
      <c r="B474">
        <v>14.265000000000001</v>
      </c>
      <c r="C474">
        <v>-2.0986358866735833E-3</v>
      </c>
      <c r="D474">
        <v>5380.72</v>
      </c>
      <c r="E474">
        <v>-4.9983819518283346E-3</v>
      </c>
      <c r="F474">
        <v>187.43549999999999</v>
      </c>
      <c r="G474">
        <f t="shared" si="14"/>
        <v>5.1350998076671317E-3</v>
      </c>
      <c r="H474">
        <v>4.5691300000000002E-3</v>
      </c>
      <c r="I474">
        <f t="shared" si="15"/>
        <v>-1.1740000000000535E-5</v>
      </c>
      <c r="J474" s="6">
        <v>1</v>
      </c>
      <c r="K474">
        <v>1</v>
      </c>
      <c r="L474" t="b">
        <f>$K$474*$C$474&gt;0</f>
        <v>0</v>
      </c>
      <c r="N474" s="3"/>
    </row>
    <row r="475" spans="1:14" x14ac:dyDescent="0.45">
      <c r="A475" s="3">
        <v>43052</v>
      </c>
      <c r="B475">
        <v>14.1</v>
      </c>
      <c r="C475">
        <v>-1.1566771819137789E-2</v>
      </c>
      <c r="D475">
        <v>5341.63</v>
      </c>
      <c r="E475">
        <v>-7.264827011998376E-3</v>
      </c>
      <c r="F475">
        <v>187.25450000000001</v>
      </c>
      <c r="G475">
        <f t="shared" si="14"/>
        <v>9.6659893353678861E-4</v>
      </c>
      <c r="H475">
        <v>4.5378900000000002E-3</v>
      </c>
      <c r="I475">
        <f t="shared" si="15"/>
        <v>3.1240000000000087E-5</v>
      </c>
      <c r="J475" s="6">
        <v>1</v>
      </c>
      <c r="K475">
        <v>1</v>
      </c>
      <c r="L475" t="b">
        <f>$K$475*$C$475&gt;0</f>
        <v>0</v>
      </c>
      <c r="N475" s="3"/>
    </row>
    <row r="476" spans="1:14" x14ac:dyDescent="0.45">
      <c r="A476" s="3">
        <v>43053</v>
      </c>
      <c r="B476">
        <v>14.01</v>
      </c>
      <c r="C476">
        <v>-6.382978723404209E-3</v>
      </c>
      <c r="D476">
        <v>5315.58</v>
      </c>
      <c r="E476">
        <v>-4.8767885458184113E-3</v>
      </c>
      <c r="F476">
        <v>187.6225</v>
      </c>
      <c r="G476">
        <f t="shared" si="14"/>
        <v>-1.9613852283174582E-3</v>
      </c>
      <c r="H476">
        <v>4.5467900000000002E-3</v>
      </c>
      <c r="I476">
        <f t="shared" si="15"/>
        <v>-8.9000000000000537E-6</v>
      </c>
      <c r="J476" s="6">
        <v>1</v>
      </c>
      <c r="K476">
        <v>1</v>
      </c>
      <c r="L476" t="b">
        <f>$K$476*$C$476&gt;0</f>
        <v>0</v>
      </c>
      <c r="N476" s="3"/>
    </row>
    <row r="477" spans="1:14" x14ac:dyDescent="0.45">
      <c r="A477" s="3">
        <v>43054</v>
      </c>
      <c r="B477">
        <v>13.99</v>
      </c>
      <c r="C477">
        <v>-1.427551748750866E-3</v>
      </c>
      <c r="D477">
        <v>5301.25</v>
      </c>
      <c r="E477">
        <v>-2.6958488067153619E-3</v>
      </c>
      <c r="F477">
        <v>187.35749999999999</v>
      </c>
      <c r="G477">
        <f t="shared" si="14"/>
        <v>1.4144082836289318E-3</v>
      </c>
      <c r="H477">
        <v>4.6696899999999998E-3</v>
      </c>
      <c r="I477">
        <f t="shared" si="15"/>
        <v>-1.2289999999999957E-4</v>
      </c>
      <c r="J477" s="6">
        <v>1</v>
      </c>
      <c r="K477">
        <v>1</v>
      </c>
      <c r="L477" t="b">
        <f>$K$477*$C$477&gt;0</f>
        <v>0</v>
      </c>
      <c r="N477" s="3"/>
    </row>
    <row r="478" spans="1:14" x14ac:dyDescent="0.45">
      <c r="A478" s="3">
        <v>43055</v>
      </c>
      <c r="B478">
        <v>14.07</v>
      </c>
      <c r="C478">
        <v>5.718370264474526E-3</v>
      </c>
      <c r="D478">
        <v>5336.39</v>
      </c>
      <c r="E478">
        <v>6.628625324216042E-3</v>
      </c>
      <c r="F478">
        <v>187.24700000000001</v>
      </c>
      <c r="G478">
        <f t="shared" si="14"/>
        <v>5.9012961489357529E-4</v>
      </c>
      <c r="H478">
        <v>4.6308800000000004E-3</v>
      </c>
      <c r="I478">
        <f t="shared" si="15"/>
        <v>3.8809999999999366E-5</v>
      </c>
      <c r="J478" s="6">
        <v>1</v>
      </c>
      <c r="K478">
        <v>1</v>
      </c>
      <c r="L478" t="b">
        <f>$K$478*$C$478&gt;0</f>
        <v>1</v>
      </c>
      <c r="N478" s="3"/>
    </row>
    <row r="479" spans="1:14" x14ac:dyDescent="0.45">
      <c r="A479" s="3">
        <v>43056</v>
      </c>
      <c r="B479">
        <v>14.11</v>
      </c>
      <c r="C479">
        <v>2.842928216062468E-3</v>
      </c>
      <c r="D479">
        <v>5319.17</v>
      </c>
      <c r="E479">
        <v>-3.2269005826036645E-3</v>
      </c>
      <c r="F479">
        <v>187.57050000000001</v>
      </c>
      <c r="G479">
        <f t="shared" si="14"/>
        <v>-1.7246848518289726E-3</v>
      </c>
      <c r="H479">
        <v>4.6350999999999996E-3</v>
      </c>
      <c r="I479">
        <f t="shared" si="15"/>
        <v>-4.2199999999992244E-6</v>
      </c>
      <c r="J479" s="6">
        <v>1</v>
      </c>
      <c r="K479">
        <v>1</v>
      </c>
      <c r="L479" t="b">
        <f>$K$479*$C$479&gt;0</f>
        <v>1</v>
      </c>
      <c r="N479" s="3"/>
    </row>
    <row r="480" spans="1:14" x14ac:dyDescent="0.45">
      <c r="A480" s="3">
        <v>43059</v>
      </c>
      <c r="B480">
        <v>14.14</v>
      </c>
      <c r="C480">
        <v>2.1261516654855761E-3</v>
      </c>
      <c r="D480">
        <v>5340.45</v>
      </c>
      <c r="E480">
        <v>4.0006241575283319E-3</v>
      </c>
      <c r="F480">
        <v>187.654</v>
      </c>
      <c r="G480">
        <f t="shared" si="14"/>
        <v>-4.4496786639236507E-4</v>
      </c>
      <c r="H480">
        <v>4.5686299999999997E-3</v>
      </c>
      <c r="I480">
        <f t="shared" si="15"/>
        <v>6.6469999999999897E-5</v>
      </c>
      <c r="J480" s="6">
        <v>1</v>
      </c>
      <c r="K480">
        <v>1</v>
      </c>
      <c r="L480" t="b">
        <f>$K$480*$C$480&gt;0</f>
        <v>1</v>
      </c>
      <c r="N480" s="3"/>
    </row>
    <row r="481" spans="1:14" x14ac:dyDescent="0.45">
      <c r="A481" s="3">
        <v>43060</v>
      </c>
      <c r="B481">
        <v>14.145</v>
      </c>
      <c r="C481">
        <v>3.5360678925022704E-4</v>
      </c>
      <c r="D481">
        <v>5366.15</v>
      </c>
      <c r="E481">
        <v>4.812328549092193E-3</v>
      </c>
      <c r="F481">
        <v>188.196</v>
      </c>
      <c r="G481">
        <f t="shared" si="14"/>
        <v>-2.8799761950307756E-3</v>
      </c>
      <c r="H481">
        <v>4.5030699999999996E-3</v>
      </c>
      <c r="I481">
        <f t="shared" si="15"/>
        <v>6.5560000000000097E-5</v>
      </c>
      <c r="J481" s="6">
        <v>1</v>
      </c>
      <c r="K481">
        <v>1</v>
      </c>
      <c r="L481" t="b">
        <f>$K$481*$C$481&gt;0</f>
        <v>1</v>
      </c>
      <c r="N481" s="3"/>
    </row>
    <row r="482" spans="1:14" x14ac:dyDescent="0.45">
      <c r="A482" s="3">
        <v>43061</v>
      </c>
      <c r="B482">
        <v>14.175000000000001</v>
      </c>
      <c r="C482">
        <v>2.1208907741252503E-3</v>
      </c>
      <c r="D482">
        <v>5352.76</v>
      </c>
      <c r="E482">
        <v>-2.495271283881273E-3</v>
      </c>
      <c r="F482">
        <v>188.42099999999999</v>
      </c>
      <c r="G482">
        <f t="shared" si="14"/>
        <v>-1.1941344117694097E-3</v>
      </c>
      <c r="H482">
        <v>4.4425799999999998E-3</v>
      </c>
      <c r="I482">
        <f t="shared" si="15"/>
        <v>6.0489999999999849E-5</v>
      </c>
      <c r="J482" s="6">
        <v>1</v>
      </c>
      <c r="K482">
        <v>1</v>
      </c>
      <c r="L482" t="b">
        <f>$K$482*$C$482&gt;0</f>
        <v>1</v>
      </c>
      <c r="N482" s="3"/>
    </row>
    <row r="483" spans="1:14" x14ac:dyDescent="0.45">
      <c r="A483" s="3">
        <v>43062</v>
      </c>
      <c r="B483">
        <v>14.255000000000001</v>
      </c>
      <c r="C483">
        <v>5.6437389770722657E-3</v>
      </c>
      <c r="D483">
        <v>5379.54</v>
      </c>
      <c r="E483">
        <v>5.0030264760609899E-3</v>
      </c>
      <c r="F483">
        <v>188.36250000000001</v>
      </c>
      <c r="G483">
        <f t="shared" si="14"/>
        <v>3.1057137169021587E-4</v>
      </c>
      <c r="H483">
        <v>4.4373399999999997E-3</v>
      </c>
      <c r="I483">
        <f t="shared" si="15"/>
        <v>5.2400000000001057E-6</v>
      </c>
      <c r="J483" s="6">
        <v>1</v>
      </c>
      <c r="K483">
        <v>1</v>
      </c>
      <c r="L483" t="b">
        <f>$K$483*$C$483&gt;0</f>
        <v>1</v>
      </c>
      <c r="N483" s="3"/>
    </row>
    <row r="484" spans="1:14" x14ac:dyDescent="0.45">
      <c r="A484" s="3">
        <v>43063</v>
      </c>
      <c r="B484">
        <v>14.265000000000001</v>
      </c>
      <c r="C484">
        <v>7.0150824272174894E-4</v>
      </c>
      <c r="D484">
        <v>5390.46</v>
      </c>
      <c r="E484">
        <v>2.029913338315259E-3</v>
      </c>
      <c r="F484">
        <v>188.05500000000001</v>
      </c>
      <c r="G484">
        <f t="shared" si="14"/>
        <v>1.6351599266173356E-3</v>
      </c>
      <c r="H484">
        <v>4.43071E-3</v>
      </c>
      <c r="I484">
        <f t="shared" si="15"/>
        <v>6.629999999999657E-6</v>
      </c>
      <c r="J484" s="6">
        <v>1</v>
      </c>
      <c r="K484">
        <v>1</v>
      </c>
      <c r="L484" t="b">
        <f>$K$484*$C$484&gt;0</f>
        <v>1</v>
      </c>
      <c r="N484" s="3"/>
    </row>
    <row r="485" spans="1:14" x14ac:dyDescent="0.45">
      <c r="A485" s="3">
        <v>43066</v>
      </c>
      <c r="B485">
        <v>14.315</v>
      </c>
      <c r="C485">
        <v>3.5050823694355859E-3</v>
      </c>
      <c r="D485">
        <v>5360.09</v>
      </c>
      <c r="E485">
        <v>-5.6340275226974823E-3</v>
      </c>
      <c r="F485">
        <v>188.5265</v>
      </c>
      <c r="G485">
        <f t="shared" si="14"/>
        <v>-2.5009746640392017E-3</v>
      </c>
      <c r="H485">
        <v>4.4354700000000004E-3</v>
      </c>
      <c r="I485">
        <f t="shared" si="15"/>
        <v>-4.7600000000003542E-6</v>
      </c>
      <c r="J485" s="6">
        <v>1</v>
      </c>
      <c r="K485">
        <v>1</v>
      </c>
      <c r="L485" t="b">
        <f>$K$485*$C$485&gt;0</f>
        <v>1</v>
      </c>
      <c r="N485" s="3"/>
    </row>
    <row r="486" spans="1:14" x14ac:dyDescent="0.45">
      <c r="A486" s="3">
        <v>43067</v>
      </c>
      <c r="B486">
        <v>14.41</v>
      </c>
      <c r="C486">
        <v>6.6363953894517103E-3</v>
      </c>
      <c r="D486">
        <v>5390.48</v>
      </c>
      <c r="E486">
        <v>5.6696809195366793E-3</v>
      </c>
      <c r="F486">
        <v>188.68549999999999</v>
      </c>
      <c r="G486">
        <f t="shared" si="14"/>
        <v>-8.4267206542099071E-4</v>
      </c>
      <c r="H486">
        <v>4.50198E-3</v>
      </c>
      <c r="I486">
        <f t="shared" si="15"/>
        <v>-6.650999999999966E-5</v>
      </c>
      <c r="J486" s="6">
        <v>1</v>
      </c>
      <c r="K486">
        <v>1</v>
      </c>
      <c r="L486" t="b">
        <f>$K$486*$C$486&gt;0</f>
        <v>1</v>
      </c>
      <c r="N486" s="3"/>
    </row>
    <row r="487" spans="1:14" x14ac:dyDescent="0.45">
      <c r="A487" s="3">
        <v>43068</v>
      </c>
      <c r="B487">
        <v>14.46</v>
      </c>
      <c r="C487">
        <v>3.4698126301180299E-3</v>
      </c>
      <c r="D487">
        <v>5398.05</v>
      </c>
      <c r="E487">
        <v>1.4043276294506413E-3</v>
      </c>
      <c r="F487">
        <v>188.06800000000001</v>
      </c>
      <c r="G487">
        <f t="shared" si="14"/>
        <v>3.2833868600716798E-3</v>
      </c>
      <c r="H487">
        <v>4.37755E-3</v>
      </c>
      <c r="I487">
        <f t="shared" si="15"/>
        <v>1.2443000000000003E-4</v>
      </c>
      <c r="J487" s="6">
        <v>1</v>
      </c>
      <c r="K487">
        <v>1</v>
      </c>
      <c r="L487" t="b">
        <f>$K$487*$C$487&gt;0</f>
        <v>1</v>
      </c>
      <c r="N487" s="3"/>
    </row>
    <row r="488" spans="1:14" x14ac:dyDescent="0.45">
      <c r="A488" s="3">
        <v>43069</v>
      </c>
      <c r="B488">
        <v>14.48</v>
      </c>
      <c r="C488">
        <v>1.3831258644536604E-3</v>
      </c>
      <c r="D488">
        <v>5372.79</v>
      </c>
      <c r="E488">
        <v>-4.679467585517072E-3</v>
      </c>
      <c r="F488">
        <v>188.691</v>
      </c>
      <c r="G488">
        <f t="shared" si="14"/>
        <v>-3.3016943044448244E-3</v>
      </c>
      <c r="H488">
        <v>4.3341999999999999E-3</v>
      </c>
      <c r="I488">
        <f t="shared" si="15"/>
        <v>4.3350000000000159E-5</v>
      </c>
      <c r="J488" s="6">
        <v>1</v>
      </c>
      <c r="K488">
        <v>1</v>
      </c>
      <c r="L488" t="b">
        <f>$K$488*$C$488&gt;0</f>
        <v>1</v>
      </c>
      <c r="N488" s="3"/>
    </row>
    <row r="489" spans="1:14" x14ac:dyDescent="0.45">
      <c r="A489" s="3">
        <v>43070</v>
      </c>
      <c r="B489">
        <v>14.45</v>
      </c>
      <c r="C489">
        <v>-2.0718232044200091E-3</v>
      </c>
      <c r="D489">
        <v>5316.89</v>
      </c>
      <c r="E489">
        <v>-1.0404277851916666E-2</v>
      </c>
      <c r="F489">
        <v>190.05250000000001</v>
      </c>
      <c r="G489">
        <f t="shared" si="14"/>
        <v>-7.1638099998685423E-3</v>
      </c>
      <c r="H489">
        <v>4.3315300000000001E-3</v>
      </c>
      <c r="I489">
        <f t="shared" si="15"/>
        <v>2.6699999999997559E-6</v>
      </c>
      <c r="J489" s="6">
        <v>1</v>
      </c>
      <c r="K489">
        <v>1</v>
      </c>
      <c r="L489" t="b">
        <f>$K$489*$C$489&gt;0</f>
        <v>0</v>
      </c>
      <c r="N489" s="3"/>
    </row>
    <row r="490" spans="1:14" x14ac:dyDescent="0.45">
      <c r="A490" s="3">
        <v>43073</v>
      </c>
      <c r="B490">
        <v>14.51</v>
      </c>
      <c r="C490">
        <v>4.1522491349481605E-3</v>
      </c>
      <c r="D490">
        <v>5389.29</v>
      </c>
      <c r="E490">
        <v>1.3616982860281013E-2</v>
      </c>
      <c r="F490">
        <v>189.3485</v>
      </c>
      <c r="G490">
        <f t="shared" si="14"/>
        <v>3.7180120254451943E-3</v>
      </c>
      <c r="H490">
        <v>4.2829799999999996E-3</v>
      </c>
      <c r="I490">
        <f t="shared" si="15"/>
        <v>4.8550000000000502E-5</v>
      </c>
      <c r="J490" s="6">
        <v>1</v>
      </c>
      <c r="K490">
        <v>1</v>
      </c>
      <c r="L490" t="b">
        <f>$K$490*$C$490&gt;0</f>
        <v>1</v>
      </c>
      <c r="N490" s="3"/>
    </row>
    <row r="491" spans="1:14" x14ac:dyDescent="0.45">
      <c r="A491" s="3">
        <v>43074</v>
      </c>
      <c r="B491">
        <v>14.24</v>
      </c>
      <c r="C491">
        <v>-1.860785665058573E-2</v>
      </c>
      <c r="D491">
        <v>5375.53</v>
      </c>
      <c r="E491">
        <v>-2.5532120186518847E-3</v>
      </c>
      <c r="F491">
        <v>189.90350000000001</v>
      </c>
      <c r="G491">
        <f t="shared" si="14"/>
        <v>-2.9225369727257089E-3</v>
      </c>
      <c r="H491">
        <v>4.2344699999999997E-3</v>
      </c>
      <c r="I491">
        <f t="shared" si="15"/>
        <v>4.8509999999999873E-5</v>
      </c>
      <c r="J491" s="6">
        <v>1</v>
      </c>
      <c r="K491">
        <v>1</v>
      </c>
      <c r="L491" t="b">
        <f>$K$491*$C$491&gt;0</f>
        <v>0</v>
      </c>
      <c r="N491" s="3"/>
    </row>
    <row r="492" spans="1:14" x14ac:dyDescent="0.45">
      <c r="A492" s="3">
        <v>43075</v>
      </c>
      <c r="B492">
        <v>14.24</v>
      </c>
      <c r="C492">
        <v>0</v>
      </c>
      <c r="D492">
        <v>5374.35</v>
      </c>
      <c r="E492">
        <v>-2.1951323869451311E-4</v>
      </c>
      <c r="F492">
        <v>190.41249999999999</v>
      </c>
      <c r="G492">
        <f t="shared" si="14"/>
        <v>-2.6731438324688606E-3</v>
      </c>
      <c r="H492">
        <v>4.2471799999999997E-3</v>
      </c>
      <c r="I492">
        <f t="shared" si="15"/>
        <v>-1.2709999999999978E-5</v>
      </c>
      <c r="J492" s="6">
        <v>1</v>
      </c>
      <c r="K492">
        <v>1</v>
      </c>
      <c r="L492" t="b">
        <f>$K$492*$C$492&gt;0</f>
        <v>0</v>
      </c>
      <c r="N492" s="3"/>
    </row>
    <row r="493" spans="1:14" x14ac:dyDescent="0.45">
      <c r="A493" s="3">
        <v>43076</v>
      </c>
      <c r="B493">
        <v>14.57</v>
      </c>
      <c r="C493">
        <v>2.3174157303370801E-2</v>
      </c>
      <c r="D493">
        <v>5383.86</v>
      </c>
      <c r="E493">
        <v>1.769516313600672E-3</v>
      </c>
      <c r="F493">
        <v>190.22300000000001</v>
      </c>
      <c r="G493">
        <f t="shared" si="14"/>
        <v>9.9619919778359822E-4</v>
      </c>
      <c r="H493">
        <v>4.25019E-3</v>
      </c>
      <c r="I493">
        <f t="shared" si="15"/>
        <v>-3.0100000000003388E-6</v>
      </c>
      <c r="J493" s="6">
        <v>1</v>
      </c>
      <c r="K493">
        <v>1</v>
      </c>
      <c r="L493" t="b">
        <f>$K$493*$C$493&gt;0</f>
        <v>1</v>
      </c>
      <c r="N493" s="3"/>
    </row>
    <row r="494" spans="1:14" x14ac:dyDescent="0.45">
      <c r="A494" s="3">
        <v>43077</v>
      </c>
      <c r="B494">
        <v>14.64</v>
      </c>
      <c r="C494">
        <v>4.8043925875085325E-3</v>
      </c>
      <c r="D494">
        <v>5399.09</v>
      </c>
      <c r="E494">
        <v>2.8288254152226688E-3</v>
      </c>
      <c r="F494">
        <v>189.9675</v>
      </c>
      <c r="G494">
        <f t="shared" si="14"/>
        <v>1.3449669022334021E-3</v>
      </c>
      <c r="H494">
        <v>4.2518699999999996E-3</v>
      </c>
      <c r="I494">
        <f t="shared" si="15"/>
        <v>-1.6799999999995638E-6</v>
      </c>
      <c r="J494" s="6">
        <v>1</v>
      </c>
      <c r="K494">
        <v>1</v>
      </c>
      <c r="L494" t="b">
        <f>$K$494*$C$494&gt;0</f>
        <v>1</v>
      </c>
      <c r="N494" s="3"/>
    </row>
    <row r="495" spans="1:14" x14ac:dyDescent="0.45">
      <c r="A495" s="3">
        <v>43080</v>
      </c>
      <c r="B495">
        <v>14.64</v>
      </c>
      <c r="C495">
        <v>0</v>
      </c>
      <c r="D495">
        <v>5386.83</v>
      </c>
      <c r="E495">
        <v>-2.2707530343076821E-3</v>
      </c>
      <c r="F495">
        <v>190.2775</v>
      </c>
      <c r="G495">
        <f t="shared" si="14"/>
        <v>-1.6291994586853376E-3</v>
      </c>
      <c r="H495">
        <v>4.2343099999999998E-3</v>
      </c>
      <c r="I495">
        <f t="shared" si="15"/>
        <v>1.7559999999999798E-5</v>
      </c>
      <c r="J495" s="6">
        <v>1</v>
      </c>
      <c r="K495">
        <v>1</v>
      </c>
      <c r="L495" t="b">
        <f>$K$495*$C$495&gt;0</f>
        <v>0</v>
      </c>
      <c r="N495" s="3"/>
    </row>
    <row r="496" spans="1:14" x14ac:dyDescent="0.45">
      <c r="A496" s="3">
        <v>43081</v>
      </c>
      <c r="B496">
        <v>14.824999999999999</v>
      </c>
      <c r="C496">
        <v>1.2636612021857729E-2</v>
      </c>
      <c r="D496">
        <v>5427.19</v>
      </c>
      <c r="E496">
        <v>7.4923470761096844E-3</v>
      </c>
      <c r="F496">
        <v>189.64599999999999</v>
      </c>
      <c r="G496">
        <f t="shared" si="14"/>
        <v>3.329888318235108E-3</v>
      </c>
      <c r="H496">
        <v>4.2287499999999999E-3</v>
      </c>
      <c r="I496">
        <f t="shared" si="15"/>
        <v>5.55999999999994E-6</v>
      </c>
      <c r="J496" s="6">
        <v>1</v>
      </c>
      <c r="K496">
        <v>1</v>
      </c>
      <c r="L496" t="b">
        <f>$K$496*$C$496&gt;0</f>
        <v>1</v>
      </c>
      <c r="N496" s="3"/>
    </row>
    <row r="497" spans="1:14" x14ac:dyDescent="0.45">
      <c r="A497" s="3">
        <v>43082</v>
      </c>
      <c r="B497">
        <v>14.654999999999999</v>
      </c>
      <c r="C497">
        <v>-1.1467116357504192E-2</v>
      </c>
      <c r="D497">
        <v>5399.45</v>
      </c>
      <c r="E497">
        <v>-5.1113006915179948E-3</v>
      </c>
      <c r="F497">
        <v>189.583</v>
      </c>
      <c r="G497">
        <f t="shared" si="14"/>
        <v>3.3230827658581319E-4</v>
      </c>
      <c r="H497">
        <v>4.2315199999999999E-3</v>
      </c>
      <c r="I497">
        <f t="shared" si="15"/>
        <v>-2.7700000000000294E-6</v>
      </c>
      <c r="J497" s="6">
        <v>1</v>
      </c>
      <c r="K497">
        <v>1</v>
      </c>
      <c r="L497" t="b">
        <f>$K$497*$C$497&gt;0</f>
        <v>0</v>
      </c>
      <c r="N497" s="3"/>
    </row>
    <row r="498" spans="1:14" x14ac:dyDescent="0.45">
      <c r="A498" s="3">
        <v>43083</v>
      </c>
      <c r="B498">
        <v>14.574999999999999</v>
      </c>
      <c r="C498">
        <v>-5.4588877516206225E-3</v>
      </c>
      <c r="D498">
        <v>5357.14</v>
      </c>
      <c r="E498">
        <v>-7.8359832945946728E-3</v>
      </c>
      <c r="F498">
        <v>189.756</v>
      </c>
      <c r="G498">
        <f t="shared" si="14"/>
        <v>-9.1169712683658588E-4</v>
      </c>
      <c r="H498">
        <v>4.2800800000000003E-3</v>
      </c>
      <c r="I498">
        <f t="shared" si="15"/>
        <v>-4.8560000000000443E-5</v>
      </c>
      <c r="J498" s="6">
        <v>1</v>
      </c>
      <c r="K498">
        <v>1</v>
      </c>
      <c r="L498" t="b">
        <f>$K$498*$C$498&gt;0</f>
        <v>0</v>
      </c>
      <c r="N498" s="3"/>
    </row>
    <row r="499" spans="1:14" x14ac:dyDescent="0.45">
      <c r="A499" s="3">
        <v>43084</v>
      </c>
      <c r="B499">
        <v>14.66</v>
      </c>
      <c r="C499">
        <v>5.8319039451115717E-3</v>
      </c>
      <c r="D499">
        <v>5349.3</v>
      </c>
      <c r="E499">
        <v>-1.4634674471826203E-3</v>
      </c>
      <c r="F499">
        <v>190.08</v>
      </c>
      <c r="G499">
        <f t="shared" si="14"/>
        <v>-1.7045454545455696E-3</v>
      </c>
      <c r="H499">
        <v>4.28292E-3</v>
      </c>
      <c r="I499">
        <f t="shared" si="15"/>
        <v>-2.8399999999996137E-6</v>
      </c>
      <c r="J499" s="6">
        <v>1</v>
      </c>
      <c r="K499">
        <v>1</v>
      </c>
      <c r="L499" t="b">
        <f>$K$499*$C$499&gt;0</f>
        <v>1</v>
      </c>
      <c r="N499" s="3"/>
    </row>
    <row r="500" spans="1:14" x14ac:dyDescent="0.45">
      <c r="A500" s="3">
        <v>43087</v>
      </c>
      <c r="B500">
        <v>14.725</v>
      </c>
      <c r="C500">
        <v>4.433833560709477E-3</v>
      </c>
      <c r="D500">
        <v>5420.58</v>
      </c>
      <c r="E500">
        <v>1.332510795805053E-2</v>
      </c>
      <c r="F500">
        <v>189.85050000000001</v>
      </c>
      <c r="G500">
        <f t="shared" si="14"/>
        <v>1.2088459077010949E-3</v>
      </c>
      <c r="H500">
        <v>4.2834199999999996E-3</v>
      </c>
      <c r="I500">
        <f t="shared" si="15"/>
        <v>-4.9999999999963268E-7</v>
      </c>
      <c r="J500" s="6">
        <v>1</v>
      </c>
      <c r="K500">
        <v>1</v>
      </c>
      <c r="L500" t="b">
        <f>$K$500*$C$500&gt;0</f>
        <v>1</v>
      </c>
      <c r="N500" s="3"/>
    </row>
    <row r="501" spans="1:14" x14ac:dyDescent="0.45">
      <c r="A501" s="3">
        <v>43088</v>
      </c>
      <c r="B501">
        <v>14.685</v>
      </c>
      <c r="C501">
        <v>-2.7164685908318553E-3</v>
      </c>
      <c r="D501">
        <v>5382.91</v>
      </c>
      <c r="E501">
        <v>-6.9494408347445802E-3</v>
      </c>
      <c r="F501">
        <v>188.33949999999999</v>
      </c>
      <c r="G501">
        <f t="shared" si="14"/>
        <v>8.0227461578692427E-3</v>
      </c>
      <c r="H501">
        <v>4.2848000000000001E-3</v>
      </c>
      <c r="I501">
        <f t="shared" si="15"/>
        <v>-1.3800000000004781E-6</v>
      </c>
      <c r="J501" s="6">
        <v>1</v>
      </c>
      <c r="K501">
        <v>1</v>
      </c>
      <c r="L501" t="b">
        <f>$K$501*$C$501&gt;0</f>
        <v>0</v>
      </c>
      <c r="N501" s="3"/>
    </row>
    <row r="502" spans="1:14" x14ac:dyDescent="0.45">
      <c r="A502" s="3">
        <v>43089</v>
      </c>
      <c r="B502">
        <v>14.64</v>
      </c>
      <c r="C502">
        <v>-3.0643513789581078E-3</v>
      </c>
      <c r="D502">
        <v>5352.77</v>
      </c>
      <c r="E502">
        <v>-5.599201918664698E-3</v>
      </c>
      <c r="F502">
        <v>187.7955</v>
      </c>
      <c r="G502">
        <f t="shared" si="14"/>
        <v>2.8967680269227358E-3</v>
      </c>
      <c r="H502">
        <v>4.2649000000000003E-3</v>
      </c>
      <c r="I502">
        <f t="shared" si="15"/>
        <v>1.9899999999999779E-5</v>
      </c>
      <c r="J502" s="6">
        <v>1</v>
      </c>
      <c r="K502">
        <v>1</v>
      </c>
      <c r="L502" t="b">
        <f>$K$502*$C$502&gt;0</f>
        <v>0</v>
      </c>
      <c r="N502" s="3"/>
    </row>
    <row r="503" spans="1:14" x14ac:dyDescent="0.45">
      <c r="A503" s="3">
        <v>43090</v>
      </c>
      <c r="B503">
        <v>14.755000000000001</v>
      </c>
      <c r="C503">
        <v>7.8551912568305404E-3</v>
      </c>
      <c r="D503">
        <v>5385.97</v>
      </c>
      <c r="E503">
        <v>6.2023961425579088E-3</v>
      </c>
      <c r="F503">
        <v>187.6285</v>
      </c>
      <c r="G503">
        <f t="shared" si="14"/>
        <v>8.900566811544941E-4</v>
      </c>
      <c r="H503">
        <v>4.25954E-3</v>
      </c>
      <c r="I503">
        <f t="shared" si="15"/>
        <v>5.3600000000002604E-6</v>
      </c>
      <c r="J503" s="6">
        <v>1</v>
      </c>
      <c r="K503">
        <v>1</v>
      </c>
      <c r="L503" t="b">
        <f>$K$503*$C$503&gt;0</f>
        <v>1</v>
      </c>
      <c r="N503" s="3"/>
    </row>
    <row r="504" spans="1:14" x14ac:dyDescent="0.45">
      <c r="A504" s="3">
        <v>43091</v>
      </c>
      <c r="B504">
        <v>14.64</v>
      </c>
      <c r="C504">
        <v>-7.7939681463911059E-3</v>
      </c>
      <c r="D504">
        <v>5364.72</v>
      </c>
      <c r="E504">
        <v>-3.9454360124545618E-3</v>
      </c>
      <c r="F504">
        <v>187.63749999999999</v>
      </c>
      <c r="G504">
        <f t="shared" si="14"/>
        <v>-4.7964825794388766E-5</v>
      </c>
      <c r="H504">
        <v>4.2512499999999998E-3</v>
      </c>
      <c r="I504">
        <f t="shared" si="15"/>
        <v>8.2900000000002069E-6</v>
      </c>
      <c r="J504" s="6">
        <v>1</v>
      </c>
      <c r="K504">
        <v>1</v>
      </c>
      <c r="L504" t="b">
        <f>$K$504*$C$504&gt;0</f>
        <v>0</v>
      </c>
      <c r="N504" s="3"/>
    </row>
    <row r="505" spans="1:14" x14ac:dyDescent="0.45">
      <c r="A505" s="3">
        <v>43096</v>
      </c>
      <c r="B505">
        <v>14.55</v>
      </c>
      <c r="C505">
        <v>-6.147540983606592E-3</v>
      </c>
      <c r="D505">
        <v>5368.84</v>
      </c>
      <c r="E505">
        <v>7.679804351392594E-4</v>
      </c>
      <c r="F505">
        <v>188.24549999999999</v>
      </c>
      <c r="G505">
        <f t="shared" si="14"/>
        <v>-3.2298248829321086E-3</v>
      </c>
      <c r="H505">
        <v>4.2422500000000004E-3</v>
      </c>
      <c r="I505">
        <f t="shared" si="15"/>
        <v>8.9999999999994598E-6</v>
      </c>
      <c r="J505" s="6">
        <v>1</v>
      </c>
      <c r="K505">
        <v>1</v>
      </c>
      <c r="L505" t="b">
        <f>$K$505*$C$505&gt;0</f>
        <v>0</v>
      </c>
      <c r="N505" s="3"/>
    </row>
    <row r="506" spans="1:14" x14ac:dyDescent="0.45">
      <c r="A506" s="3">
        <v>43097</v>
      </c>
      <c r="B506">
        <v>14.505000000000001</v>
      </c>
      <c r="C506">
        <v>-3.0927835051546282E-3</v>
      </c>
      <c r="D506">
        <v>5339.42</v>
      </c>
      <c r="E506">
        <v>-5.4797684416000303E-3</v>
      </c>
      <c r="F506">
        <v>187.41900000000001</v>
      </c>
      <c r="G506">
        <f t="shared" si="14"/>
        <v>4.4099050789940808E-3</v>
      </c>
      <c r="H506">
        <v>4.2480299999999999E-3</v>
      </c>
      <c r="I506">
        <f t="shared" si="15"/>
        <v>-5.7799999999995008E-6</v>
      </c>
      <c r="J506" s="6">
        <v>1</v>
      </c>
      <c r="K506">
        <v>1</v>
      </c>
      <c r="L506" t="b">
        <f>$K$506*$C$506&gt;0</f>
        <v>0</v>
      </c>
      <c r="N506" s="3"/>
    </row>
    <row r="507" spans="1:14" x14ac:dyDescent="0.45">
      <c r="A507" s="3">
        <v>43098</v>
      </c>
      <c r="B507">
        <v>14.475</v>
      </c>
      <c r="C507">
        <v>-2.0682523267839814E-3</v>
      </c>
      <c r="D507">
        <v>5312.56</v>
      </c>
      <c r="E507">
        <v>-5.0305089316816654E-3</v>
      </c>
      <c r="F507">
        <v>187.22800000000001</v>
      </c>
      <c r="G507">
        <f t="shared" si="14"/>
        <v>1.0201465592754033E-3</v>
      </c>
      <c r="H507">
        <v>4.2501099999999997E-3</v>
      </c>
      <c r="I507">
        <f t="shared" si="15"/>
        <v>-2.0799999999997903E-6</v>
      </c>
      <c r="J507" s="6">
        <v>1</v>
      </c>
      <c r="K507">
        <v>1</v>
      </c>
      <c r="L507" t="b">
        <f>$K$507*$C$507&gt;0</f>
        <v>0</v>
      </c>
      <c r="N507" s="3"/>
    </row>
    <row r="508" spans="1:14" x14ac:dyDescent="0.45">
      <c r="A508" s="3">
        <v>43102</v>
      </c>
      <c r="B508">
        <v>14.52</v>
      </c>
      <c r="C508">
        <v>3.1088082901553626E-3</v>
      </c>
      <c r="D508">
        <v>5288.6</v>
      </c>
      <c r="E508">
        <v>-4.5100667098347813E-3</v>
      </c>
      <c r="F508">
        <v>186.392</v>
      </c>
      <c r="G508">
        <f t="shared" si="14"/>
        <v>4.4851710373836617E-3</v>
      </c>
      <c r="H508">
        <v>4.2307999999999998E-3</v>
      </c>
      <c r="I508">
        <f t="shared" si="15"/>
        <v>1.9309999999999813E-5</v>
      </c>
      <c r="J508" s="6">
        <v>1</v>
      </c>
      <c r="K508">
        <v>1</v>
      </c>
      <c r="L508" t="b">
        <f>$K$508*$C$508&gt;0</f>
        <v>1</v>
      </c>
      <c r="N508" s="3"/>
    </row>
    <row r="509" spans="1:14" x14ac:dyDescent="0.45">
      <c r="A509" s="3">
        <v>43103</v>
      </c>
      <c r="B509">
        <v>14.49</v>
      </c>
      <c r="C509">
        <v>-2.0661157024792765E-3</v>
      </c>
      <c r="D509">
        <v>5331.28</v>
      </c>
      <c r="E509">
        <v>8.0701887077865297E-3</v>
      </c>
      <c r="F509">
        <v>187.018</v>
      </c>
      <c r="G509">
        <f t="shared" si="14"/>
        <v>-3.3472713856420588E-3</v>
      </c>
      <c r="H509">
        <v>4.1758000000000003E-3</v>
      </c>
      <c r="I509">
        <f t="shared" si="15"/>
        <v>5.4999999999999494E-5</v>
      </c>
      <c r="J509" s="6">
        <v>1</v>
      </c>
      <c r="K509">
        <v>1</v>
      </c>
      <c r="L509" t="b">
        <f>$K$509*$C$509&gt;0</f>
        <v>0</v>
      </c>
      <c r="N509" s="3"/>
    </row>
    <row r="510" spans="1:14" x14ac:dyDescent="0.45">
      <c r="A510" s="3">
        <v>43104</v>
      </c>
      <c r="B510">
        <v>14.494999999999999</v>
      </c>
      <c r="C510">
        <v>3.4506556245683662E-4</v>
      </c>
      <c r="D510">
        <v>5413.69</v>
      </c>
      <c r="E510">
        <v>1.5457826263111318E-2</v>
      </c>
      <c r="F510">
        <v>187.57</v>
      </c>
      <c r="G510">
        <f t="shared" si="14"/>
        <v>-2.9429013168417173E-3</v>
      </c>
      <c r="H510">
        <v>4.1294499999999998E-3</v>
      </c>
      <c r="I510">
        <f t="shared" si="15"/>
        <v>4.6350000000000557E-5</v>
      </c>
      <c r="J510" s="6">
        <v>1</v>
      </c>
      <c r="K510">
        <v>1</v>
      </c>
      <c r="L510" t="b">
        <f>$K$510*$C$510&gt;0</f>
        <v>1</v>
      </c>
      <c r="N510" s="3"/>
    </row>
    <row r="511" spans="1:14" x14ac:dyDescent="0.45">
      <c r="A511" s="3">
        <v>43105</v>
      </c>
      <c r="B511">
        <v>14.62</v>
      </c>
      <c r="C511">
        <v>8.623663332183451E-3</v>
      </c>
      <c r="D511">
        <v>5470.75</v>
      </c>
      <c r="E511">
        <v>1.0539945951836938E-2</v>
      </c>
      <c r="F511">
        <v>187.626</v>
      </c>
      <c r="G511">
        <f t="shared" si="14"/>
        <v>-2.984660974492126E-4</v>
      </c>
      <c r="H511">
        <v>4.1114100000000002E-3</v>
      </c>
      <c r="I511">
        <f t="shared" si="15"/>
        <v>1.8039999999999549E-5</v>
      </c>
      <c r="J511" s="6">
        <v>1</v>
      </c>
      <c r="K511">
        <v>1</v>
      </c>
      <c r="L511" t="b">
        <f>$K$511*$C$511&gt;0</f>
        <v>1</v>
      </c>
      <c r="N511" s="3"/>
    </row>
    <row r="512" spans="1:14" x14ac:dyDescent="0.45">
      <c r="A512" s="3">
        <v>43108</v>
      </c>
      <c r="B512">
        <v>14.7</v>
      </c>
      <c r="C512">
        <v>5.4719562243501496E-3</v>
      </c>
      <c r="D512">
        <v>5487.42</v>
      </c>
      <c r="E512">
        <v>3.0471141982360006E-3</v>
      </c>
      <c r="F512">
        <v>187.96799999999999</v>
      </c>
      <c r="G512">
        <f t="shared" si="14"/>
        <v>-1.819458631256321E-3</v>
      </c>
      <c r="H512">
        <v>4.1004800000000001E-3</v>
      </c>
      <c r="I512">
        <f t="shared" si="15"/>
        <v>1.0930000000000141E-5</v>
      </c>
      <c r="J512" s="6">
        <v>1</v>
      </c>
      <c r="K512">
        <v>1</v>
      </c>
      <c r="L512" t="b">
        <f>$K$512*$C$512&gt;0</f>
        <v>1</v>
      </c>
      <c r="N512" s="3"/>
    </row>
    <row r="513" spans="1:14" x14ac:dyDescent="0.45">
      <c r="A513" s="3">
        <v>43109</v>
      </c>
      <c r="B513">
        <v>14.715</v>
      </c>
      <c r="C513">
        <v>1.0204081632654294E-3</v>
      </c>
      <c r="D513">
        <v>5523.94</v>
      </c>
      <c r="E513">
        <v>6.6552223084801465E-3</v>
      </c>
      <c r="F513">
        <v>187.51050000000001</v>
      </c>
      <c r="G513">
        <f t="shared" si="14"/>
        <v>2.4398633676512294E-3</v>
      </c>
      <c r="H513">
        <v>4.0814500000000004E-3</v>
      </c>
      <c r="I513">
        <f t="shared" si="15"/>
        <v>1.9029999999999742E-5</v>
      </c>
      <c r="J513" s="6">
        <v>1</v>
      </c>
      <c r="K513">
        <v>1</v>
      </c>
      <c r="L513" t="b">
        <f>$K$513*$C$513&gt;0</f>
        <v>1</v>
      </c>
      <c r="N513" s="3"/>
    </row>
    <row r="514" spans="1:14" x14ac:dyDescent="0.45">
      <c r="A514" s="3">
        <v>43110</v>
      </c>
      <c r="B514">
        <v>14.43</v>
      </c>
      <c r="C514">
        <v>-1.9367991845056109E-2</v>
      </c>
      <c r="D514">
        <v>5504.68</v>
      </c>
      <c r="E514">
        <v>-3.486641781047406E-3</v>
      </c>
      <c r="F514">
        <v>187.29050000000001</v>
      </c>
      <c r="G514">
        <f t="shared" si="14"/>
        <v>1.1746458042452002E-3</v>
      </c>
      <c r="H514">
        <v>4.0859499999999997E-3</v>
      </c>
      <c r="I514">
        <f t="shared" si="15"/>
        <v>-4.4999999999992962E-6</v>
      </c>
      <c r="J514" s="6">
        <v>1</v>
      </c>
      <c r="K514">
        <v>1</v>
      </c>
      <c r="L514" t="b">
        <f>$K$514*$C$514&gt;0</f>
        <v>0</v>
      </c>
      <c r="N514" s="3"/>
    </row>
    <row r="515" spans="1:14" x14ac:dyDescent="0.45">
      <c r="A515" s="3">
        <v>43111</v>
      </c>
      <c r="B515">
        <v>14.31</v>
      </c>
      <c r="C515">
        <v>-8.3160083160083165E-3</v>
      </c>
      <c r="D515">
        <v>5488.55</v>
      </c>
      <c r="E515">
        <v>-2.9302339100547581E-3</v>
      </c>
      <c r="F515">
        <v>186.55549999999999</v>
      </c>
      <c r="G515">
        <f t="shared" si="14"/>
        <v>3.9398463191919753E-3</v>
      </c>
      <c r="H515">
        <v>4.0867100000000003E-3</v>
      </c>
      <c r="I515">
        <f t="shared" si="15"/>
        <v>-7.6000000000069068E-7</v>
      </c>
      <c r="J515" s="6">
        <v>1</v>
      </c>
      <c r="K515">
        <v>1</v>
      </c>
      <c r="L515" t="b">
        <f>$K$515*$C$515&gt;0</f>
        <v>0</v>
      </c>
      <c r="N515" s="3"/>
    </row>
    <row r="516" spans="1:14" x14ac:dyDescent="0.45">
      <c r="A516" s="3">
        <v>43112</v>
      </c>
      <c r="B516">
        <v>14.465</v>
      </c>
      <c r="C516">
        <v>1.0831586303284402E-2</v>
      </c>
      <c r="D516">
        <v>5517.06</v>
      </c>
      <c r="E516">
        <v>5.1944502646419366E-3</v>
      </c>
      <c r="F516">
        <v>186.92500000000001</v>
      </c>
      <c r="G516">
        <f t="shared" ref="G516:G579" si="16">F515/F516-1</f>
        <v>-1.9767286344791746E-3</v>
      </c>
      <c r="H516">
        <v>4.0604700000000001E-3</v>
      </c>
      <c r="I516">
        <f t="shared" ref="I516:I579" si="17">H515-H516</f>
        <v>2.6240000000000291E-5</v>
      </c>
      <c r="J516" s="6">
        <v>1</v>
      </c>
      <c r="K516">
        <v>1</v>
      </c>
      <c r="L516" t="b">
        <f>$K$516*$C$516&gt;0</f>
        <v>1</v>
      </c>
      <c r="N516" s="3"/>
    </row>
    <row r="517" spans="1:14" x14ac:dyDescent="0.45">
      <c r="A517" s="3">
        <v>43116</v>
      </c>
      <c r="B517">
        <v>14.6</v>
      </c>
      <c r="C517">
        <v>9.3328724507431016E-3</v>
      </c>
      <c r="D517">
        <v>5513.82</v>
      </c>
      <c r="E517">
        <v>-5.8726930647856612E-4</v>
      </c>
      <c r="F517">
        <v>187.941</v>
      </c>
      <c r="G517">
        <f t="shared" si="16"/>
        <v>-5.4059518678734042E-3</v>
      </c>
      <c r="H517">
        <v>4.0443700000000003E-3</v>
      </c>
      <c r="I517">
        <f t="shared" si="17"/>
        <v>1.6099999999999795E-5</v>
      </c>
      <c r="J517" s="6">
        <v>1</v>
      </c>
      <c r="K517">
        <v>1</v>
      </c>
      <c r="L517" t="b">
        <f>$K$517*$C$517&gt;0</f>
        <v>1</v>
      </c>
      <c r="N517" s="3"/>
    </row>
    <row r="518" spans="1:14" x14ac:dyDescent="0.45">
      <c r="A518" s="3">
        <v>43117</v>
      </c>
      <c r="B518">
        <v>14.545</v>
      </c>
      <c r="C518">
        <v>-3.767123287671259E-3</v>
      </c>
      <c r="D518">
        <v>5493.99</v>
      </c>
      <c r="E518">
        <v>-3.5964177285439103E-3</v>
      </c>
      <c r="F518">
        <v>188.29650000000001</v>
      </c>
      <c r="G518">
        <f t="shared" si="16"/>
        <v>-1.8879798615482057E-3</v>
      </c>
      <c r="H518">
        <v>4.0434399999999997E-3</v>
      </c>
      <c r="I518">
        <f t="shared" si="17"/>
        <v>9.3000000000054844E-7</v>
      </c>
      <c r="J518" s="6">
        <v>1</v>
      </c>
      <c r="K518">
        <v>1</v>
      </c>
      <c r="L518" t="b">
        <f>$K$518*$C$518&gt;0</f>
        <v>0</v>
      </c>
      <c r="N518" s="3"/>
    </row>
    <row r="519" spans="1:14" x14ac:dyDescent="0.45">
      <c r="A519" s="3">
        <v>43118</v>
      </c>
      <c r="B519">
        <v>14.46</v>
      </c>
      <c r="C519">
        <v>-5.8439326228943989E-3</v>
      </c>
      <c r="D519">
        <v>5494.83</v>
      </c>
      <c r="E519">
        <v>1.5289434454746065E-4</v>
      </c>
      <c r="F519">
        <v>187.93799999999999</v>
      </c>
      <c r="G519">
        <f t="shared" si="16"/>
        <v>1.9075439772691105E-3</v>
      </c>
      <c r="H519">
        <v>4.0340799999999998E-3</v>
      </c>
      <c r="I519">
        <f t="shared" si="17"/>
        <v>9.3599999999999239E-6</v>
      </c>
      <c r="J519" s="6">
        <v>1</v>
      </c>
      <c r="K519">
        <v>1</v>
      </c>
      <c r="L519" t="b">
        <f>$K$519*$C$519&gt;0</f>
        <v>0</v>
      </c>
      <c r="N519" s="3"/>
    </row>
    <row r="520" spans="1:14" x14ac:dyDescent="0.45">
      <c r="A520" s="3">
        <v>43123</v>
      </c>
      <c r="B520">
        <v>14.74</v>
      </c>
      <c r="C520">
        <v>1.9363762102351245E-2</v>
      </c>
      <c r="D520">
        <v>5535.26</v>
      </c>
      <c r="E520">
        <v>7.3578254468291693E-3</v>
      </c>
      <c r="F520">
        <v>188.5025</v>
      </c>
      <c r="G520">
        <f t="shared" si="16"/>
        <v>-2.9946552432992268E-3</v>
      </c>
      <c r="H520">
        <v>4.0020300000000002E-3</v>
      </c>
      <c r="I520">
        <f t="shared" si="17"/>
        <v>3.2049999999999614E-5</v>
      </c>
      <c r="J520" s="6">
        <v>1</v>
      </c>
      <c r="K520">
        <v>1</v>
      </c>
      <c r="L520" t="b">
        <f>$K$520*$C$520&gt;0</f>
        <v>1</v>
      </c>
      <c r="N520" s="3"/>
    </row>
    <row r="521" spans="1:14" x14ac:dyDescent="0.45">
      <c r="A521" s="3">
        <v>43124</v>
      </c>
      <c r="B521">
        <v>14.675000000000001</v>
      </c>
      <c r="C521">
        <v>-4.4097693351424772E-3</v>
      </c>
      <c r="D521">
        <v>5495.16</v>
      </c>
      <c r="E521">
        <v>-7.2444654812963138E-3</v>
      </c>
      <c r="F521">
        <v>188.06100000000001</v>
      </c>
      <c r="G521">
        <f t="shared" si="16"/>
        <v>2.3476425202459961E-3</v>
      </c>
      <c r="H521">
        <v>3.94247E-3</v>
      </c>
      <c r="I521">
        <f t="shared" si="17"/>
        <v>5.9560000000000168E-5</v>
      </c>
      <c r="J521" s="6">
        <v>1</v>
      </c>
      <c r="K521">
        <v>1</v>
      </c>
      <c r="L521" t="b">
        <f>$K$521*$C$521&gt;0</f>
        <v>0</v>
      </c>
      <c r="N521" s="3"/>
    </row>
    <row r="522" spans="1:14" x14ac:dyDescent="0.45">
      <c r="A522" s="3">
        <v>43125</v>
      </c>
      <c r="B522">
        <v>14.725</v>
      </c>
      <c r="C522">
        <v>3.4071550255536653E-3</v>
      </c>
      <c r="D522">
        <v>5481.21</v>
      </c>
      <c r="E522">
        <v>-2.5385976022536116E-3</v>
      </c>
      <c r="F522">
        <v>187.887</v>
      </c>
      <c r="G522">
        <f t="shared" si="16"/>
        <v>9.2608855322606765E-4</v>
      </c>
      <c r="H522">
        <v>3.88398E-3</v>
      </c>
      <c r="I522">
        <f t="shared" si="17"/>
        <v>5.8490000000000018E-5</v>
      </c>
      <c r="J522" s="6">
        <v>1</v>
      </c>
      <c r="K522">
        <v>1</v>
      </c>
      <c r="L522" t="b">
        <f>$K$522*$C$522&gt;0</f>
        <v>1</v>
      </c>
      <c r="N522" s="3"/>
    </row>
    <row r="523" spans="1:14" x14ac:dyDescent="0.45">
      <c r="A523" s="3">
        <v>43126</v>
      </c>
      <c r="B523">
        <v>14.845000000000001</v>
      </c>
      <c r="C523">
        <v>8.149405772495788E-3</v>
      </c>
      <c r="D523">
        <v>5529.15</v>
      </c>
      <c r="E523">
        <v>8.7462439862731056E-3</v>
      </c>
      <c r="F523">
        <v>187.59450000000001</v>
      </c>
      <c r="G523">
        <f t="shared" si="16"/>
        <v>1.5592141560651918E-3</v>
      </c>
      <c r="H523">
        <v>3.8672899999999998E-3</v>
      </c>
      <c r="I523">
        <f t="shared" si="17"/>
        <v>1.6690000000000194E-5</v>
      </c>
      <c r="J523" s="6">
        <v>1</v>
      </c>
      <c r="K523">
        <v>1</v>
      </c>
      <c r="L523" t="b">
        <f>$K$523*$C$523&gt;0</f>
        <v>1</v>
      </c>
      <c r="N523" s="3"/>
    </row>
    <row r="524" spans="1:14" x14ac:dyDescent="0.45">
      <c r="A524" s="3">
        <v>43129</v>
      </c>
      <c r="B524">
        <v>14.7</v>
      </c>
      <c r="C524">
        <v>-9.7675985180196712E-3</v>
      </c>
      <c r="D524">
        <v>5521.59</v>
      </c>
      <c r="E524">
        <v>-1.3672987710587892E-3</v>
      </c>
      <c r="F524">
        <v>186.309</v>
      </c>
      <c r="G524">
        <f t="shared" si="16"/>
        <v>6.8998277055860591E-3</v>
      </c>
      <c r="H524">
        <v>3.9052000000000002E-3</v>
      </c>
      <c r="I524">
        <f t="shared" si="17"/>
        <v>-3.7910000000000374E-5</v>
      </c>
      <c r="J524" s="6">
        <v>1</v>
      </c>
      <c r="K524">
        <v>1</v>
      </c>
      <c r="L524" t="b">
        <f>$K$524*$C$524&gt;0</f>
        <v>0</v>
      </c>
      <c r="N524" s="3"/>
    </row>
    <row r="525" spans="1:14" x14ac:dyDescent="0.45">
      <c r="A525" s="3">
        <v>43130</v>
      </c>
      <c r="B525">
        <v>14.54</v>
      </c>
      <c r="C525">
        <v>-1.0884353741496655E-2</v>
      </c>
      <c r="D525">
        <v>5473.78</v>
      </c>
      <c r="E525">
        <v>-8.6587377911073737E-3</v>
      </c>
      <c r="F525">
        <v>186.40100000000001</v>
      </c>
      <c r="G525">
        <f t="shared" si="16"/>
        <v>-4.9355958390784327E-4</v>
      </c>
      <c r="H525">
        <v>3.9119000000000003E-3</v>
      </c>
      <c r="I525">
        <f t="shared" si="17"/>
        <v>-6.7000000000001086E-6</v>
      </c>
      <c r="J525" s="6">
        <v>1</v>
      </c>
      <c r="K525">
        <v>1</v>
      </c>
      <c r="L525" t="b">
        <f>$K$525*$C$525&gt;0</f>
        <v>0</v>
      </c>
      <c r="N525" s="3"/>
    </row>
    <row r="526" spans="1:14" x14ac:dyDescent="0.45">
      <c r="A526" s="3">
        <v>43131</v>
      </c>
      <c r="B526">
        <v>14.545</v>
      </c>
      <c r="C526">
        <v>3.4387895460796791E-4</v>
      </c>
      <c r="D526">
        <v>5481.93</v>
      </c>
      <c r="E526">
        <v>1.4889162516580345E-3</v>
      </c>
      <c r="F526">
        <v>186.2465</v>
      </c>
      <c r="G526">
        <f t="shared" si="16"/>
        <v>8.2954579012239904E-4</v>
      </c>
      <c r="H526">
        <v>3.9135200000000002E-3</v>
      </c>
      <c r="I526">
        <f t="shared" si="17"/>
        <v>-1.6199999999999201E-6</v>
      </c>
      <c r="J526" s="6">
        <v>1</v>
      </c>
      <c r="K526">
        <v>1</v>
      </c>
      <c r="L526" t="b">
        <f>$K$526*$C$526&gt;0</f>
        <v>1</v>
      </c>
      <c r="N526" s="3"/>
    </row>
    <row r="527" spans="1:14" x14ac:dyDescent="0.45">
      <c r="A527" s="3">
        <v>43132</v>
      </c>
      <c r="B527">
        <v>14.455</v>
      </c>
      <c r="C527">
        <v>-6.1876933654176902E-3</v>
      </c>
      <c r="D527">
        <v>5454.55</v>
      </c>
      <c r="E527">
        <v>-4.994591320939934E-3</v>
      </c>
      <c r="F527">
        <v>185.88</v>
      </c>
      <c r="G527">
        <f t="shared" si="16"/>
        <v>1.9717021734453333E-3</v>
      </c>
      <c r="H527">
        <v>3.9036800000000001E-3</v>
      </c>
      <c r="I527">
        <f t="shared" si="17"/>
        <v>9.8400000000001091E-6</v>
      </c>
      <c r="J527" s="6">
        <v>1</v>
      </c>
      <c r="K527">
        <v>1</v>
      </c>
      <c r="L527" t="b">
        <f>$K$527*$C$527&gt;0</f>
        <v>0</v>
      </c>
      <c r="N527" s="3"/>
    </row>
    <row r="528" spans="1:14" x14ac:dyDescent="0.45">
      <c r="A528" s="3">
        <v>43133</v>
      </c>
      <c r="B528">
        <v>14.16</v>
      </c>
      <c r="C528">
        <v>-2.0408163265306145E-2</v>
      </c>
      <c r="D528">
        <v>5364.98</v>
      </c>
      <c r="E528">
        <v>-1.6421152982372678E-2</v>
      </c>
      <c r="F528">
        <v>184.982</v>
      </c>
      <c r="G528">
        <f t="shared" si="16"/>
        <v>4.8545263863510879E-3</v>
      </c>
      <c r="H528">
        <v>3.9506100000000002E-3</v>
      </c>
      <c r="I528">
        <f t="shared" si="17"/>
        <v>-4.6930000000000149E-5</v>
      </c>
      <c r="J528" s="6">
        <v>1</v>
      </c>
      <c r="K528">
        <v>1</v>
      </c>
      <c r="L528" t="b">
        <f>$K$528*$C$528&gt;0</f>
        <v>0</v>
      </c>
      <c r="N528" s="3"/>
    </row>
    <row r="529" spans="1:14" x14ac:dyDescent="0.45">
      <c r="A529" s="3">
        <v>43136</v>
      </c>
      <c r="B529">
        <v>13.94</v>
      </c>
      <c r="C529">
        <v>-1.5536723163841804E-2</v>
      </c>
      <c r="D529">
        <v>5285.83</v>
      </c>
      <c r="E529">
        <v>-1.4753083888476737E-2</v>
      </c>
      <c r="F529">
        <v>185.5265</v>
      </c>
      <c r="G529">
        <f t="shared" si="16"/>
        <v>-2.9348907029453919E-3</v>
      </c>
      <c r="H529">
        <v>4.0264200000000002E-3</v>
      </c>
      <c r="I529">
        <f t="shared" si="17"/>
        <v>-7.580999999999994E-5</v>
      </c>
      <c r="J529" s="6">
        <v>1</v>
      </c>
      <c r="K529">
        <v>1</v>
      </c>
      <c r="L529" t="b">
        <f>$K$529*$C$529&gt;0</f>
        <v>0</v>
      </c>
      <c r="N529" s="3"/>
    </row>
    <row r="530" spans="1:14" x14ac:dyDescent="0.45">
      <c r="A530" s="3">
        <v>43137</v>
      </c>
      <c r="B530">
        <v>13.615</v>
      </c>
      <c r="C530">
        <v>-2.3314203730272598E-2</v>
      </c>
      <c r="D530">
        <v>5161.8100000000004</v>
      </c>
      <c r="E530">
        <v>-2.3462729599703303E-2</v>
      </c>
      <c r="F530">
        <v>186.011</v>
      </c>
      <c r="G530">
        <f t="shared" si="16"/>
        <v>-2.6046846691861747E-3</v>
      </c>
      <c r="H530">
        <v>4.1895400000000003E-3</v>
      </c>
      <c r="I530">
        <f t="shared" si="17"/>
        <v>-1.6312000000000011E-4</v>
      </c>
      <c r="J530" s="6">
        <v>1</v>
      </c>
      <c r="K530">
        <v>1</v>
      </c>
      <c r="L530" t="b">
        <f>$K$530*$C$530&gt;0</f>
        <v>0</v>
      </c>
      <c r="N530" s="3"/>
    </row>
    <row r="531" spans="1:14" x14ac:dyDescent="0.45">
      <c r="A531" s="3">
        <v>43138</v>
      </c>
      <c r="B531">
        <v>13.855</v>
      </c>
      <c r="C531">
        <v>1.762761659933898E-2</v>
      </c>
      <c r="D531">
        <v>5255.9</v>
      </c>
      <c r="E531">
        <v>1.8228102157963777E-2</v>
      </c>
      <c r="F531">
        <v>185.27799999999999</v>
      </c>
      <c r="G531">
        <f t="shared" si="16"/>
        <v>3.9562171439675442E-3</v>
      </c>
      <c r="H531">
        <v>4.1145299999999999E-3</v>
      </c>
      <c r="I531">
        <f t="shared" si="17"/>
        <v>7.5010000000000354E-5</v>
      </c>
      <c r="J531" s="6">
        <v>1</v>
      </c>
      <c r="K531">
        <v>1</v>
      </c>
      <c r="L531" t="b">
        <f>$K$531*$C$531&gt;0</f>
        <v>1</v>
      </c>
      <c r="N531" s="3"/>
    </row>
    <row r="532" spans="1:14" x14ac:dyDescent="0.45">
      <c r="A532" s="3">
        <v>43139</v>
      </c>
      <c r="B532">
        <v>13.545</v>
      </c>
      <c r="C532">
        <v>-2.2374594009382909E-2</v>
      </c>
      <c r="D532">
        <v>5151.68</v>
      </c>
      <c r="E532">
        <v>-1.9829144390113851E-2</v>
      </c>
      <c r="F532">
        <v>184.77799999999999</v>
      </c>
      <c r="G532">
        <f t="shared" si="16"/>
        <v>2.7059498425137107E-3</v>
      </c>
      <c r="H532">
        <v>4.2185699999999996E-3</v>
      </c>
      <c r="I532">
        <f t="shared" si="17"/>
        <v>-1.0403999999999969E-4</v>
      </c>
      <c r="J532" s="6">
        <v>1</v>
      </c>
      <c r="K532">
        <v>1</v>
      </c>
      <c r="L532" t="b">
        <f>$K$532*$C$532&gt;0</f>
        <v>0</v>
      </c>
      <c r="N532" s="3"/>
    </row>
    <row r="533" spans="1:14" x14ac:dyDescent="0.45">
      <c r="A533" s="3">
        <v>43140</v>
      </c>
      <c r="B533">
        <v>13.4</v>
      </c>
      <c r="C533">
        <v>-1.0705057216685132E-2</v>
      </c>
      <c r="D533">
        <v>5079.21</v>
      </c>
      <c r="E533">
        <v>-1.4067255730169648E-2</v>
      </c>
      <c r="F533">
        <v>184.7355</v>
      </c>
      <c r="G533">
        <f t="shared" si="16"/>
        <v>2.3005865142322612E-4</v>
      </c>
      <c r="H533">
        <v>4.4206999999999996E-3</v>
      </c>
      <c r="I533">
        <f t="shared" si="17"/>
        <v>-2.0213000000000002E-4</v>
      </c>
      <c r="J533" s="6">
        <v>1</v>
      </c>
      <c r="K533">
        <v>1</v>
      </c>
      <c r="L533" t="b">
        <f>$K$533*$C$533&gt;0</f>
        <v>0</v>
      </c>
      <c r="N533" s="3"/>
    </row>
    <row r="534" spans="1:14" x14ac:dyDescent="0.45">
      <c r="A534" s="3">
        <v>43143</v>
      </c>
      <c r="B534">
        <v>13.565</v>
      </c>
      <c r="C534">
        <v>1.2313432835820759E-2</v>
      </c>
      <c r="D534">
        <v>5140.0600000000004</v>
      </c>
      <c r="E534">
        <v>1.1980209520771945E-2</v>
      </c>
      <c r="F534">
        <v>184.37950000000001</v>
      </c>
      <c r="G534">
        <f t="shared" si="16"/>
        <v>1.930800333008742E-3</v>
      </c>
      <c r="H534">
        <v>4.4208199999999998E-3</v>
      </c>
      <c r="I534">
        <f t="shared" si="17"/>
        <v>-1.2000000000015471E-7</v>
      </c>
      <c r="J534" s="6">
        <v>1</v>
      </c>
      <c r="K534">
        <v>1</v>
      </c>
      <c r="L534" t="b">
        <f>$K$534*$C$534&gt;0</f>
        <v>1</v>
      </c>
      <c r="N534" s="3"/>
    </row>
    <row r="535" spans="1:14" x14ac:dyDescent="0.45">
      <c r="A535" s="3">
        <v>43144</v>
      </c>
      <c r="B535">
        <v>13.43</v>
      </c>
      <c r="C535">
        <v>-9.9520825654256795E-3</v>
      </c>
      <c r="D535">
        <v>5109.24</v>
      </c>
      <c r="E535">
        <v>-5.9960389567438321E-3</v>
      </c>
      <c r="F535">
        <v>183.934</v>
      </c>
      <c r="G535">
        <f t="shared" si="16"/>
        <v>2.4220644361565569E-3</v>
      </c>
      <c r="H535">
        <v>4.5204700000000004E-3</v>
      </c>
      <c r="I535">
        <f t="shared" si="17"/>
        <v>-9.9650000000000606E-5</v>
      </c>
      <c r="J535" s="6">
        <v>1</v>
      </c>
      <c r="K535">
        <v>1</v>
      </c>
      <c r="L535" t="b">
        <f>$K$535*$C$535&gt;0</f>
        <v>0</v>
      </c>
      <c r="N535" s="3"/>
    </row>
    <row r="536" spans="1:14" x14ac:dyDescent="0.45">
      <c r="A536" s="3">
        <v>43145</v>
      </c>
      <c r="B536">
        <v>13.45</v>
      </c>
      <c r="C536">
        <v>1.4892032762472418E-3</v>
      </c>
      <c r="D536">
        <v>5165.26</v>
      </c>
      <c r="E536">
        <v>1.0964448724272158E-2</v>
      </c>
      <c r="F536">
        <v>183.55250000000001</v>
      </c>
      <c r="G536">
        <f t="shared" si="16"/>
        <v>2.0784244289779874E-3</v>
      </c>
      <c r="H536">
        <v>4.55339E-3</v>
      </c>
      <c r="I536">
        <f t="shared" si="17"/>
        <v>-3.2919999999999651E-5</v>
      </c>
      <c r="J536" s="6">
        <v>1</v>
      </c>
      <c r="K536">
        <v>1</v>
      </c>
      <c r="L536" t="b">
        <f>$K$536*$C$536&gt;0</f>
        <v>1</v>
      </c>
      <c r="N536" s="3"/>
    </row>
    <row r="537" spans="1:14" x14ac:dyDescent="0.45">
      <c r="A537" s="3">
        <v>43146</v>
      </c>
      <c r="B537">
        <v>13.49</v>
      </c>
      <c r="C537">
        <v>2.9739776951673846E-3</v>
      </c>
      <c r="D537">
        <v>5222.5200000000004</v>
      </c>
      <c r="E537">
        <v>1.1085598788831641E-2</v>
      </c>
      <c r="F537">
        <v>183.40299999999999</v>
      </c>
      <c r="G537">
        <f t="shared" si="16"/>
        <v>8.1514479043431898E-4</v>
      </c>
      <c r="H537">
        <v>4.3526299999999997E-3</v>
      </c>
      <c r="I537">
        <f t="shared" si="17"/>
        <v>2.0076000000000035E-4</v>
      </c>
      <c r="J537" s="6">
        <v>1</v>
      </c>
      <c r="K537">
        <v>1</v>
      </c>
      <c r="L537" t="b">
        <f>$K$537*$C$537&gt;0</f>
        <v>1</v>
      </c>
      <c r="N537" s="3"/>
    </row>
    <row r="538" spans="1:14" x14ac:dyDescent="0.45">
      <c r="A538" s="3">
        <v>43147</v>
      </c>
      <c r="B538">
        <v>13.645</v>
      </c>
      <c r="C538">
        <v>1.1489992587101483E-2</v>
      </c>
      <c r="D538">
        <v>5281.58</v>
      </c>
      <c r="E538">
        <v>1.1308716864655288E-2</v>
      </c>
      <c r="F538">
        <v>184.41650000000001</v>
      </c>
      <c r="G538">
        <f t="shared" si="16"/>
        <v>-5.4957121515700758E-3</v>
      </c>
      <c r="H538">
        <v>4.2205400000000001E-3</v>
      </c>
      <c r="I538">
        <f t="shared" si="17"/>
        <v>1.3208999999999964E-4</v>
      </c>
      <c r="J538" s="6">
        <v>1</v>
      </c>
      <c r="K538">
        <v>1</v>
      </c>
      <c r="L538" t="b">
        <f>$K$538*$C$538&gt;0</f>
        <v>1</v>
      </c>
      <c r="N538" s="3"/>
    </row>
    <row r="539" spans="1:14" x14ac:dyDescent="0.45">
      <c r="A539" s="3">
        <v>43150</v>
      </c>
      <c r="B539">
        <v>13.545</v>
      </c>
      <c r="C539">
        <v>-7.3286918285085934E-3</v>
      </c>
      <c r="D539">
        <v>5256.18</v>
      </c>
      <c r="E539">
        <v>-4.809166953828159E-3</v>
      </c>
      <c r="F539">
        <v>183.8965</v>
      </c>
      <c r="G539">
        <f t="shared" si="16"/>
        <v>2.8276775251296904E-3</v>
      </c>
      <c r="H539">
        <v>4.1904000000000004E-3</v>
      </c>
      <c r="I539">
        <f t="shared" si="17"/>
        <v>3.0139999999999681E-5</v>
      </c>
      <c r="J539" s="6">
        <v>1</v>
      </c>
      <c r="K539">
        <v>1</v>
      </c>
      <c r="L539" t="b">
        <f>$K$539*$C$539&gt;0</f>
        <v>0</v>
      </c>
      <c r="N539" s="3"/>
    </row>
    <row r="540" spans="1:14" x14ac:dyDescent="0.45">
      <c r="A540" s="3">
        <v>43151</v>
      </c>
      <c r="B540">
        <v>13.675000000000001</v>
      </c>
      <c r="C540">
        <v>9.597637504614287E-3</v>
      </c>
      <c r="D540">
        <v>5289.86</v>
      </c>
      <c r="E540">
        <v>6.4076953224583288E-3</v>
      </c>
      <c r="F540">
        <v>183.82</v>
      </c>
      <c r="G540">
        <f t="shared" si="16"/>
        <v>4.161679904255422E-4</v>
      </c>
      <c r="H540">
        <v>4.2374500000000002E-3</v>
      </c>
      <c r="I540">
        <f t="shared" si="17"/>
        <v>-4.704999999999987E-5</v>
      </c>
      <c r="J540" s="6">
        <v>1</v>
      </c>
      <c r="K540">
        <v>1</v>
      </c>
      <c r="L540" t="b">
        <f>$K$540*$C$540&gt;0</f>
        <v>1</v>
      </c>
      <c r="N540" s="3"/>
    </row>
    <row r="541" spans="1:14" x14ac:dyDescent="0.45">
      <c r="A541" s="3">
        <v>43152</v>
      </c>
      <c r="B541">
        <v>13.695</v>
      </c>
      <c r="C541">
        <v>1.4625228519196121E-3</v>
      </c>
      <c r="D541">
        <v>5302.17</v>
      </c>
      <c r="E541">
        <v>2.3270937227073407E-3</v>
      </c>
      <c r="F541">
        <v>183.97749999999999</v>
      </c>
      <c r="G541">
        <f t="shared" si="16"/>
        <v>-8.5608294492534043E-4</v>
      </c>
      <c r="H541">
        <v>4.2374200000000004E-3</v>
      </c>
      <c r="I541">
        <f t="shared" si="17"/>
        <v>2.9999999999821836E-8</v>
      </c>
      <c r="J541" s="6">
        <v>1</v>
      </c>
      <c r="K541">
        <v>1</v>
      </c>
      <c r="L541" t="b">
        <f>$K$541*$C$541&gt;0</f>
        <v>1</v>
      </c>
      <c r="N541" s="3"/>
    </row>
    <row r="542" spans="1:14" x14ac:dyDescent="0.45">
      <c r="A542" s="3">
        <v>43153</v>
      </c>
      <c r="B542">
        <v>13.81</v>
      </c>
      <c r="C542">
        <v>8.3972252646951073E-3</v>
      </c>
      <c r="D542">
        <v>5309.23</v>
      </c>
      <c r="E542">
        <v>1.3315302979721721E-3</v>
      </c>
      <c r="F542">
        <v>184.14</v>
      </c>
      <c r="G542">
        <f t="shared" si="16"/>
        <v>-8.8248072119034848E-4</v>
      </c>
      <c r="H542">
        <v>4.3025399999999997E-3</v>
      </c>
      <c r="I542">
        <f t="shared" si="17"/>
        <v>-6.5119999999999241E-5</v>
      </c>
      <c r="J542" s="6">
        <v>1</v>
      </c>
      <c r="K542">
        <v>1</v>
      </c>
      <c r="L542" t="b">
        <f>$K$542*$C$542&gt;0</f>
        <v>1</v>
      </c>
      <c r="N542" s="3"/>
    </row>
    <row r="543" spans="1:14" x14ac:dyDescent="0.45">
      <c r="A543" s="3">
        <v>43154</v>
      </c>
      <c r="B543">
        <v>14.015000000000001</v>
      </c>
      <c r="C543">
        <v>1.4844315713251177E-2</v>
      </c>
      <c r="D543">
        <v>5317.37</v>
      </c>
      <c r="E543">
        <v>1.5331790108923382E-3</v>
      </c>
      <c r="F543">
        <v>185.1345</v>
      </c>
      <c r="G543">
        <f t="shared" si="16"/>
        <v>-5.3717702535184264E-3</v>
      </c>
      <c r="H543">
        <v>4.4111100000000002E-3</v>
      </c>
      <c r="I543">
        <f t="shared" si="17"/>
        <v>-1.0857000000000054E-4</v>
      </c>
      <c r="J543" s="6">
        <v>1</v>
      </c>
      <c r="K543">
        <v>1</v>
      </c>
      <c r="L543" t="b">
        <f>$K$543*$C$543&gt;0</f>
        <v>1</v>
      </c>
      <c r="N543" s="3"/>
    </row>
    <row r="544" spans="1:14" x14ac:dyDescent="0.45">
      <c r="A544" s="3">
        <v>43157</v>
      </c>
      <c r="B544">
        <v>14.04</v>
      </c>
      <c r="C544">
        <v>1.7838030681411876E-3</v>
      </c>
      <c r="D544">
        <v>5344.26</v>
      </c>
      <c r="E544">
        <v>5.0570112668482103E-3</v>
      </c>
      <c r="F544">
        <v>185.2105</v>
      </c>
      <c r="G544">
        <f t="shared" si="16"/>
        <v>-4.1034390598804205E-4</v>
      </c>
      <c r="H544">
        <v>4.3120600000000004E-3</v>
      </c>
      <c r="I544">
        <f t="shared" si="17"/>
        <v>9.9049999999999833E-5</v>
      </c>
      <c r="J544" s="6">
        <v>1</v>
      </c>
      <c r="K544">
        <v>1</v>
      </c>
      <c r="L544" t="b">
        <f>$K$544*$C$544&gt;0</f>
        <v>1</v>
      </c>
      <c r="N544" s="3"/>
    </row>
    <row r="545" spans="1:14" x14ac:dyDescent="0.45">
      <c r="A545" s="3">
        <v>43158</v>
      </c>
      <c r="B545">
        <v>13.97</v>
      </c>
      <c r="C545">
        <v>-4.985754985754931E-3</v>
      </c>
      <c r="D545">
        <v>5343.93</v>
      </c>
      <c r="E545">
        <v>-6.1748492775404173E-5</v>
      </c>
      <c r="F545">
        <v>184.786</v>
      </c>
      <c r="G545">
        <f t="shared" si="16"/>
        <v>2.2972519563169147E-3</v>
      </c>
      <c r="H545">
        <v>4.2633599999999999E-3</v>
      </c>
      <c r="I545">
        <f t="shared" si="17"/>
        <v>4.8700000000000479E-5</v>
      </c>
      <c r="J545" s="6">
        <v>1</v>
      </c>
      <c r="K545">
        <v>1</v>
      </c>
      <c r="L545" t="b">
        <f>$K$545*$C$545&gt;0</f>
        <v>0</v>
      </c>
      <c r="N545" s="3"/>
    </row>
    <row r="546" spans="1:14" x14ac:dyDescent="0.45">
      <c r="A546" s="3">
        <v>43159</v>
      </c>
      <c r="B546">
        <v>13.94</v>
      </c>
      <c r="C546">
        <v>-2.1474588403722628E-3</v>
      </c>
      <c r="D546">
        <v>5320.49</v>
      </c>
      <c r="E546">
        <v>-4.3862849999907194E-3</v>
      </c>
      <c r="F546">
        <v>185.08449999999999</v>
      </c>
      <c r="G546">
        <f t="shared" si="16"/>
        <v>-1.6127768667824061E-3</v>
      </c>
      <c r="H546">
        <v>4.2857900000000003E-3</v>
      </c>
      <c r="I546">
        <f t="shared" si="17"/>
        <v>-2.2430000000000366E-5</v>
      </c>
      <c r="J546" s="6">
        <v>1</v>
      </c>
      <c r="K546">
        <v>1</v>
      </c>
      <c r="L546" t="b">
        <f>$K$546*$C$546&gt;0</f>
        <v>0</v>
      </c>
      <c r="N546" s="3"/>
    </row>
    <row r="547" spans="1:14" x14ac:dyDescent="0.45">
      <c r="A547" s="3">
        <v>43160</v>
      </c>
      <c r="B547">
        <v>13.935</v>
      </c>
      <c r="C547">
        <v>-3.5868005738870501E-4</v>
      </c>
      <c r="D547">
        <v>5262.56</v>
      </c>
      <c r="E547">
        <v>-1.0888094893515277E-2</v>
      </c>
      <c r="F547">
        <v>185.14500000000001</v>
      </c>
      <c r="G547">
        <f t="shared" si="16"/>
        <v>-3.2677090928745489E-4</v>
      </c>
      <c r="H547">
        <v>4.34426E-3</v>
      </c>
      <c r="I547">
        <f t="shared" si="17"/>
        <v>-5.8469999999999703E-5</v>
      </c>
      <c r="J547" s="6">
        <v>1</v>
      </c>
      <c r="K547">
        <v>1</v>
      </c>
      <c r="L547" t="b">
        <f>$K$547*$C$547&gt;0</f>
        <v>0</v>
      </c>
      <c r="N547" s="3"/>
    </row>
    <row r="548" spans="1:14" x14ac:dyDescent="0.45">
      <c r="A548" s="3">
        <v>43161</v>
      </c>
      <c r="B548">
        <v>13.74</v>
      </c>
      <c r="C548">
        <v>-1.3993541442411161E-2</v>
      </c>
      <c r="D548">
        <v>5136.58</v>
      </c>
      <c r="E548">
        <v>-2.3938919461250929E-2</v>
      </c>
      <c r="F548">
        <v>184.71100000000001</v>
      </c>
      <c r="G548">
        <f t="shared" si="16"/>
        <v>2.349616427825163E-3</v>
      </c>
      <c r="H548">
        <v>4.4005600000000004E-3</v>
      </c>
      <c r="I548">
        <f t="shared" si="17"/>
        <v>-5.6300000000000447E-5</v>
      </c>
      <c r="J548" s="6">
        <v>1</v>
      </c>
      <c r="K548">
        <v>1</v>
      </c>
      <c r="L548" t="b">
        <f>$K$548*$C$548&gt;0</f>
        <v>0</v>
      </c>
      <c r="N548" s="3"/>
    </row>
    <row r="549" spans="1:14" x14ac:dyDescent="0.45">
      <c r="A549" s="3">
        <v>43164</v>
      </c>
      <c r="B549">
        <v>13.885</v>
      </c>
      <c r="C549">
        <v>1.0553129548762641E-2</v>
      </c>
      <c r="D549">
        <v>5167.2299999999996</v>
      </c>
      <c r="E549">
        <v>5.9670052836711118E-3</v>
      </c>
      <c r="F549">
        <v>184.5795</v>
      </c>
      <c r="G549">
        <f t="shared" si="16"/>
        <v>7.1243014527633264E-4</v>
      </c>
      <c r="H549">
        <v>4.4271400000000004E-3</v>
      </c>
      <c r="I549">
        <f t="shared" si="17"/>
        <v>-2.6580000000000006E-5</v>
      </c>
      <c r="J549" s="6">
        <v>1</v>
      </c>
      <c r="K549">
        <v>1</v>
      </c>
      <c r="L549" t="b">
        <f>$K$549*$C$549&gt;0</f>
        <v>1</v>
      </c>
      <c r="N549" s="3"/>
    </row>
    <row r="550" spans="1:14" x14ac:dyDescent="0.45">
      <c r="A550" s="3">
        <v>43165</v>
      </c>
      <c r="B550">
        <v>13.925000000000001</v>
      </c>
      <c r="C550">
        <v>2.8808066258552145E-3</v>
      </c>
      <c r="D550">
        <v>5170.2299999999996</v>
      </c>
      <c r="E550">
        <v>5.8058185913933968E-4</v>
      </c>
      <c r="F550">
        <v>184.1045</v>
      </c>
      <c r="G550">
        <f t="shared" si="16"/>
        <v>2.5800564353397615E-3</v>
      </c>
      <c r="H550">
        <v>4.3036100000000002E-3</v>
      </c>
      <c r="I550">
        <f t="shared" si="17"/>
        <v>1.2353000000000017E-4</v>
      </c>
      <c r="J550" s="6">
        <v>1</v>
      </c>
      <c r="K550">
        <v>1</v>
      </c>
      <c r="L550" t="b">
        <f>$K$550*$C$550&gt;0</f>
        <v>1</v>
      </c>
      <c r="N550" s="3"/>
    </row>
    <row r="551" spans="1:14" x14ac:dyDescent="0.45">
      <c r="A551" s="3">
        <v>43166</v>
      </c>
      <c r="B551">
        <v>14.005000000000001</v>
      </c>
      <c r="C551">
        <v>5.7450628366246814E-3</v>
      </c>
      <c r="D551">
        <v>5187.83</v>
      </c>
      <c r="E551">
        <v>3.4041038793246603E-3</v>
      </c>
      <c r="F551">
        <v>184.488</v>
      </c>
      <c r="G551">
        <f t="shared" si="16"/>
        <v>-2.0787259875980624E-3</v>
      </c>
      <c r="H551">
        <v>4.30087E-3</v>
      </c>
      <c r="I551">
        <f t="shared" si="17"/>
        <v>2.7400000000002075E-6</v>
      </c>
      <c r="J551" s="6">
        <v>1</v>
      </c>
      <c r="K551">
        <v>1</v>
      </c>
      <c r="L551" t="b">
        <f>$K$551*$C$551&gt;0</f>
        <v>1</v>
      </c>
      <c r="N551" s="3"/>
    </row>
    <row r="552" spans="1:14" x14ac:dyDescent="0.45">
      <c r="A552" s="3">
        <v>43167</v>
      </c>
      <c r="B552">
        <v>14.12</v>
      </c>
      <c r="C552">
        <v>8.2113530881826602E-3</v>
      </c>
      <c r="D552">
        <v>5254.1</v>
      </c>
      <c r="E552">
        <v>1.2774127139864033E-2</v>
      </c>
      <c r="F552">
        <v>185.02549999999999</v>
      </c>
      <c r="G552">
        <f t="shared" si="16"/>
        <v>-2.9050049857992644E-3</v>
      </c>
      <c r="H552">
        <v>4.2444400000000004E-3</v>
      </c>
      <c r="I552">
        <f t="shared" si="17"/>
        <v>5.6429999999999675E-5</v>
      </c>
      <c r="J552" s="6">
        <v>1</v>
      </c>
      <c r="K552">
        <v>1</v>
      </c>
      <c r="L552" t="b">
        <f>$K$552*$C$552&gt;0</f>
        <v>1</v>
      </c>
      <c r="N552" s="3"/>
    </row>
    <row r="553" spans="1:14" x14ac:dyDescent="0.45">
      <c r="A553" s="3">
        <v>43168</v>
      </c>
      <c r="B553">
        <v>14.22</v>
      </c>
      <c r="C553">
        <v>7.0821529745044298E-3</v>
      </c>
      <c r="D553">
        <v>5274.4</v>
      </c>
      <c r="E553">
        <v>3.8636493405148631E-3</v>
      </c>
      <c r="F553">
        <v>184.62</v>
      </c>
      <c r="G553">
        <f t="shared" si="16"/>
        <v>2.1964034232477836E-3</v>
      </c>
      <c r="H553">
        <v>4.1695400000000002E-3</v>
      </c>
      <c r="I553">
        <f t="shared" si="17"/>
        <v>7.490000000000014E-5</v>
      </c>
      <c r="J553" s="6">
        <v>1</v>
      </c>
      <c r="K553">
        <v>1</v>
      </c>
      <c r="L553" t="b">
        <f>$K$553*$C$553&gt;0</f>
        <v>1</v>
      </c>
      <c r="N553" s="3"/>
    </row>
    <row r="554" spans="1:14" x14ac:dyDescent="0.45">
      <c r="A554" s="3">
        <v>43171</v>
      </c>
      <c r="B554">
        <v>14.215</v>
      </c>
      <c r="C554">
        <v>-3.5161744022504937E-4</v>
      </c>
      <c r="D554">
        <v>5276.71</v>
      </c>
      <c r="E554">
        <v>4.3796450781141694E-4</v>
      </c>
      <c r="F554">
        <v>184.96600000000001</v>
      </c>
      <c r="G554">
        <f t="shared" si="16"/>
        <v>-1.8706140588000686E-3</v>
      </c>
      <c r="H554">
        <v>4.0639700000000001E-3</v>
      </c>
      <c r="I554">
        <f t="shared" si="17"/>
        <v>1.0557000000000014E-4</v>
      </c>
      <c r="J554" s="6">
        <v>1</v>
      </c>
      <c r="K554">
        <v>1</v>
      </c>
      <c r="L554" t="b">
        <f>$K$554*$C$554&gt;0</f>
        <v>0</v>
      </c>
      <c r="N554" s="3"/>
    </row>
    <row r="555" spans="1:14" x14ac:dyDescent="0.45">
      <c r="A555" s="3">
        <v>43172</v>
      </c>
      <c r="B555">
        <v>13.984999999999999</v>
      </c>
      <c r="C555">
        <v>-1.6180091452690837E-2</v>
      </c>
      <c r="D555">
        <v>5242.79</v>
      </c>
      <c r="E555">
        <v>-6.4282479044708296E-3</v>
      </c>
      <c r="F555">
        <v>184.774</v>
      </c>
      <c r="G555">
        <f t="shared" si="16"/>
        <v>1.0391072337017082E-3</v>
      </c>
      <c r="H555">
        <v>3.9874400000000001E-3</v>
      </c>
      <c r="I555">
        <f t="shared" si="17"/>
        <v>7.6530000000000001E-5</v>
      </c>
      <c r="J555" s="6">
        <v>1</v>
      </c>
      <c r="K555">
        <v>1</v>
      </c>
      <c r="L555" t="b">
        <f>$K$555*$C$555&gt;0</f>
        <v>0</v>
      </c>
      <c r="N555" s="3"/>
    </row>
    <row r="556" spans="1:14" x14ac:dyDescent="0.45">
      <c r="A556" s="3">
        <v>43173</v>
      </c>
      <c r="B556">
        <v>13.975</v>
      </c>
      <c r="C556">
        <v>-7.1505184125852939E-4</v>
      </c>
      <c r="D556">
        <v>5233.3599999999997</v>
      </c>
      <c r="E556">
        <v>-1.7986606367984548E-3</v>
      </c>
      <c r="F556">
        <v>184.90350000000001</v>
      </c>
      <c r="G556">
        <f t="shared" si="16"/>
        <v>-7.0036532569694998E-4</v>
      </c>
      <c r="H556">
        <v>3.9553499999999998E-3</v>
      </c>
      <c r="I556">
        <f t="shared" si="17"/>
        <v>3.2090000000000243E-5</v>
      </c>
      <c r="J556" s="6">
        <v>1</v>
      </c>
      <c r="K556">
        <v>1</v>
      </c>
      <c r="L556" t="b">
        <f>$K$556*$C$556&gt;0</f>
        <v>0</v>
      </c>
      <c r="N556" s="3"/>
    </row>
    <row r="557" spans="1:14" x14ac:dyDescent="0.45">
      <c r="A557" s="3">
        <v>43174</v>
      </c>
      <c r="B557">
        <v>13.95</v>
      </c>
      <c r="C557">
        <v>-1.7889087656529634E-3</v>
      </c>
      <c r="D557">
        <v>5267.26</v>
      </c>
      <c r="E557">
        <v>6.4776739991134757E-3</v>
      </c>
      <c r="F557">
        <v>184.477</v>
      </c>
      <c r="G557">
        <f t="shared" si="16"/>
        <v>2.3119413260190846E-3</v>
      </c>
      <c r="H557">
        <v>3.9581599999999996E-3</v>
      </c>
      <c r="I557">
        <f t="shared" si="17"/>
        <v>-2.8099999999997918E-6</v>
      </c>
      <c r="J557" s="6">
        <v>1</v>
      </c>
      <c r="K557">
        <v>1</v>
      </c>
      <c r="L557" t="b">
        <f>$K$557*$C$557&gt;0</f>
        <v>0</v>
      </c>
      <c r="N557" s="3"/>
    </row>
    <row r="558" spans="1:14" x14ac:dyDescent="0.45">
      <c r="A558" s="3">
        <v>43175</v>
      </c>
      <c r="B558">
        <v>14.035</v>
      </c>
      <c r="C558">
        <v>6.0931899641578635E-3</v>
      </c>
      <c r="D558">
        <v>5282.75</v>
      </c>
      <c r="E558">
        <v>2.9408079342960747E-3</v>
      </c>
      <c r="F558">
        <v>184.35499999999999</v>
      </c>
      <c r="G558">
        <f t="shared" si="16"/>
        <v>6.6176670011675043E-4</v>
      </c>
      <c r="H558">
        <v>3.9398100000000002E-3</v>
      </c>
      <c r="I558">
        <f t="shared" si="17"/>
        <v>1.8349999999999443E-5</v>
      </c>
      <c r="J558" s="6">
        <v>1</v>
      </c>
      <c r="K558">
        <v>1</v>
      </c>
      <c r="L558" t="b">
        <f>$K$558*$C$558&gt;0</f>
        <v>1</v>
      </c>
      <c r="N558" s="3"/>
    </row>
    <row r="559" spans="1:14" x14ac:dyDescent="0.45">
      <c r="A559" s="3">
        <v>43178</v>
      </c>
      <c r="B559">
        <v>13.95</v>
      </c>
      <c r="C559">
        <v>-6.0562878517991248E-3</v>
      </c>
      <c r="D559">
        <v>5222.84</v>
      </c>
      <c r="E559">
        <v>-1.1340684302683202E-2</v>
      </c>
      <c r="F559">
        <v>183.09450000000001</v>
      </c>
      <c r="G559">
        <f t="shared" si="16"/>
        <v>6.8844230711462284E-3</v>
      </c>
      <c r="H559">
        <v>4.0109799999999999E-3</v>
      </c>
      <c r="I559">
        <f t="shared" si="17"/>
        <v>-7.116999999999974E-5</v>
      </c>
      <c r="J559" s="6">
        <v>1</v>
      </c>
      <c r="K559">
        <v>1</v>
      </c>
      <c r="L559" t="b">
        <f>$K$559*$C$559&gt;0</f>
        <v>0</v>
      </c>
      <c r="N559" s="3"/>
    </row>
    <row r="560" spans="1:14" x14ac:dyDescent="0.45">
      <c r="A560" s="3">
        <v>43179</v>
      </c>
      <c r="B560">
        <v>13.904999999999999</v>
      </c>
      <c r="C560">
        <v>-3.225806451612856E-3</v>
      </c>
      <c r="D560">
        <v>5252.43</v>
      </c>
      <c r="E560">
        <v>5.6654999961707198E-3</v>
      </c>
      <c r="F560">
        <v>182.0515</v>
      </c>
      <c r="G560">
        <f t="shared" si="16"/>
        <v>5.7291480707382103E-3</v>
      </c>
      <c r="H560">
        <v>4.4295200000000002E-3</v>
      </c>
      <c r="I560">
        <f t="shared" si="17"/>
        <v>-4.1854000000000023E-4</v>
      </c>
      <c r="J560" s="6">
        <v>1</v>
      </c>
      <c r="K560">
        <v>1</v>
      </c>
      <c r="L560" t="b">
        <f>$K$560*$C$560&gt;0</f>
        <v>0</v>
      </c>
      <c r="N560" s="3"/>
    </row>
    <row r="561" spans="1:14" x14ac:dyDescent="0.45">
      <c r="A561" s="3">
        <v>43180</v>
      </c>
      <c r="B561">
        <v>13.805</v>
      </c>
      <c r="C561">
        <v>-7.1916576770945095E-3</v>
      </c>
      <c r="D561">
        <v>5239.74</v>
      </c>
      <c r="E561">
        <v>-2.4160245829074611E-3</v>
      </c>
      <c r="F561">
        <v>181.8665</v>
      </c>
      <c r="G561">
        <f t="shared" si="16"/>
        <v>1.0172296712149809E-3</v>
      </c>
      <c r="H561">
        <v>4.4214399999999996E-3</v>
      </c>
      <c r="I561">
        <f t="shared" si="17"/>
        <v>8.0800000000005867E-6</v>
      </c>
      <c r="J561" s="6">
        <v>1</v>
      </c>
      <c r="K561">
        <v>1</v>
      </c>
      <c r="L561" t="b">
        <f>$K$561*$C$561&gt;0</f>
        <v>0</v>
      </c>
      <c r="N561" s="3"/>
    </row>
    <row r="562" spans="1:14" x14ac:dyDescent="0.45">
      <c r="A562" s="3">
        <v>43181</v>
      </c>
      <c r="B562">
        <v>13.63</v>
      </c>
      <c r="C562">
        <v>-1.2676566461426897E-2</v>
      </c>
      <c r="D562">
        <v>5167.21</v>
      </c>
      <c r="E562">
        <v>-1.3842289884612557E-2</v>
      </c>
      <c r="F562">
        <v>182.852</v>
      </c>
      <c r="G562">
        <f t="shared" si="16"/>
        <v>-5.3896047076323894E-3</v>
      </c>
      <c r="H562">
        <v>4.5336300000000003E-3</v>
      </c>
      <c r="I562">
        <f t="shared" si="17"/>
        <v>-1.1219000000000073E-4</v>
      </c>
      <c r="J562" s="6">
        <v>1</v>
      </c>
      <c r="K562">
        <v>1</v>
      </c>
      <c r="L562" t="b">
        <f>$K$562*$C$562&gt;0</f>
        <v>0</v>
      </c>
      <c r="N562" s="3"/>
    </row>
    <row r="563" spans="1:14" x14ac:dyDescent="0.45">
      <c r="A563" s="3">
        <v>43182</v>
      </c>
      <c r="B563">
        <v>13.555</v>
      </c>
      <c r="C563">
        <v>-5.5025678650036935E-3</v>
      </c>
      <c r="D563">
        <v>5095.22</v>
      </c>
      <c r="E563">
        <v>-1.3932083271243068E-2</v>
      </c>
      <c r="F563">
        <v>182.77950000000001</v>
      </c>
      <c r="G563">
        <f t="shared" si="16"/>
        <v>3.9665279749634408E-4</v>
      </c>
      <c r="H563">
        <v>4.6317099999999998E-3</v>
      </c>
      <c r="I563">
        <f t="shared" si="17"/>
        <v>-9.8079999999999522E-5</v>
      </c>
      <c r="J563" s="6">
        <v>1</v>
      </c>
      <c r="K563">
        <v>1</v>
      </c>
      <c r="L563" t="b">
        <f>$K$563*$C$563&gt;0</f>
        <v>0</v>
      </c>
      <c r="N563" s="3"/>
    </row>
    <row r="564" spans="1:14" x14ac:dyDescent="0.45">
      <c r="A564" s="3">
        <v>43185</v>
      </c>
      <c r="B564">
        <v>13.47</v>
      </c>
      <c r="C564">
        <v>-6.2707488011802814E-3</v>
      </c>
      <c r="D564">
        <v>5066.28</v>
      </c>
      <c r="E564">
        <v>-5.6798332554827136E-3</v>
      </c>
      <c r="F564">
        <v>182.72900000000001</v>
      </c>
      <c r="G564">
        <f t="shared" si="16"/>
        <v>2.7636554679344449E-4</v>
      </c>
      <c r="H564">
        <v>4.6447399999999996E-3</v>
      </c>
      <c r="I564">
        <f t="shared" si="17"/>
        <v>-1.3029999999999813E-5</v>
      </c>
      <c r="J564" s="6">
        <v>1</v>
      </c>
      <c r="K564">
        <v>1</v>
      </c>
      <c r="L564" t="b">
        <f>$K$564*$C$564&gt;0</f>
        <v>0</v>
      </c>
      <c r="N564" s="3"/>
    </row>
    <row r="565" spans="1:14" x14ac:dyDescent="0.45">
      <c r="A565" s="3">
        <v>43186</v>
      </c>
      <c r="B565">
        <v>13.625</v>
      </c>
      <c r="C565">
        <v>1.1507052709725185E-2</v>
      </c>
      <c r="D565">
        <v>5115.74</v>
      </c>
      <c r="E565">
        <v>9.7625871448083767E-3</v>
      </c>
      <c r="F565">
        <v>183.09</v>
      </c>
      <c r="G565">
        <f t="shared" si="16"/>
        <v>-1.9717079032169904E-3</v>
      </c>
      <c r="H565">
        <v>4.6261699999999998E-3</v>
      </c>
      <c r="I565">
        <f t="shared" si="17"/>
        <v>1.8569999999999871E-5</v>
      </c>
      <c r="J565" s="6">
        <v>1</v>
      </c>
      <c r="K565">
        <v>1</v>
      </c>
      <c r="L565" t="b">
        <f>$K$565*$C$565&gt;0</f>
        <v>1</v>
      </c>
      <c r="N565" s="3"/>
    </row>
    <row r="566" spans="1:14" x14ac:dyDescent="0.45">
      <c r="A566" s="3">
        <v>43187</v>
      </c>
      <c r="B566">
        <v>13.73</v>
      </c>
      <c r="C566">
        <v>7.706422018348702E-3</v>
      </c>
      <c r="D566">
        <v>5130.4399999999996</v>
      </c>
      <c r="E566">
        <v>2.873484578965968E-3</v>
      </c>
      <c r="F566">
        <v>182.95599999999999</v>
      </c>
      <c r="G566">
        <f t="shared" si="16"/>
        <v>7.3241653730948819E-4</v>
      </c>
      <c r="H566">
        <v>4.7407100000000004E-3</v>
      </c>
      <c r="I566">
        <f t="shared" si="17"/>
        <v>-1.1454000000000065E-4</v>
      </c>
      <c r="J566" s="6">
        <v>1</v>
      </c>
      <c r="K566">
        <v>1</v>
      </c>
      <c r="L566" t="b">
        <f>$K$566*$C$566&gt;0</f>
        <v>1</v>
      </c>
      <c r="N566" s="3"/>
    </row>
    <row r="567" spans="1:14" x14ac:dyDescent="0.45">
      <c r="A567" s="3">
        <v>43188</v>
      </c>
      <c r="B567">
        <v>13.785</v>
      </c>
      <c r="C567">
        <v>4.0058266569555911E-3</v>
      </c>
      <c r="D567">
        <v>5167.3</v>
      </c>
      <c r="E567">
        <v>7.184568964845317E-3</v>
      </c>
      <c r="F567">
        <v>182.97499999999999</v>
      </c>
      <c r="G567">
        <f t="shared" si="16"/>
        <v>-1.0383932231183834E-4</v>
      </c>
      <c r="H567">
        <v>4.7141800000000001E-3</v>
      </c>
      <c r="I567">
        <f t="shared" si="17"/>
        <v>2.6530000000000303E-5</v>
      </c>
      <c r="J567" s="6">
        <v>1</v>
      </c>
      <c r="K567">
        <v>1</v>
      </c>
      <c r="L567" t="b">
        <f>$K$567*$C$567&gt;0</f>
        <v>1</v>
      </c>
      <c r="N567" s="3"/>
    </row>
    <row r="568" spans="1:14" x14ac:dyDescent="0.45">
      <c r="A568" s="3">
        <v>43193</v>
      </c>
      <c r="B568">
        <v>13.715</v>
      </c>
      <c r="C568">
        <v>-5.0779833151977094E-3</v>
      </c>
      <c r="D568">
        <v>5152.12</v>
      </c>
      <c r="E568">
        <v>-2.9377044104271777E-3</v>
      </c>
      <c r="F568">
        <v>182.85849999999999</v>
      </c>
      <c r="G568">
        <f t="shared" si="16"/>
        <v>6.3710464648902843E-4</v>
      </c>
      <c r="H568">
        <v>4.8363E-3</v>
      </c>
      <c r="I568">
        <f t="shared" si="17"/>
        <v>-1.2211999999999987E-4</v>
      </c>
      <c r="J568" s="6">
        <v>1</v>
      </c>
      <c r="K568">
        <v>1</v>
      </c>
      <c r="L568" t="b">
        <f>$K$568*$C$568&gt;0</f>
        <v>0</v>
      </c>
      <c r="N568" s="3"/>
    </row>
    <row r="569" spans="1:14" x14ac:dyDescent="0.45">
      <c r="A569" s="3">
        <v>43194</v>
      </c>
      <c r="B569">
        <v>13.72</v>
      </c>
      <c r="C569">
        <v>3.6456434560716566E-4</v>
      </c>
      <c r="D569">
        <v>5141.8</v>
      </c>
      <c r="E569">
        <v>-2.0030589349626648E-3</v>
      </c>
      <c r="F569">
        <v>182.88900000000001</v>
      </c>
      <c r="G569">
        <f t="shared" si="16"/>
        <v>-1.6676782091884501E-4</v>
      </c>
      <c r="H569">
        <v>4.92494E-3</v>
      </c>
      <c r="I569">
        <f t="shared" si="17"/>
        <v>-8.8640000000000073E-5</v>
      </c>
      <c r="J569" s="6">
        <v>1</v>
      </c>
      <c r="K569">
        <v>1</v>
      </c>
      <c r="L569" t="b">
        <f>$K$569*$C$569&gt;0</f>
        <v>1</v>
      </c>
      <c r="N569" s="3"/>
    </row>
    <row r="570" spans="1:14" x14ac:dyDescent="0.45">
      <c r="A570" s="3">
        <v>43195</v>
      </c>
      <c r="B570">
        <v>13.975</v>
      </c>
      <c r="C570">
        <v>1.8586005830903751E-2</v>
      </c>
      <c r="D570">
        <v>5276.67</v>
      </c>
      <c r="E570">
        <v>2.6230113967871116E-2</v>
      </c>
      <c r="F570">
        <v>182.4075</v>
      </c>
      <c r="G570">
        <f t="shared" si="16"/>
        <v>2.6396940915258682E-3</v>
      </c>
      <c r="H570">
        <v>4.8397300000000004E-3</v>
      </c>
      <c r="I570">
        <f t="shared" si="17"/>
        <v>8.5209999999999626E-5</v>
      </c>
      <c r="J570" s="6">
        <v>1</v>
      </c>
      <c r="K570">
        <v>1</v>
      </c>
      <c r="L570" t="b">
        <f>$K$570*$C$570&gt;0</f>
        <v>1</v>
      </c>
      <c r="N570" s="3"/>
    </row>
    <row r="571" spans="1:14" x14ac:dyDescent="0.45">
      <c r="A571" s="3">
        <v>43196</v>
      </c>
      <c r="B571">
        <v>13.97</v>
      </c>
      <c r="C571">
        <v>-3.5778175313050387E-4</v>
      </c>
      <c r="D571">
        <v>5258.24</v>
      </c>
      <c r="E571">
        <v>-3.4927331062962752E-3</v>
      </c>
      <c r="F571">
        <v>182.89599999999999</v>
      </c>
      <c r="G571">
        <f t="shared" si="16"/>
        <v>-2.6709168051788357E-3</v>
      </c>
      <c r="H571">
        <v>4.8019899999999999E-3</v>
      </c>
      <c r="I571">
        <f t="shared" si="17"/>
        <v>3.7740000000000516E-5</v>
      </c>
      <c r="J571" s="6">
        <v>1</v>
      </c>
      <c r="K571">
        <v>1</v>
      </c>
      <c r="L571" t="b">
        <f>$K$571*$C$571&gt;0</f>
        <v>0</v>
      </c>
      <c r="N571" s="3"/>
    </row>
    <row r="572" spans="1:14" x14ac:dyDescent="0.45">
      <c r="A572" s="3">
        <v>43199</v>
      </c>
      <c r="B572">
        <v>14.11</v>
      </c>
      <c r="C572">
        <v>1.0021474588403745E-2</v>
      </c>
      <c r="D572">
        <v>5263.39</v>
      </c>
      <c r="E572">
        <v>9.7941516553068375E-4</v>
      </c>
      <c r="F572">
        <v>182.72550000000001</v>
      </c>
      <c r="G572">
        <f t="shared" si="16"/>
        <v>9.3309362951510266E-4</v>
      </c>
      <c r="H572">
        <v>4.7748000000000001E-3</v>
      </c>
      <c r="I572">
        <f t="shared" si="17"/>
        <v>2.7189999999999853E-5</v>
      </c>
      <c r="J572" s="6">
        <v>1</v>
      </c>
      <c r="K572">
        <v>1</v>
      </c>
      <c r="L572" t="b">
        <f>$K$572*$C$572&gt;0</f>
        <v>1</v>
      </c>
      <c r="N572" s="3"/>
    </row>
    <row r="573" spans="1:14" x14ac:dyDescent="0.45">
      <c r="A573" s="3">
        <v>43200</v>
      </c>
      <c r="B573">
        <v>14.16</v>
      </c>
      <c r="C573">
        <v>3.5435861091424048E-3</v>
      </c>
      <c r="D573">
        <v>5307.56</v>
      </c>
      <c r="E573">
        <v>8.3919299158907723E-3</v>
      </c>
      <c r="F573">
        <v>182.54599999999999</v>
      </c>
      <c r="G573">
        <f t="shared" si="16"/>
        <v>9.8331379487914816E-4</v>
      </c>
      <c r="H573">
        <v>4.7098399999999999E-3</v>
      </c>
      <c r="I573">
        <f t="shared" si="17"/>
        <v>6.4960000000000191E-5</v>
      </c>
      <c r="J573" s="6">
        <v>1</v>
      </c>
      <c r="K573">
        <v>1</v>
      </c>
      <c r="L573" t="b">
        <f>$K$573*$C$573&gt;0</f>
        <v>1</v>
      </c>
      <c r="N573" s="3"/>
    </row>
    <row r="574" spans="1:14" x14ac:dyDescent="0.45">
      <c r="A574" s="3">
        <v>43201</v>
      </c>
      <c r="B574">
        <v>14.12</v>
      </c>
      <c r="C574">
        <v>-2.8248587570621764E-3</v>
      </c>
      <c r="D574">
        <v>5277.94</v>
      </c>
      <c r="E574">
        <v>-5.5807188237158023E-3</v>
      </c>
      <c r="F574">
        <v>182.80850000000001</v>
      </c>
      <c r="G574">
        <f t="shared" si="16"/>
        <v>-1.4359288545118254E-3</v>
      </c>
      <c r="H574">
        <v>4.6787900000000004E-3</v>
      </c>
      <c r="I574">
        <f t="shared" si="17"/>
        <v>3.1049999999999481E-5</v>
      </c>
      <c r="J574" s="6">
        <v>1</v>
      </c>
      <c r="K574">
        <v>1</v>
      </c>
      <c r="L574" t="b">
        <f>$K$574*$C$574&gt;0</f>
        <v>0</v>
      </c>
      <c r="N574" s="3"/>
    </row>
    <row r="575" spans="1:14" x14ac:dyDescent="0.45">
      <c r="A575" s="3">
        <v>43202</v>
      </c>
      <c r="B575">
        <v>14.2</v>
      </c>
      <c r="C575">
        <v>5.6657223796034994E-3</v>
      </c>
      <c r="D575">
        <v>5309.22</v>
      </c>
      <c r="E575">
        <v>5.9265546785300938E-3</v>
      </c>
      <c r="F575">
        <v>182.47399999999999</v>
      </c>
      <c r="G575">
        <f t="shared" si="16"/>
        <v>1.8331378716969216E-3</v>
      </c>
      <c r="H575">
        <v>4.5495099999999997E-3</v>
      </c>
      <c r="I575">
        <f t="shared" si="17"/>
        <v>1.2928000000000071E-4</v>
      </c>
      <c r="J575" s="6">
        <v>1</v>
      </c>
      <c r="K575">
        <v>1</v>
      </c>
      <c r="L575" t="b">
        <f>$K$575*$C$575&gt;0</f>
        <v>1</v>
      </c>
      <c r="N575" s="3"/>
    </row>
    <row r="576" spans="1:14" x14ac:dyDescent="0.45">
      <c r="A576" s="3">
        <v>43203</v>
      </c>
      <c r="B576">
        <v>14.16</v>
      </c>
      <c r="C576">
        <v>-2.8169014084505895E-3</v>
      </c>
      <c r="D576">
        <v>5315.02</v>
      </c>
      <c r="E576">
        <v>1.0924391906910191E-3</v>
      </c>
      <c r="F576">
        <v>182.71899999999999</v>
      </c>
      <c r="G576">
        <f t="shared" si="16"/>
        <v>-1.3408567253542225E-3</v>
      </c>
      <c r="H576">
        <v>4.4917200000000003E-3</v>
      </c>
      <c r="I576">
        <f t="shared" si="17"/>
        <v>5.7789999999999404E-5</v>
      </c>
      <c r="J576" s="6">
        <v>1</v>
      </c>
      <c r="K576">
        <v>1</v>
      </c>
      <c r="L576" t="b">
        <f>$K$576*$C$576&gt;0</f>
        <v>0</v>
      </c>
      <c r="N576" s="3"/>
    </row>
    <row r="577" spans="1:14" x14ac:dyDescent="0.45">
      <c r="A577" s="3">
        <v>43206</v>
      </c>
      <c r="B577">
        <v>14.38</v>
      </c>
      <c r="C577">
        <v>1.5536723163841915E-2</v>
      </c>
      <c r="D577">
        <v>5312.96</v>
      </c>
      <c r="E577">
        <v>-3.8758085576351409E-4</v>
      </c>
      <c r="F577">
        <v>182.54349999999999</v>
      </c>
      <c r="G577">
        <f t="shared" si="16"/>
        <v>9.614146765017928E-4</v>
      </c>
      <c r="H577">
        <v>4.4488100000000001E-3</v>
      </c>
      <c r="I577">
        <f t="shared" si="17"/>
        <v>4.291000000000017E-5</v>
      </c>
      <c r="J577" s="6">
        <v>1</v>
      </c>
      <c r="K577">
        <v>1</v>
      </c>
      <c r="L577" t="b">
        <f>$K$577*$C$577&gt;0</f>
        <v>1</v>
      </c>
      <c r="N577" s="3"/>
    </row>
    <row r="578" spans="1:14" x14ac:dyDescent="0.45">
      <c r="A578" s="3">
        <v>43207</v>
      </c>
      <c r="B578">
        <v>14.484999999999999</v>
      </c>
      <c r="C578">
        <v>7.3018080667592855E-3</v>
      </c>
      <c r="D578">
        <v>5353.54</v>
      </c>
      <c r="E578">
        <v>7.6379268806840983E-3</v>
      </c>
      <c r="F578">
        <v>182.91849999999999</v>
      </c>
      <c r="G578">
        <f t="shared" si="16"/>
        <v>-2.0500933475837702E-3</v>
      </c>
      <c r="H578">
        <v>4.3320499999999996E-3</v>
      </c>
      <c r="I578">
        <f t="shared" si="17"/>
        <v>1.1676000000000047E-4</v>
      </c>
      <c r="J578" s="6">
        <v>1</v>
      </c>
      <c r="K578">
        <v>1</v>
      </c>
      <c r="L578" t="b">
        <f>$K$578*$C$578&gt;0</f>
        <v>1</v>
      </c>
      <c r="N578" s="3"/>
    </row>
    <row r="579" spans="1:14" x14ac:dyDescent="0.45">
      <c r="A579" s="3">
        <v>43208</v>
      </c>
      <c r="B579">
        <v>14.53</v>
      </c>
      <c r="C579">
        <v>3.1066620642044018E-3</v>
      </c>
      <c r="D579">
        <v>5380.17</v>
      </c>
      <c r="E579">
        <v>4.9742787015694123E-3</v>
      </c>
      <c r="F579">
        <v>182.47499999999999</v>
      </c>
      <c r="G579">
        <f t="shared" si="16"/>
        <v>2.4304699273873798E-3</v>
      </c>
      <c r="H579">
        <v>4.3317099999999999E-3</v>
      </c>
      <c r="I579">
        <f t="shared" si="17"/>
        <v>3.3999999999971553E-7</v>
      </c>
      <c r="J579" s="6">
        <v>1</v>
      </c>
      <c r="K579">
        <v>1</v>
      </c>
      <c r="L579" t="b">
        <f>$K$579*$C$579&gt;0</f>
        <v>1</v>
      </c>
      <c r="N579" s="3"/>
    </row>
    <row r="580" spans="1:14" x14ac:dyDescent="0.45">
      <c r="A580" s="3">
        <v>43209</v>
      </c>
      <c r="B580">
        <v>14.51</v>
      </c>
      <c r="C580">
        <v>-1.3764624913971124E-3</v>
      </c>
      <c r="D580">
        <v>5391.64</v>
      </c>
      <c r="E580">
        <v>2.1319028952617725E-3</v>
      </c>
      <c r="F580">
        <v>181.14850000000001</v>
      </c>
      <c r="G580">
        <f t="shared" ref="G580:G643" si="18">F579/F580-1</f>
        <v>7.322721413646649E-3</v>
      </c>
      <c r="H580">
        <v>4.3402099999999997E-3</v>
      </c>
      <c r="I580">
        <f t="shared" ref="I580:I643" si="19">H579-H580</f>
        <v>-8.4999999999998271E-6</v>
      </c>
      <c r="J580" s="6">
        <v>1</v>
      </c>
      <c r="K580">
        <v>1</v>
      </c>
      <c r="L580" t="b">
        <f>$K$580*$C$580&gt;0</f>
        <v>0</v>
      </c>
      <c r="N580" s="3"/>
    </row>
    <row r="581" spans="1:14" x14ac:dyDescent="0.45">
      <c r="A581" s="3">
        <v>43210</v>
      </c>
      <c r="B581">
        <v>14.76</v>
      </c>
      <c r="C581">
        <v>1.7229496898690577E-2</v>
      </c>
      <c r="D581">
        <v>5412.83</v>
      </c>
      <c r="E581">
        <v>3.9301585417423901E-3</v>
      </c>
      <c r="F581">
        <v>181.25</v>
      </c>
      <c r="G581">
        <f t="shared" si="18"/>
        <v>-5.5999999999989392E-4</v>
      </c>
      <c r="H581">
        <v>4.3400599999999998E-3</v>
      </c>
      <c r="I581">
        <f t="shared" si="19"/>
        <v>1.4999999999997654E-7</v>
      </c>
      <c r="J581" s="6">
        <v>1</v>
      </c>
      <c r="K581">
        <v>1</v>
      </c>
      <c r="L581" t="b">
        <f>$K$581*$C$581&gt;0</f>
        <v>1</v>
      </c>
      <c r="N581" s="3"/>
    </row>
    <row r="582" spans="1:14" x14ac:dyDescent="0.45">
      <c r="A582" s="3">
        <v>43213</v>
      </c>
      <c r="B582">
        <v>14.88</v>
      </c>
      <c r="C582">
        <v>8.1300813008131634E-3</v>
      </c>
      <c r="D582">
        <v>5438.55</v>
      </c>
      <c r="E582">
        <v>4.7516733390851051E-3</v>
      </c>
      <c r="F582">
        <v>180.42949999999999</v>
      </c>
      <c r="G582">
        <f t="shared" si="18"/>
        <v>4.5474825347295855E-3</v>
      </c>
      <c r="H582">
        <v>4.3420200000000003E-3</v>
      </c>
      <c r="I582">
        <f t="shared" si="19"/>
        <v>-1.960000000000503E-6</v>
      </c>
      <c r="J582" s="6">
        <v>1</v>
      </c>
      <c r="K582">
        <v>1</v>
      </c>
      <c r="L582" t="b">
        <f>$K$582*$C$582&gt;0</f>
        <v>1</v>
      </c>
      <c r="N582" s="3"/>
    </row>
    <row r="583" spans="1:14" x14ac:dyDescent="0.45">
      <c r="A583" s="3">
        <v>43214</v>
      </c>
      <c r="B583">
        <v>14.81</v>
      </c>
      <c r="C583">
        <v>-4.7043010752688685E-3</v>
      </c>
      <c r="D583">
        <v>5444.16</v>
      </c>
      <c r="E583">
        <v>1.0315249469068366E-3</v>
      </c>
      <c r="F583">
        <v>180.57749999999999</v>
      </c>
      <c r="G583">
        <f t="shared" si="18"/>
        <v>-8.1959269565701209E-4</v>
      </c>
      <c r="H583">
        <v>4.3365299999999999E-3</v>
      </c>
      <c r="I583">
        <f t="shared" si="19"/>
        <v>5.4900000000003557E-6</v>
      </c>
      <c r="J583" s="6">
        <v>1</v>
      </c>
      <c r="K583">
        <v>1</v>
      </c>
      <c r="L583" t="b">
        <f>$K$583*$C$583&gt;0</f>
        <v>0</v>
      </c>
      <c r="N583" s="3"/>
    </row>
    <row r="584" spans="1:14" x14ac:dyDescent="0.45">
      <c r="A584" s="3">
        <v>43215</v>
      </c>
      <c r="B584">
        <v>14.77</v>
      </c>
      <c r="C584">
        <v>-2.7008777852802757E-3</v>
      </c>
      <c r="D584">
        <v>5413.3</v>
      </c>
      <c r="E584">
        <v>-5.6684594133896704E-3</v>
      </c>
      <c r="F584">
        <v>180.5095</v>
      </c>
      <c r="G584">
        <f t="shared" si="18"/>
        <v>3.7671147501927571E-4</v>
      </c>
      <c r="H584">
        <v>4.3774499999999997E-3</v>
      </c>
      <c r="I584">
        <f t="shared" si="19"/>
        <v>-4.0919999999999845E-5</v>
      </c>
      <c r="J584" s="6">
        <v>1</v>
      </c>
      <c r="K584">
        <v>1</v>
      </c>
      <c r="L584" t="b">
        <f>$K$584*$C$584&gt;0</f>
        <v>0</v>
      </c>
      <c r="N584" s="3"/>
    </row>
    <row r="585" spans="1:14" x14ac:dyDescent="0.45">
      <c r="A585" s="3">
        <v>43216</v>
      </c>
      <c r="B585">
        <v>15.025</v>
      </c>
      <c r="C585">
        <v>1.7264725795531621E-2</v>
      </c>
      <c r="D585">
        <v>5453.58</v>
      </c>
      <c r="E585">
        <v>7.4409325180573305E-3</v>
      </c>
      <c r="F585">
        <v>181.23949999999999</v>
      </c>
      <c r="G585">
        <f t="shared" si="18"/>
        <v>-4.0278195426493024E-3</v>
      </c>
      <c r="H585">
        <v>4.3361299999999997E-3</v>
      </c>
      <c r="I585">
        <f t="shared" si="19"/>
        <v>4.1320000000000072E-5</v>
      </c>
      <c r="J585" s="6">
        <v>1</v>
      </c>
      <c r="K585">
        <v>1</v>
      </c>
      <c r="L585" t="b">
        <f>$K$585*$C$585&gt;0</f>
        <v>1</v>
      </c>
      <c r="N585" s="3"/>
    </row>
    <row r="586" spans="1:14" x14ac:dyDescent="0.45">
      <c r="A586" s="3">
        <v>43217</v>
      </c>
      <c r="B586">
        <v>15.035</v>
      </c>
      <c r="C586">
        <v>6.6555740432616695E-4</v>
      </c>
      <c r="D586">
        <v>5483.19</v>
      </c>
      <c r="E586">
        <v>5.4294610145995126E-3</v>
      </c>
      <c r="F586">
        <v>181.6635</v>
      </c>
      <c r="G586">
        <f t="shared" si="18"/>
        <v>-2.3339856382817992E-3</v>
      </c>
      <c r="H586">
        <v>4.3298099999999999E-3</v>
      </c>
      <c r="I586">
        <f t="shared" si="19"/>
        <v>6.3199999999997633E-6</v>
      </c>
      <c r="J586" s="6">
        <v>1</v>
      </c>
      <c r="K586">
        <v>1</v>
      </c>
      <c r="L586" t="b">
        <f>$K$586*$C$586&gt;0</f>
        <v>1</v>
      </c>
      <c r="N586" s="3"/>
    </row>
    <row r="587" spans="1:14" x14ac:dyDescent="0.45">
      <c r="A587" s="3">
        <v>43220</v>
      </c>
      <c r="B587">
        <v>15.115</v>
      </c>
      <c r="C587">
        <v>5.3209178583306649E-3</v>
      </c>
      <c r="D587">
        <v>5520.5</v>
      </c>
      <c r="E587">
        <v>6.8044331857914919E-3</v>
      </c>
      <c r="F587">
        <v>181.83449999999999</v>
      </c>
      <c r="G587">
        <f t="shared" si="18"/>
        <v>-9.4041559770008387E-4</v>
      </c>
      <c r="H587">
        <v>4.3129300000000004E-3</v>
      </c>
      <c r="I587">
        <f t="shared" si="19"/>
        <v>1.68799999999995E-5</v>
      </c>
      <c r="J587" s="6">
        <v>1</v>
      </c>
      <c r="K587">
        <v>1</v>
      </c>
      <c r="L587" t="b">
        <f>$K$587*$C$587&gt;0</f>
        <v>1</v>
      </c>
      <c r="N587" s="3"/>
    </row>
    <row r="588" spans="1:14" x14ac:dyDescent="0.45">
      <c r="A588" s="3">
        <v>43222</v>
      </c>
      <c r="B588">
        <v>15.14</v>
      </c>
      <c r="C588">
        <v>1.6539861065167916E-3</v>
      </c>
      <c r="D588">
        <v>5529.22</v>
      </c>
      <c r="E588">
        <v>1.5795670682003937E-3</v>
      </c>
      <c r="F588">
        <v>181.398</v>
      </c>
      <c r="G588">
        <f t="shared" si="18"/>
        <v>2.4063109846856889E-3</v>
      </c>
      <c r="H588">
        <v>4.2907400000000004E-3</v>
      </c>
      <c r="I588">
        <f t="shared" si="19"/>
        <v>2.2190000000000057E-5</v>
      </c>
      <c r="J588" s="6">
        <v>1</v>
      </c>
      <c r="K588">
        <v>1</v>
      </c>
      <c r="L588" t="b">
        <f>$K$588*$C$588&gt;0</f>
        <v>1</v>
      </c>
      <c r="N588" s="3"/>
    </row>
    <row r="589" spans="1:14" x14ac:dyDescent="0.45">
      <c r="A589" s="3">
        <v>43223</v>
      </c>
      <c r="B589">
        <v>15.095000000000001</v>
      </c>
      <c r="C589">
        <v>-2.972258916776771E-3</v>
      </c>
      <c r="D589">
        <v>5501.66</v>
      </c>
      <c r="E589">
        <v>-4.9844281833604231E-3</v>
      </c>
      <c r="F589">
        <v>182.126</v>
      </c>
      <c r="G589">
        <f t="shared" si="18"/>
        <v>-3.9972326850642448E-3</v>
      </c>
      <c r="H589">
        <v>4.3007000000000002E-3</v>
      </c>
      <c r="I589">
        <f t="shared" si="19"/>
        <v>-9.9599999999998301E-6</v>
      </c>
      <c r="J589" s="6">
        <v>1</v>
      </c>
      <c r="K589">
        <v>1</v>
      </c>
      <c r="L589" t="b">
        <f>$K$589*$C$589&gt;0</f>
        <v>0</v>
      </c>
      <c r="N589" s="3"/>
    </row>
    <row r="590" spans="1:14" x14ac:dyDescent="0.45">
      <c r="A590" s="3">
        <v>43224</v>
      </c>
      <c r="B590">
        <v>15.16</v>
      </c>
      <c r="C590">
        <v>4.3060616098045124E-3</v>
      </c>
      <c r="D590">
        <v>5516.05</v>
      </c>
      <c r="E590">
        <v>2.6155742085116618E-3</v>
      </c>
      <c r="F590">
        <v>181.8015</v>
      </c>
      <c r="G590">
        <f t="shared" si="18"/>
        <v>1.7849137658381142E-3</v>
      </c>
      <c r="H590">
        <v>4.3506999999999999E-3</v>
      </c>
      <c r="I590">
        <f t="shared" si="19"/>
        <v>-4.9999999999999697E-5</v>
      </c>
      <c r="J590" s="6">
        <v>1</v>
      </c>
      <c r="K590">
        <v>1</v>
      </c>
      <c r="L590" t="b">
        <f>$K$590*$C$590&gt;0</f>
        <v>1</v>
      </c>
      <c r="N590" s="3"/>
    </row>
    <row r="591" spans="1:14" x14ac:dyDescent="0.45">
      <c r="A591" s="3">
        <v>43227</v>
      </c>
      <c r="B591">
        <v>15.08</v>
      </c>
      <c r="C591">
        <v>-5.2770448548812299E-3</v>
      </c>
      <c r="D591">
        <v>5531.42</v>
      </c>
      <c r="E591">
        <v>2.7864141913143126E-3</v>
      </c>
      <c r="F591">
        <v>182.054</v>
      </c>
      <c r="G591">
        <f t="shared" si="18"/>
        <v>-1.3869511243916888E-3</v>
      </c>
      <c r="H591">
        <v>4.32878E-3</v>
      </c>
      <c r="I591">
        <f t="shared" si="19"/>
        <v>2.1919999999999926E-5</v>
      </c>
      <c r="J591" s="6">
        <v>1</v>
      </c>
      <c r="K591">
        <v>1</v>
      </c>
      <c r="L591" t="b">
        <f>$K$591*$C$591&gt;0</f>
        <v>0</v>
      </c>
      <c r="N591" s="3"/>
    </row>
    <row r="592" spans="1:14" x14ac:dyDescent="0.45">
      <c r="A592" s="3">
        <v>43228</v>
      </c>
      <c r="B592">
        <v>15.145</v>
      </c>
      <c r="C592">
        <v>4.3103448275860767E-3</v>
      </c>
      <c r="D592">
        <v>5521.93</v>
      </c>
      <c r="E592">
        <v>-1.7156534850002458E-3</v>
      </c>
      <c r="F592">
        <v>181.2945</v>
      </c>
      <c r="G592">
        <f t="shared" si="18"/>
        <v>4.1893162782102866E-3</v>
      </c>
      <c r="H592">
        <v>4.3976800000000002E-3</v>
      </c>
      <c r="I592">
        <f t="shared" si="19"/>
        <v>-6.8900000000000211E-5</v>
      </c>
      <c r="J592" s="6">
        <v>1</v>
      </c>
      <c r="K592">
        <v>1</v>
      </c>
      <c r="L592" t="b">
        <f>$K$592*$C$592&gt;0</f>
        <v>1</v>
      </c>
      <c r="N592" s="3"/>
    </row>
    <row r="593" spans="1:14" x14ac:dyDescent="0.45">
      <c r="A593" s="3">
        <v>43229</v>
      </c>
      <c r="B593">
        <v>15.225</v>
      </c>
      <c r="C593">
        <v>5.282271376692016E-3</v>
      </c>
      <c r="D593">
        <v>5534.63</v>
      </c>
      <c r="E593">
        <v>2.2999204988110034E-3</v>
      </c>
      <c r="F593">
        <v>181.33799999999999</v>
      </c>
      <c r="G593">
        <f t="shared" si="18"/>
        <v>-2.3988353240911309E-4</v>
      </c>
      <c r="H593">
        <v>4.4244999999999996E-3</v>
      </c>
      <c r="I593">
        <f t="shared" si="19"/>
        <v>-2.6819999999999448E-5</v>
      </c>
      <c r="J593" s="6">
        <v>1</v>
      </c>
      <c r="K593">
        <v>1</v>
      </c>
      <c r="L593" t="b">
        <f>$K$593*$C$593&gt;0</f>
        <v>1</v>
      </c>
      <c r="N593" s="3"/>
    </row>
    <row r="594" spans="1:14" x14ac:dyDescent="0.45">
      <c r="A594" s="3">
        <v>43230</v>
      </c>
      <c r="B594">
        <v>15.145</v>
      </c>
      <c r="C594">
        <v>-5.2545155993432013E-3</v>
      </c>
      <c r="D594">
        <v>5545.95</v>
      </c>
      <c r="E594">
        <v>2.0453038414491864E-3</v>
      </c>
      <c r="F594">
        <v>181.35300000000001</v>
      </c>
      <c r="G594">
        <f t="shared" si="18"/>
        <v>-8.2711617673925097E-5</v>
      </c>
      <c r="H594">
        <v>4.4386399999999998E-3</v>
      </c>
      <c r="I594">
        <f t="shared" si="19"/>
        <v>-1.4140000000000159E-5</v>
      </c>
      <c r="J594" s="6">
        <v>1</v>
      </c>
      <c r="K594">
        <v>1</v>
      </c>
      <c r="L594" t="b">
        <f>$K$594*$C$594&gt;0</f>
        <v>0</v>
      </c>
      <c r="N594" s="3"/>
    </row>
    <row r="595" spans="1:14" x14ac:dyDescent="0.45">
      <c r="A595" s="3">
        <v>43231</v>
      </c>
      <c r="B595">
        <v>15.19</v>
      </c>
      <c r="C595">
        <v>2.9712776493893145E-3</v>
      </c>
      <c r="D595">
        <v>5541.94</v>
      </c>
      <c r="E595">
        <v>-7.230501537157652E-4</v>
      </c>
      <c r="F595">
        <v>181.386</v>
      </c>
      <c r="G595">
        <f t="shared" si="18"/>
        <v>-1.8193245344177988E-4</v>
      </c>
      <c r="H595">
        <v>4.3714899999999996E-3</v>
      </c>
      <c r="I595">
        <f t="shared" si="19"/>
        <v>6.7150000000000196E-5</v>
      </c>
      <c r="J595" s="6">
        <v>1</v>
      </c>
      <c r="K595">
        <v>1</v>
      </c>
      <c r="L595" t="b">
        <f>$K$595*$C$595&gt;0</f>
        <v>1</v>
      </c>
      <c r="N595" s="3"/>
    </row>
    <row r="596" spans="1:14" x14ac:dyDescent="0.45">
      <c r="A596" s="3">
        <v>43234</v>
      </c>
      <c r="B596">
        <v>15.01</v>
      </c>
      <c r="C596">
        <v>-1.1849901250822859E-2</v>
      </c>
      <c r="D596">
        <v>5540.68</v>
      </c>
      <c r="E596">
        <v>-2.2735720704292195E-4</v>
      </c>
      <c r="F596">
        <v>180.49950000000001</v>
      </c>
      <c r="G596">
        <f t="shared" si="18"/>
        <v>4.9113709456258814E-3</v>
      </c>
      <c r="H596">
        <v>4.3706500000000002E-3</v>
      </c>
      <c r="I596">
        <f t="shared" si="19"/>
        <v>8.3999999999934821E-7</v>
      </c>
      <c r="J596" s="6">
        <v>1</v>
      </c>
      <c r="K596">
        <v>1</v>
      </c>
      <c r="L596" t="b">
        <f>$K$596*$C$596&gt;0</f>
        <v>0</v>
      </c>
      <c r="N596" s="3"/>
    </row>
    <row r="597" spans="1:14" x14ac:dyDescent="0.45">
      <c r="A597" s="3">
        <v>43235</v>
      </c>
      <c r="B597">
        <v>14.53</v>
      </c>
      <c r="C597">
        <v>-3.1978680879413801E-2</v>
      </c>
      <c r="D597">
        <v>5553.16</v>
      </c>
      <c r="E597">
        <v>2.2524311095388772E-3</v>
      </c>
      <c r="F597">
        <v>179.78550000000001</v>
      </c>
      <c r="G597">
        <f t="shared" si="18"/>
        <v>3.9713992507737217E-3</v>
      </c>
      <c r="H597">
        <v>4.42852E-3</v>
      </c>
      <c r="I597">
        <f t="shared" si="19"/>
        <v>-5.7869999999999797E-5</v>
      </c>
      <c r="J597" s="6">
        <v>1</v>
      </c>
      <c r="K597">
        <v>1</v>
      </c>
      <c r="L597" t="b">
        <f>$K$597*$C$597&gt;0</f>
        <v>0</v>
      </c>
      <c r="N597" s="3"/>
    </row>
    <row r="598" spans="1:14" x14ac:dyDescent="0.45">
      <c r="A598" s="3">
        <v>43236</v>
      </c>
      <c r="B598">
        <v>14.52</v>
      </c>
      <c r="C598">
        <v>-6.8823124569850069E-4</v>
      </c>
      <c r="D598">
        <v>5567.54</v>
      </c>
      <c r="E598">
        <v>2.5895165995577507E-3</v>
      </c>
      <c r="F598">
        <v>180.1705</v>
      </c>
      <c r="G598">
        <f t="shared" si="18"/>
        <v>-2.1368648030615223E-3</v>
      </c>
      <c r="H598">
        <v>4.4521600000000001E-3</v>
      </c>
      <c r="I598">
        <f t="shared" si="19"/>
        <v>-2.3640000000000119E-5</v>
      </c>
      <c r="J598" s="6">
        <v>1</v>
      </c>
      <c r="K598">
        <v>1</v>
      </c>
      <c r="L598" t="b">
        <f>$K$598*$C$598&gt;0</f>
        <v>0</v>
      </c>
      <c r="N598" s="3"/>
    </row>
    <row r="599" spans="1:14" x14ac:dyDescent="0.45">
      <c r="A599" s="3">
        <v>43237</v>
      </c>
      <c r="B599">
        <v>14.63</v>
      </c>
      <c r="C599">
        <v>7.575757575757569E-3</v>
      </c>
      <c r="D599">
        <v>5621.92</v>
      </c>
      <c r="E599">
        <v>9.7673299159053428E-3</v>
      </c>
      <c r="F599">
        <v>179.2415</v>
      </c>
      <c r="G599">
        <f t="shared" si="18"/>
        <v>5.1829514928183329E-3</v>
      </c>
      <c r="H599">
        <v>4.4699500000000003E-3</v>
      </c>
      <c r="I599">
        <f t="shared" si="19"/>
        <v>-1.7790000000000167E-5</v>
      </c>
      <c r="J599" s="6">
        <v>1</v>
      </c>
      <c r="K599">
        <v>1</v>
      </c>
      <c r="L599" t="b">
        <f>$K$599*$C$599&gt;0</f>
        <v>1</v>
      </c>
      <c r="N599" s="3"/>
    </row>
    <row r="600" spans="1:14" x14ac:dyDescent="0.45">
      <c r="A600" s="3">
        <v>43238</v>
      </c>
      <c r="B600">
        <v>14.39</v>
      </c>
      <c r="C600">
        <v>-1.6404647983595311E-2</v>
      </c>
      <c r="D600">
        <v>5614.51</v>
      </c>
      <c r="E600">
        <v>-1.3180550416939107E-3</v>
      </c>
      <c r="F600">
        <v>180.19649999999999</v>
      </c>
      <c r="G600">
        <f t="shared" si="18"/>
        <v>-5.2997699733345893E-3</v>
      </c>
      <c r="H600">
        <v>4.5265699999999997E-3</v>
      </c>
      <c r="I600">
        <f t="shared" si="19"/>
        <v>-5.6619999999999414E-5</v>
      </c>
      <c r="J600" s="6">
        <v>1</v>
      </c>
      <c r="K600">
        <v>1</v>
      </c>
      <c r="L600" t="b">
        <f>$K$600*$C$600&gt;0</f>
        <v>0</v>
      </c>
      <c r="N600" s="3"/>
    </row>
    <row r="601" spans="1:14" x14ac:dyDescent="0.45">
      <c r="A601" s="3">
        <v>43241</v>
      </c>
      <c r="B601">
        <v>14.295</v>
      </c>
      <c r="C601">
        <v>-6.6018068102849936E-3</v>
      </c>
      <c r="D601">
        <v>5637.51</v>
      </c>
      <c r="E601">
        <v>4.0965284592957563E-3</v>
      </c>
      <c r="F601">
        <v>180.61699999999999</v>
      </c>
      <c r="G601">
        <f t="shared" si="18"/>
        <v>-2.3281307961044995E-3</v>
      </c>
      <c r="H601">
        <v>4.5671799999999997E-3</v>
      </c>
      <c r="I601">
        <f t="shared" si="19"/>
        <v>-4.0609999999999952E-5</v>
      </c>
      <c r="J601" s="6">
        <v>1</v>
      </c>
      <c r="K601">
        <v>1</v>
      </c>
      <c r="L601" t="b">
        <f>$K$601*$C$601&gt;0</f>
        <v>0</v>
      </c>
      <c r="N601" s="3"/>
    </row>
    <row r="602" spans="1:14" x14ac:dyDescent="0.45">
      <c r="A602" s="3">
        <v>43242</v>
      </c>
      <c r="B602">
        <v>14.875</v>
      </c>
      <c r="C602">
        <v>4.0573627142357571E-2</v>
      </c>
      <c r="D602">
        <v>5640.1</v>
      </c>
      <c r="E602">
        <v>4.5942268838539135E-4</v>
      </c>
      <c r="F602">
        <v>178.7945</v>
      </c>
      <c r="G602">
        <f t="shared" si="18"/>
        <v>1.0193266571398851E-2</v>
      </c>
      <c r="H602">
        <v>4.5827300000000001E-3</v>
      </c>
      <c r="I602">
        <f t="shared" si="19"/>
        <v>-1.5550000000000459E-5</v>
      </c>
      <c r="J602" s="6">
        <v>1</v>
      </c>
      <c r="K602">
        <v>1</v>
      </c>
      <c r="L602" t="b">
        <f>$K$602*$C$602&gt;0</f>
        <v>1</v>
      </c>
      <c r="N602" s="3"/>
    </row>
    <row r="603" spans="1:14" x14ac:dyDescent="0.45">
      <c r="A603" s="3">
        <v>43243</v>
      </c>
      <c r="B603">
        <v>14.945</v>
      </c>
      <c r="C603">
        <v>4.7058823529411153E-3</v>
      </c>
      <c r="D603">
        <v>5565.85</v>
      </c>
      <c r="E603">
        <v>-1.3164660201060219E-2</v>
      </c>
      <c r="F603">
        <v>178.68950000000001</v>
      </c>
      <c r="G603">
        <f t="shared" si="18"/>
        <v>5.8761147129504643E-4</v>
      </c>
      <c r="H603">
        <v>4.7808900000000003E-3</v>
      </c>
      <c r="I603">
        <f t="shared" si="19"/>
        <v>-1.9816000000000018E-4</v>
      </c>
      <c r="J603" s="6">
        <v>1</v>
      </c>
      <c r="K603">
        <v>1</v>
      </c>
      <c r="L603" t="b">
        <f>$K$603*$C$603&gt;0</f>
        <v>1</v>
      </c>
      <c r="N603" s="3"/>
    </row>
    <row r="604" spans="1:14" x14ac:dyDescent="0.45">
      <c r="A604" s="3">
        <v>43244</v>
      </c>
      <c r="B604">
        <v>14.99</v>
      </c>
      <c r="C604">
        <v>3.0110404817664804E-3</v>
      </c>
      <c r="D604">
        <v>5548.45</v>
      </c>
      <c r="E604">
        <v>-3.1262071381730205E-3</v>
      </c>
      <c r="F604">
        <v>179.16200000000001</v>
      </c>
      <c r="G604">
        <f t="shared" si="18"/>
        <v>-2.6372779942175351E-3</v>
      </c>
      <c r="H604">
        <v>4.80548E-3</v>
      </c>
      <c r="I604">
        <f t="shared" si="19"/>
        <v>-2.4589999999999682E-5</v>
      </c>
      <c r="J604" s="6">
        <v>1</v>
      </c>
      <c r="K604">
        <v>1</v>
      </c>
      <c r="L604" t="b">
        <f>$K$604*$C$604&gt;0</f>
        <v>1</v>
      </c>
      <c r="N604" s="3"/>
    </row>
    <row r="605" spans="1:14" x14ac:dyDescent="0.45">
      <c r="A605" s="3">
        <v>43245</v>
      </c>
      <c r="B605">
        <v>14.935</v>
      </c>
      <c r="C605">
        <v>-3.6691127418279068E-3</v>
      </c>
      <c r="D605">
        <v>5542.55</v>
      </c>
      <c r="E605">
        <v>-1.0633600374878593E-3</v>
      </c>
      <c r="F605">
        <v>179.91650000000001</v>
      </c>
      <c r="G605">
        <f t="shared" si="18"/>
        <v>-4.1936120366948826E-3</v>
      </c>
      <c r="H605">
        <v>4.9945600000000003E-3</v>
      </c>
      <c r="I605">
        <f t="shared" si="19"/>
        <v>-1.8908000000000032E-4</v>
      </c>
      <c r="J605" s="6">
        <v>1</v>
      </c>
      <c r="K605">
        <v>1</v>
      </c>
      <c r="L605" t="b">
        <f>$K$605*$C$605&gt;0</f>
        <v>0</v>
      </c>
      <c r="N605" s="3"/>
    </row>
    <row r="606" spans="1:14" x14ac:dyDescent="0.45">
      <c r="A606" s="3">
        <v>43248</v>
      </c>
      <c r="B606">
        <v>14.875</v>
      </c>
      <c r="C606">
        <v>-4.01740877134249E-3</v>
      </c>
      <c r="D606">
        <v>5508.93</v>
      </c>
      <c r="E606">
        <v>-6.0658000378887023E-3</v>
      </c>
      <c r="F606">
        <v>180.97550000000001</v>
      </c>
      <c r="G606">
        <f t="shared" si="18"/>
        <v>-5.8516207995005232E-3</v>
      </c>
      <c r="H606">
        <v>4.9752299999999998E-3</v>
      </c>
      <c r="I606">
        <f t="shared" si="19"/>
        <v>1.9330000000000562E-5</v>
      </c>
      <c r="J606" s="6">
        <v>1</v>
      </c>
      <c r="K606">
        <v>1</v>
      </c>
      <c r="L606" t="b">
        <f>$K$606*$C$606&gt;0</f>
        <v>0</v>
      </c>
      <c r="N606" s="3"/>
    </row>
    <row r="607" spans="1:14" x14ac:dyDescent="0.45">
      <c r="A607" s="3">
        <v>43249</v>
      </c>
      <c r="B607">
        <v>14.725</v>
      </c>
      <c r="C607">
        <v>-1.0084033613445453E-2</v>
      </c>
      <c r="D607">
        <v>5438.06</v>
      </c>
      <c r="E607">
        <v>-1.286456716640072E-2</v>
      </c>
      <c r="F607">
        <v>180.42099999999999</v>
      </c>
      <c r="G607">
        <f t="shared" si="18"/>
        <v>3.0733672909473153E-3</v>
      </c>
      <c r="H607">
        <v>5.4313399999999998E-3</v>
      </c>
      <c r="I607">
        <f t="shared" si="19"/>
        <v>-4.5611000000000002E-4</v>
      </c>
      <c r="J607" s="6">
        <v>1</v>
      </c>
      <c r="K607">
        <v>1</v>
      </c>
      <c r="L607" t="b">
        <f>$K$607*$C$607&gt;0</f>
        <v>0</v>
      </c>
      <c r="N607" s="3"/>
    </row>
    <row r="608" spans="1:14" x14ac:dyDescent="0.45">
      <c r="A608" s="3">
        <v>43250</v>
      </c>
      <c r="B608">
        <v>14.755000000000001</v>
      </c>
      <c r="C608">
        <v>2.0373514431240025E-3</v>
      </c>
      <c r="D608">
        <v>5427.35</v>
      </c>
      <c r="E608">
        <v>-1.9694523414600651E-3</v>
      </c>
      <c r="F608">
        <v>178.22399999999999</v>
      </c>
      <c r="G608">
        <f t="shared" si="18"/>
        <v>1.2327183768740424E-2</v>
      </c>
      <c r="H608">
        <v>5.3227999999999999E-3</v>
      </c>
      <c r="I608">
        <f t="shared" si="19"/>
        <v>1.0853999999999985E-4</v>
      </c>
      <c r="J608" s="6">
        <v>1</v>
      </c>
      <c r="K608">
        <v>1</v>
      </c>
      <c r="L608" t="b">
        <f>$K$608*$C$608&gt;0</f>
        <v>1</v>
      </c>
      <c r="N608" s="3"/>
    </row>
    <row r="609" spans="1:14" x14ac:dyDescent="0.45">
      <c r="A609" s="3">
        <v>43251</v>
      </c>
      <c r="B609">
        <v>14.725</v>
      </c>
      <c r="C609">
        <v>-2.0332090816672643E-3</v>
      </c>
      <c r="D609">
        <v>5398.4</v>
      </c>
      <c r="E609">
        <v>-5.3340949081965849E-3</v>
      </c>
      <c r="F609">
        <v>179.11699999999999</v>
      </c>
      <c r="G609">
        <f t="shared" si="18"/>
        <v>-4.9855680923641676E-3</v>
      </c>
      <c r="H609">
        <v>5.2742600000000002E-3</v>
      </c>
      <c r="I609">
        <f t="shared" si="19"/>
        <v>4.8539999999999695E-5</v>
      </c>
      <c r="J609" s="6">
        <v>1</v>
      </c>
      <c r="K609">
        <v>1</v>
      </c>
      <c r="L609" t="b">
        <f>$K$609*$C$609&gt;0</f>
        <v>0</v>
      </c>
      <c r="N609" s="3"/>
    </row>
    <row r="610" spans="1:14" x14ac:dyDescent="0.45">
      <c r="A610" s="3">
        <v>43252</v>
      </c>
      <c r="B610">
        <v>14.79</v>
      </c>
      <c r="C610">
        <v>4.4142614601019314E-3</v>
      </c>
      <c r="D610">
        <v>5465.53</v>
      </c>
      <c r="E610">
        <v>1.2435165975103857E-2</v>
      </c>
      <c r="F610">
        <v>178.5155</v>
      </c>
      <c r="G610">
        <f t="shared" si="18"/>
        <v>3.3694553134040461E-3</v>
      </c>
      <c r="H610">
        <v>5.1565700000000001E-3</v>
      </c>
      <c r="I610">
        <f t="shared" si="19"/>
        <v>1.1769000000000016E-4</v>
      </c>
      <c r="J610" s="6">
        <v>1</v>
      </c>
      <c r="K610">
        <v>1</v>
      </c>
      <c r="L610" t="b">
        <f>$K$610*$C$610&gt;0</f>
        <v>1</v>
      </c>
      <c r="N610" s="3"/>
    </row>
    <row r="611" spans="1:14" x14ac:dyDescent="0.45">
      <c r="A611" s="3">
        <v>43255</v>
      </c>
      <c r="B611">
        <v>15.02</v>
      </c>
      <c r="C611">
        <v>1.5551048005409074E-2</v>
      </c>
      <c r="D611">
        <v>5472.91</v>
      </c>
      <c r="E611">
        <v>1.3502807595970889E-3</v>
      </c>
      <c r="F611">
        <v>178.17500000000001</v>
      </c>
      <c r="G611">
        <f t="shared" si="18"/>
        <v>1.9110425143817888E-3</v>
      </c>
      <c r="H611">
        <v>5.1229500000000002E-3</v>
      </c>
      <c r="I611">
        <f t="shared" si="19"/>
        <v>3.3619999999999831E-5</v>
      </c>
      <c r="J611" s="6">
        <v>1</v>
      </c>
      <c r="K611">
        <v>1</v>
      </c>
      <c r="L611" t="b">
        <f>$K$611*$C$611&gt;0</f>
        <v>1</v>
      </c>
      <c r="N611" s="3"/>
    </row>
    <row r="612" spans="1:14" x14ac:dyDescent="0.45">
      <c r="A612" s="3">
        <v>43256</v>
      </c>
      <c r="B612">
        <v>14.62</v>
      </c>
      <c r="C612">
        <v>-2.6631158455392878E-2</v>
      </c>
      <c r="D612">
        <v>5460.95</v>
      </c>
      <c r="E612">
        <v>-2.1853090951614584E-3</v>
      </c>
      <c r="F612">
        <v>178.92</v>
      </c>
      <c r="G612">
        <f t="shared" si="18"/>
        <v>-4.163872121618506E-3</v>
      </c>
      <c r="H612">
        <v>5.2064800000000003E-3</v>
      </c>
      <c r="I612">
        <f t="shared" si="19"/>
        <v>-8.3530000000000063E-5</v>
      </c>
      <c r="J612" s="6">
        <v>1</v>
      </c>
      <c r="K612">
        <v>1</v>
      </c>
      <c r="L612" t="b">
        <f>$K$612*$C$612&gt;0</f>
        <v>0</v>
      </c>
      <c r="N612" s="3"/>
    </row>
    <row r="613" spans="1:14" x14ac:dyDescent="0.45">
      <c r="A613" s="3">
        <v>43257</v>
      </c>
      <c r="B613">
        <v>14.654999999999999</v>
      </c>
      <c r="C613">
        <v>2.3939808481532321E-3</v>
      </c>
      <c r="D613">
        <v>5457.56</v>
      </c>
      <c r="E613">
        <v>-6.2077111125347084E-4</v>
      </c>
      <c r="F613">
        <v>177.27600000000001</v>
      </c>
      <c r="G613">
        <f t="shared" si="18"/>
        <v>9.2736749475392788E-3</v>
      </c>
      <c r="H613">
        <v>5.3246700000000001E-3</v>
      </c>
      <c r="I613">
        <f t="shared" si="19"/>
        <v>-1.1818999999999979E-4</v>
      </c>
      <c r="J613" s="6">
        <v>1</v>
      </c>
      <c r="K613">
        <v>1</v>
      </c>
      <c r="L613" t="b">
        <f>$K$613*$C$613&gt;0</f>
        <v>1</v>
      </c>
      <c r="N613" s="3"/>
    </row>
    <row r="614" spans="1:14" x14ac:dyDescent="0.45">
      <c r="A614" s="3">
        <v>43258</v>
      </c>
      <c r="B614">
        <v>14.67</v>
      </c>
      <c r="C614">
        <v>1.0235414534289777E-3</v>
      </c>
      <c r="D614">
        <v>5448.36</v>
      </c>
      <c r="E614">
        <v>-1.6857350171139984E-3</v>
      </c>
      <c r="F614">
        <v>176.86799999999999</v>
      </c>
      <c r="G614">
        <f t="shared" si="18"/>
        <v>2.3068050749712743E-3</v>
      </c>
      <c r="H614">
        <v>5.4263699999999998E-3</v>
      </c>
      <c r="I614">
        <f t="shared" si="19"/>
        <v>-1.0169999999999971E-4</v>
      </c>
      <c r="J614" s="6">
        <v>1</v>
      </c>
      <c r="K614">
        <v>1</v>
      </c>
      <c r="L614" t="b">
        <f>$K$614*$C$614&gt;0</f>
        <v>1</v>
      </c>
      <c r="N614" s="3"/>
    </row>
    <row r="615" spans="1:14" x14ac:dyDescent="0.45">
      <c r="A615" s="3">
        <v>43259</v>
      </c>
      <c r="B615">
        <v>14.675000000000001</v>
      </c>
      <c r="C615">
        <v>3.4083162917530885E-4</v>
      </c>
      <c r="D615">
        <v>5450.22</v>
      </c>
      <c r="E615">
        <v>3.4138713300890799E-4</v>
      </c>
      <c r="F615">
        <v>177.36150000000001</v>
      </c>
      <c r="G615">
        <f t="shared" si="18"/>
        <v>-2.782452787104317E-3</v>
      </c>
      <c r="H615">
        <v>5.6549900000000004E-3</v>
      </c>
      <c r="I615">
        <f t="shared" si="19"/>
        <v>-2.2862000000000056E-4</v>
      </c>
      <c r="J615" s="6">
        <v>1</v>
      </c>
      <c r="K615">
        <v>1</v>
      </c>
      <c r="L615" t="b">
        <f>$K$615*$C$615&gt;0</f>
        <v>1</v>
      </c>
      <c r="N615" s="3"/>
    </row>
    <row r="616" spans="1:14" x14ac:dyDescent="0.45">
      <c r="A616" s="3">
        <v>43262</v>
      </c>
      <c r="B616">
        <v>14.805</v>
      </c>
      <c r="C616">
        <v>8.8586030664394855E-3</v>
      </c>
      <c r="D616">
        <v>5473.91</v>
      </c>
      <c r="E616">
        <v>4.346613531196919E-3</v>
      </c>
      <c r="F616">
        <v>176.56100000000001</v>
      </c>
      <c r="G616">
        <f t="shared" si="18"/>
        <v>4.5338438273458959E-3</v>
      </c>
      <c r="H616">
        <v>5.6147200000000001E-3</v>
      </c>
      <c r="I616">
        <f t="shared" si="19"/>
        <v>4.0270000000000236E-5</v>
      </c>
      <c r="J616" s="6">
        <v>1</v>
      </c>
      <c r="K616">
        <v>1</v>
      </c>
      <c r="L616" t="b">
        <f>$K$616*$C$616&gt;0</f>
        <v>1</v>
      </c>
      <c r="N616" s="3"/>
    </row>
    <row r="617" spans="1:14" x14ac:dyDescent="0.45">
      <c r="A617" s="3">
        <v>43263</v>
      </c>
      <c r="B617">
        <v>14.715</v>
      </c>
      <c r="C617">
        <v>-6.0790273556230456E-3</v>
      </c>
      <c r="D617">
        <v>5453.37</v>
      </c>
      <c r="E617">
        <v>-3.7523452157598447E-3</v>
      </c>
      <c r="F617">
        <v>176.62450000000001</v>
      </c>
      <c r="G617">
        <f t="shared" si="18"/>
        <v>-3.5951977217207887E-4</v>
      </c>
      <c r="H617">
        <v>5.6350100000000002E-3</v>
      </c>
      <c r="I617">
        <f t="shared" si="19"/>
        <v>-2.0290000000000065E-5</v>
      </c>
      <c r="J617" s="6">
        <v>1</v>
      </c>
      <c r="K617">
        <v>1</v>
      </c>
      <c r="L617" t="b">
        <f>$K$617*$C$617&gt;0</f>
        <v>0</v>
      </c>
      <c r="N617" s="3"/>
    </row>
    <row r="618" spans="1:14" x14ac:dyDescent="0.45">
      <c r="A618" s="3">
        <v>43264</v>
      </c>
      <c r="B618">
        <v>14.525</v>
      </c>
      <c r="C618">
        <v>-1.2911994563370666E-2</v>
      </c>
      <c r="D618">
        <v>5452.73</v>
      </c>
      <c r="E618">
        <v>-1.1735862411688114E-4</v>
      </c>
      <c r="F618">
        <v>176.79300000000001</v>
      </c>
      <c r="G618">
        <f t="shared" si="18"/>
        <v>-9.5309203418680877E-4</v>
      </c>
      <c r="H618">
        <v>5.6023999999999996E-3</v>
      </c>
      <c r="I618">
        <f t="shared" si="19"/>
        <v>3.2610000000000625E-5</v>
      </c>
      <c r="J618" s="6">
        <v>1</v>
      </c>
      <c r="K618">
        <v>1</v>
      </c>
      <c r="L618" t="b">
        <f>$K$618*$C$618&gt;0</f>
        <v>0</v>
      </c>
      <c r="N618" s="3"/>
    </row>
    <row r="619" spans="1:14" x14ac:dyDescent="0.45">
      <c r="A619" s="3">
        <v>43265</v>
      </c>
      <c r="B619">
        <v>14.64</v>
      </c>
      <c r="C619">
        <v>7.9173838209982694E-3</v>
      </c>
      <c r="D619">
        <v>5528.46</v>
      </c>
      <c r="E619">
        <v>1.3888455874397021E-2</v>
      </c>
      <c r="F619">
        <v>177.6105</v>
      </c>
      <c r="G619">
        <f t="shared" si="18"/>
        <v>-4.6027684174076988E-3</v>
      </c>
      <c r="H619">
        <v>5.4504599999999999E-3</v>
      </c>
      <c r="I619">
        <f t="shared" si="19"/>
        <v>1.5193999999999971E-4</v>
      </c>
      <c r="J619" s="6">
        <v>1</v>
      </c>
      <c r="K619">
        <v>1</v>
      </c>
      <c r="L619" t="b">
        <f>$K$619*$C$619&gt;0</f>
        <v>1</v>
      </c>
      <c r="N619" s="3"/>
    </row>
    <row r="620" spans="1:14" x14ac:dyDescent="0.45">
      <c r="A620" s="3">
        <v>43266</v>
      </c>
      <c r="B620">
        <v>14.635</v>
      </c>
      <c r="C620">
        <v>-3.4153005464487851E-4</v>
      </c>
      <c r="D620">
        <v>5501.88</v>
      </c>
      <c r="E620">
        <v>-4.8078488403642261E-3</v>
      </c>
      <c r="F620">
        <v>177.8835</v>
      </c>
      <c r="G620">
        <f t="shared" si="18"/>
        <v>-1.5347123257637429E-3</v>
      </c>
      <c r="H620">
        <v>5.4002099999999999E-3</v>
      </c>
      <c r="I620">
        <f t="shared" si="19"/>
        <v>5.0249999999999947E-5</v>
      </c>
      <c r="J620" s="6">
        <v>1</v>
      </c>
      <c r="K620">
        <v>1</v>
      </c>
      <c r="L620" t="b">
        <f>$K$620*$C$620&gt;0</f>
        <v>0</v>
      </c>
      <c r="N620" s="3"/>
    </row>
    <row r="621" spans="1:14" x14ac:dyDescent="0.45">
      <c r="A621" s="3">
        <v>43269</v>
      </c>
      <c r="B621">
        <v>14.494999999999999</v>
      </c>
      <c r="C621">
        <v>-9.5661086436624743E-3</v>
      </c>
      <c r="D621">
        <v>5450.48</v>
      </c>
      <c r="E621">
        <v>-9.3422611907203468E-3</v>
      </c>
      <c r="F621">
        <v>177.98249999999999</v>
      </c>
      <c r="G621">
        <f t="shared" si="18"/>
        <v>-5.5623446125319109E-4</v>
      </c>
      <c r="H621">
        <v>5.4397899999999999E-3</v>
      </c>
      <c r="I621">
        <f t="shared" si="19"/>
        <v>-3.9579999999999997E-5</v>
      </c>
      <c r="J621" s="6">
        <v>1</v>
      </c>
      <c r="K621">
        <v>1</v>
      </c>
      <c r="L621" t="b">
        <f>$K$621*$C$621&gt;0</f>
        <v>0</v>
      </c>
      <c r="N621" s="3"/>
    </row>
    <row r="622" spans="1:14" x14ac:dyDescent="0.45">
      <c r="A622" s="3">
        <v>43270</v>
      </c>
      <c r="B622">
        <v>14.45</v>
      </c>
      <c r="C622">
        <v>-3.1045187995860646E-3</v>
      </c>
      <c r="D622">
        <v>5390.63</v>
      </c>
      <c r="E622">
        <v>-1.09806842700092E-2</v>
      </c>
      <c r="F622">
        <v>178.46350000000001</v>
      </c>
      <c r="G622">
        <f t="shared" si="18"/>
        <v>-2.6952289964055076E-3</v>
      </c>
      <c r="H622">
        <v>5.5650999999999999E-3</v>
      </c>
      <c r="I622">
        <f t="shared" si="19"/>
        <v>-1.2531E-4</v>
      </c>
      <c r="J622" s="6">
        <v>1</v>
      </c>
      <c r="K622">
        <v>1</v>
      </c>
      <c r="L622" t="b">
        <f>$K$622*$C$622&gt;0</f>
        <v>0</v>
      </c>
      <c r="N622" s="3"/>
    </row>
    <row r="623" spans="1:14" x14ac:dyDescent="0.45">
      <c r="A623" s="3">
        <v>43271</v>
      </c>
      <c r="B623">
        <v>14.36</v>
      </c>
      <c r="C623">
        <v>-6.2283737024221297E-3</v>
      </c>
      <c r="D623">
        <v>5372.31</v>
      </c>
      <c r="E623">
        <v>-3.3984896014008781E-3</v>
      </c>
      <c r="F623">
        <v>178.36949999999999</v>
      </c>
      <c r="G623">
        <f t="shared" si="18"/>
        <v>5.2699592699445574E-4</v>
      </c>
      <c r="H623">
        <v>5.5439699999999996E-3</v>
      </c>
      <c r="I623">
        <f t="shared" si="19"/>
        <v>2.1130000000000281E-5</v>
      </c>
      <c r="J623" s="6">
        <v>1</v>
      </c>
      <c r="K623">
        <v>1</v>
      </c>
      <c r="L623" t="b">
        <f>$K$623*$C$623&gt;0</f>
        <v>0</v>
      </c>
      <c r="N623" s="3"/>
    </row>
    <row r="624" spans="1:14" x14ac:dyDescent="0.45">
      <c r="A624" s="3">
        <v>43272</v>
      </c>
      <c r="B624">
        <v>14.255000000000001</v>
      </c>
      <c r="C624">
        <v>-7.3119777158773269E-3</v>
      </c>
      <c r="D624">
        <v>5316.01</v>
      </c>
      <c r="E624">
        <v>-1.0479663310568488E-2</v>
      </c>
      <c r="F624">
        <v>178.95699999999999</v>
      </c>
      <c r="G624">
        <f t="shared" si="18"/>
        <v>-3.2829115374084505E-3</v>
      </c>
      <c r="H624">
        <v>5.6524100000000001E-3</v>
      </c>
      <c r="I624">
        <f t="shared" si="19"/>
        <v>-1.0844000000000045E-4</v>
      </c>
      <c r="J624" s="6">
        <v>1</v>
      </c>
      <c r="K624">
        <v>1</v>
      </c>
      <c r="L624" t="b">
        <f>$K$624*$C$624&gt;0</f>
        <v>0</v>
      </c>
      <c r="N624" s="3"/>
    </row>
    <row r="625" spans="1:14" x14ac:dyDescent="0.45">
      <c r="A625" s="3">
        <v>43273</v>
      </c>
      <c r="B625">
        <v>14.494999999999999</v>
      </c>
      <c r="C625">
        <v>1.6836197825324417E-2</v>
      </c>
      <c r="D625">
        <v>5387.38</v>
      </c>
      <c r="E625">
        <v>1.3425482645818887E-2</v>
      </c>
      <c r="F625">
        <v>178.98400000000001</v>
      </c>
      <c r="G625">
        <f t="shared" si="18"/>
        <v>-1.5085147275739619E-4</v>
      </c>
      <c r="H625">
        <v>5.6452400000000002E-3</v>
      </c>
      <c r="I625">
        <f t="shared" si="19"/>
        <v>7.1699999999999195E-6</v>
      </c>
      <c r="J625" s="6">
        <v>1</v>
      </c>
      <c r="K625">
        <v>1</v>
      </c>
      <c r="L625" t="b">
        <f>$K$625*$C$625&gt;0</f>
        <v>1</v>
      </c>
      <c r="N625" s="3"/>
    </row>
    <row r="626" spans="1:14" x14ac:dyDescent="0.45">
      <c r="A626" s="3">
        <v>43276</v>
      </c>
      <c r="B626">
        <v>14.425000000000001</v>
      </c>
      <c r="C626">
        <v>-4.8292514660226438E-3</v>
      </c>
      <c r="D626">
        <v>5283.86</v>
      </c>
      <c r="E626">
        <v>-1.9215277184828294E-2</v>
      </c>
      <c r="F626">
        <v>179.00149999999999</v>
      </c>
      <c r="G626">
        <f t="shared" si="18"/>
        <v>-9.7764543872447263E-5</v>
      </c>
      <c r="H626">
        <v>5.7005900000000002E-3</v>
      </c>
      <c r="I626">
        <f t="shared" si="19"/>
        <v>-5.5350000000000017E-5</v>
      </c>
      <c r="J626" s="6">
        <v>1</v>
      </c>
      <c r="K626">
        <v>1</v>
      </c>
      <c r="L626" t="b">
        <f>$K$626*$C$626&gt;0</f>
        <v>0</v>
      </c>
      <c r="N626" s="3"/>
    </row>
    <row r="627" spans="1:14" x14ac:dyDescent="0.45">
      <c r="A627" s="3">
        <v>43277</v>
      </c>
      <c r="B627">
        <v>14.324999999999999</v>
      </c>
      <c r="C627">
        <v>-6.9324090121317683E-3</v>
      </c>
      <c r="D627">
        <v>5281.29</v>
      </c>
      <c r="E627">
        <v>-4.8638684598001358E-4</v>
      </c>
      <c r="F627">
        <v>178.691</v>
      </c>
      <c r="G627">
        <f t="shared" si="18"/>
        <v>1.7376364786139131E-3</v>
      </c>
      <c r="H627">
        <v>5.7463499999999999E-3</v>
      </c>
      <c r="I627">
        <f t="shared" si="19"/>
        <v>-4.5759999999999725E-5</v>
      </c>
      <c r="J627" s="6">
        <v>1</v>
      </c>
      <c r="K627">
        <v>1</v>
      </c>
      <c r="L627" t="b">
        <f>$K$627*$C$627&gt;0</f>
        <v>0</v>
      </c>
      <c r="N627" s="3"/>
    </row>
    <row r="628" spans="1:14" x14ac:dyDescent="0.45">
      <c r="A628" s="3">
        <v>43278</v>
      </c>
      <c r="B628">
        <v>14.455</v>
      </c>
      <c r="C628">
        <v>9.075043630017543E-3</v>
      </c>
      <c r="D628">
        <v>5327.2</v>
      </c>
      <c r="E628">
        <v>8.6929519113700948E-3</v>
      </c>
      <c r="F628">
        <v>178.27099999999999</v>
      </c>
      <c r="G628">
        <f t="shared" si="18"/>
        <v>2.3559636732839451E-3</v>
      </c>
      <c r="H628">
        <v>5.7683200000000004E-3</v>
      </c>
      <c r="I628">
        <f t="shared" si="19"/>
        <v>-2.1970000000000496E-5</v>
      </c>
      <c r="J628" s="6">
        <v>1</v>
      </c>
      <c r="K628">
        <v>1</v>
      </c>
      <c r="L628" t="b">
        <f>$K$628*$C$628&gt;0</f>
        <v>1</v>
      </c>
      <c r="N628" s="3"/>
    </row>
    <row r="629" spans="1:14" x14ac:dyDescent="0.45">
      <c r="A629" s="3">
        <v>43279</v>
      </c>
      <c r="B629">
        <v>14.31</v>
      </c>
      <c r="C629">
        <v>-1.0031131096506329E-2</v>
      </c>
      <c r="D629">
        <v>5275.64</v>
      </c>
      <c r="E629">
        <v>-9.6786304249886213E-3</v>
      </c>
      <c r="F629">
        <v>177.8115</v>
      </c>
      <c r="G629">
        <f t="shared" si="18"/>
        <v>2.5841973100726445E-3</v>
      </c>
      <c r="H629">
        <v>5.86156E-3</v>
      </c>
      <c r="I629">
        <f t="shared" si="19"/>
        <v>-9.3239999999999643E-5</v>
      </c>
      <c r="J629" s="6">
        <v>1</v>
      </c>
      <c r="K629">
        <v>1</v>
      </c>
      <c r="L629" t="b">
        <f>$K$629*$C$629&gt;0</f>
        <v>0</v>
      </c>
      <c r="N629" s="3"/>
    </row>
    <row r="630" spans="1:14" x14ac:dyDescent="0.45">
      <c r="A630" s="3">
        <v>43280</v>
      </c>
      <c r="B630">
        <v>14.345000000000001</v>
      </c>
      <c r="C630">
        <v>2.4458420684836391E-3</v>
      </c>
      <c r="D630">
        <v>5323.53</v>
      </c>
      <c r="E630">
        <v>9.077571631119552E-3</v>
      </c>
      <c r="F630">
        <v>178.12700000000001</v>
      </c>
      <c r="G630">
        <f t="shared" si="18"/>
        <v>-1.7712081829257542E-3</v>
      </c>
      <c r="H630">
        <v>5.7978700000000001E-3</v>
      </c>
      <c r="I630">
        <f t="shared" si="19"/>
        <v>6.3689999999999927E-5</v>
      </c>
      <c r="J630" s="6">
        <v>1</v>
      </c>
      <c r="K630">
        <v>1</v>
      </c>
      <c r="L630" t="b">
        <f>$K$630*$C$630&gt;0</f>
        <v>1</v>
      </c>
      <c r="N630" s="3"/>
    </row>
    <row r="631" spans="1:14" x14ac:dyDescent="0.45">
      <c r="A631" s="3">
        <v>43283</v>
      </c>
      <c r="B631">
        <v>14.244999999999999</v>
      </c>
      <c r="C631">
        <v>-6.9710700592542363E-3</v>
      </c>
      <c r="D631">
        <v>5276.76</v>
      </c>
      <c r="E631">
        <v>-8.7855238911022093E-3</v>
      </c>
      <c r="F631">
        <v>177.97649999999999</v>
      </c>
      <c r="G631">
        <f t="shared" si="18"/>
        <v>8.4561725845833102E-4</v>
      </c>
      <c r="H631">
        <v>5.8482999999999999E-3</v>
      </c>
      <c r="I631">
        <f t="shared" si="19"/>
        <v>-5.0429999999999746E-5</v>
      </c>
      <c r="J631" s="6">
        <v>1</v>
      </c>
      <c r="K631">
        <v>1</v>
      </c>
      <c r="L631" t="b">
        <f>$K$631*$C$631&gt;0</f>
        <v>0</v>
      </c>
      <c r="N631" s="3"/>
    </row>
    <row r="632" spans="1:14" x14ac:dyDescent="0.45">
      <c r="A632" s="3">
        <v>43284</v>
      </c>
      <c r="B632">
        <v>14.41</v>
      </c>
      <c r="C632">
        <v>1.158301158301156E-2</v>
      </c>
      <c r="D632">
        <v>5316.77</v>
      </c>
      <c r="E632">
        <v>7.5823042927858353E-3</v>
      </c>
      <c r="F632">
        <v>178.22450000000001</v>
      </c>
      <c r="G632">
        <f t="shared" si="18"/>
        <v>-1.3915034128305637E-3</v>
      </c>
      <c r="H632">
        <v>5.7684399999999997E-3</v>
      </c>
      <c r="I632">
        <f t="shared" si="19"/>
        <v>7.9860000000000174E-5</v>
      </c>
      <c r="J632" s="6">
        <v>1</v>
      </c>
      <c r="K632">
        <v>1</v>
      </c>
      <c r="L632" t="b">
        <f>$K$632*$C$632&gt;0</f>
        <v>1</v>
      </c>
      <c r="N632" s="3"/>
    </row>
    <row r="633" spans="1:14" x14ac:dyDescent="0.45">
      <c r="A633" s="3">
        <v>43285</v>
      </c>
      <c r="B633">
        <v>14.73</v>
      </c>
      <c r="C633">
        <v>2.2206800832754947E-2</v>
      </c>
      <c r="D633">
        <v>5320.5</v>
      </c>
      <c r="E633">
        <v>7.0155376290492732E-4</v>
      </c>
      <c r="F633">
        <v>177.78200000000001</v>
      </c>
      <c r="G633">
        <f t="shared" si="18"/>
        <v>2.4890033861695304E-3</v>
      </c>
      <c r="H633">
        <v>5.7067999999999997E-3</v>
      </c>
      <c r="I633">
        <f t="shared" si="19"/>
        <v>6.1639999999999959E-5</v>
      </c>
      <c r="J633" s="6">
        <v>1</v>
      </c>
      <c r="K633">
        <v>1</v>
      </c>
      <c r="L633" t="b">
        <f>$K$633*$C$633&gt;0</f>
        <v>1</v>
      </c>
      <c r="N633" s="3"/>
    </row>
    <row r="634" spans="1:14" x14ac:dyDescent="0.45">
      <c r="A634" s="3">
        <v>43286</v>
      </c>
      <c r="B634">
        <v>14.82</v>
      </c>
      <c r="C634">
        <v>6.109979633401208E-3</v>
      </c>
      <c r="D634">
        <v>5366.32</v>
      </c>
      <c r="E634">
        <v>8.6119725589699492E-3</v>
      </c>
      <c r="F634">
        <v>177.81800000000001</v>
      </c>
      <c r="G634">
        <f t="shared" si="18"/>
        <v>-2.0245419473841064E-4</v>
      </c>
      <c r="H634">
        <v>5.4829299999999996E-3</v>
      </c>
      <c r="I634">
        <f t="shared" si="19"/>
        <v>2.2387000000000015E-4</v>
      </c>
      <c r="J634" s="6">
        <v>1</v>
      </c>
      <c r="K634">
        <v>1</v>
      </c>
      <c r="L634" t="b">
        <f>$K$634*$C$634&gt;0</f>
        <v>1</v>
      </c>
      <c r="N634" s="3"/>
    </row>
    <row r="635" spans="1:14" x14ac:dyDescent="0.45">
      <c r="A635" s="3">
        <v>43287</v>
      </c>
      <c r="B635">
        <v>14.86</v>
      </c>
      <c r="C635">
        <v>2.6990553306343035E-3</v>
      </c>
      <c r="D635">
        <v>5375.77</v>
      </c>
      <c r="E635">
        <v>1.7609833181773116E-3</v>
      </c>
      <c r="F635">
        <v>177.9265</v>
      </c>
      <c r="G635">
        <f t="shared" si="18"/>
        <v>-6.0980236221130912E-4</v>
      </c>
      <c r="H635">
        <v>5.3997100000000003E-3</v>
      </c>
      <c r="I635">
        <f t="shared" si="19"/>
        <v>8.3219999999999301E-5</v>
      </c>
      <c r="J635" s="6">
        <v>1</v>
      </c>
      <c r="K635">
        <v>1</v>
      </c>
      <c r="L635" t="b">
        <f>$K$635*$C$635&gt;0</f>
        <v>1</v>
      </c>
      <c r="N635" s="3"/>
    </row>
    <row r="636" spans="1:14" x14ac:dyDescent="0.45">
      <c r="A636" s="3">
        <v>43290</v>
      </c>
      <c r="B636">
        <v>14.895</v>
      </c>
      <c r="C636">
        <v>2.3553162853298115E-3</v>
      </c>
      <c r="D636">
        <v>5398.11</v>
      </c>
      <c r="E636">
        <v>4.1556837439100658E-3</v>
      </c>
      <c r="F636">
        <v>177.625</v>
      </c>
      <c r="G636">
        <f t="shared" si="18"/>
        <v>1.6973961998592024E-3</v>
      </c>
      <c r="H636">
        <v>5.3187399999999998E-3</v>
      </c>
      <c r="I636">
        <f t="shared" si="19"/>
        <v>8.0970000000000521E-5</v>
      </c>
      <c r="J636" s="6">
        <v>1</v>
      </c>
      <c r="K636">
        <v>1</v>
      </c>
      <c r="L636" t="b">
        <f>$K$636*$C$636&gt;0</f>
        <v>1</v>
      </c>
      <c r="N636" s="3"/>
    </row>
    <row r="637" spans="1:14" x14ac:dyDescent="0.45">
      <c r="A637" s="3">
        <v>43291</v>
      </c>
      <c r="B637">
        <v>14.765000000000001</v>
      </c>
      <c r="C637">
        <v>-8.7277609936219358E-3</v>
      </c>
      <c r="D637">
        <v>5434.36</v>
      </c>
      <c r="E637">
        <v>6.715313322625871E-3</v>
      </c>
      <c r="F637">
        <v>177.52350000000001</v>
      </c>
      <c r="G637">
        <f t="shared" si="18"/>
        <v>5.7175528873631976E-4</v>
      </c>
      <c r="H637">
        <v>5.1962800000000002E-3</v>
      </c>
      <c r="I637">
        <f t="shared" si="19"/>
        <v>1.2245999999999958E-4</v>
      </c>
      <c r="J637" s="6">
        <v>1</v>
      </c>
      <c r="K637">
        <v>1</v>
      </c>
      <c r="L637" t="b">
        <f>$K$637*$C$637&gt;0</f>
        <v>0</v>
      </c>
      <c r="N637" s="3"/>
    </row>
    <row r="638" spans="1:14" x14ac:dyDescent="0.45">
      <c r="A638" s="3">
        <v>43292</v>
      </c>
      <c r="B638">
        <v>14.725</v>
      </c>
      <c r="C638">
        <v>-2.7091093802913413E-3</v>
      </c>
      <c r="D638">
        <v>5353.93</v>
      </c>
      <c r="E638">
        <v>-1.4800270869062659E-2</v>
      </c>
      <c r="F638">
        <v>177.75450000000001</v>
      </c>
      <c r="G638">
        <f t="shared" si="18"/>
        <v>-1.2995451591942819E-3</v>
      </c>
      <c r="H638">
        <v>5.2077199999999999E-3</v>
      </c>
      <c r="I638">
        <f t="shared" si="19"/>
        <v>-1.1439999999999714E-5</v>
      </c>
      <c r="J638" s="6">
        <v>1</v>
      </c>
      <c r="K638">
        <v>1</v>
      </c>
      <c r="L638" t="b">
        <f>$K$638*$C$638&gt;0</f>
        <v>0</v>
      </c>
      <c r="N638" s="3"/>
    </row>
    <row r="639" spans="1:14" x14ac:dyDescent="0.45">
      <c r="A639" s="3">
        <v>43293</v>
      </c>
      <c r="B639">
        <v>14.715</v>
      </c>
      <c r="C639">
        <v>-6.7911714770796383E-4</v>
      </c>
      <c r="D639">
        <v>5405.9</v>
      </c>
      <c r="E639">
        <v>9.7068882110897814E-3</v>
      </c>
      <c r="F639">
        <v>177.82300000000001</v>
      </c>
      <c r="G639">
        <f t="shared" si="18"/>
        <v>-3.8521451105877347E-4</v>
      </c>
      <c r="H639">
        <v>5.1694799999999997E-3</v>
      </c>
      <c r="I639">
        <f t="shared" si="19"/>
        <v>3.8240000000000149E-5</v>
      </c>
      <c r="J639" s="6">
        <v>1</v>
      </c>
      <c r="K639">
        <v>1</v>
      </c>
      <c r="L639" t="b">
        <f>$K$639*$C$639&gt;0</f>
        <v>0</v>
      </c>
      <c r="N639" s="3"/>
    </row>
    <row r="640" spans="1:14" x14ac:dyDescent="0.45">
      <c r="A640" s="3">
        <v>43294</v>
      </c>
      <c r="B640">
        <v>14.6</v>
      </c>
      <c r="C640">
        <v>-7.8151546041453912E-3</v>
      </c>
      <c r="D640">
        <v>5429.2</v>
      </c>
      <c r="E640">
        <v>4.3101056253354031E-3</v>
      </c>
      <c r="F640">
        <v>178.21299999999999</v>
      </c>
      <c r="G640">
        <f t="shared" si="18"/>
        <v>-2.1883925415092653E-3</v>
      </c>
      <c r="H640">
        <v>5.0918200000000004E-3</v>
      </c>
      <c r="I640">
        <f t="shared" si="19"/>
        <v>7.7659999999999361E-5</v>
      </c>
      <c r="J640" s="6">
        <v>1</v>
      </c>
      <c r="K640">
        <v>1</v>
      </c>
      <c r="L640" t="b">
        <f>$K$640*$C$640&gt;0</f>
        <v>0</v>
      </c>
      <c r="N640" s="3"/>
    </row>
    <row r="641" spans="1:14" x14ac:dyDescent="0.45">
      <c r="A641" s="3">
        <v>43297</v>
      </c>
      <c r="B641">
        <v>14.57</v>
      </c>
      <c r="C641">
        <v>-2.054794520547909E-3</v>
      </c>
      <c r="D641">
        <v>5409.43</v>
      </c>
      <c r="E641">
        <v>-3.6414204671036954E-3</v>
      </c>
      <c r="F641">
        <v>177.80350000000001</v>
      </c>
      <c r="G641">
        <f t="shared" si="18"/>
        <v>2.3031042696008974E-3</v>
      </c>
      <c r="H641">
        <v>4.9360599999999999E-3</v>
      </c>
      <c r="I641">
        <f t="shared" si="19"/>
        <v>1.5576000000000045E-4</v>
      </c>
      <c r="J641" s="6">
        <v>1</v>
      </c>
      <c r="K641">
        <v>1</v>
      </c>
      <c r="L641" t="b">
        <f>$K$641*$C$641&gt;0</f>
        <v>0</v>
      </c>
      <c r="N641" s="3"/>
    </row>
    <row r="642" spans="1:14" x14ac:dyDescent="0.45">
      <c r="A642" s="3">
        <v>43298</v>
      </c>
      <c r="B642">
        <v>14.2</v>
      </c>
      <c r="C642">
        <v>-2.5394646533973941E-2</v>
      </c>
      <c r="D642">
        <v>5422.54</v>
      </c>
      <c r="E642">
        <v>2.4235455491612434E-3</v>
      </c>
      <c r="F642">
        <v>178.0095</v>
      </c>
      <c r="G642">
        <f t="shared" si="18"/>
        <v>-1.157241607891657E-3</v>
      </c>
      <c r="H642">
        <v>4.9093100000000001E-3</v>
      </c>
      <c r="I642">
        <f t="shared" si="19"/>
        <v>2.6749999999999864E-5</v>
      </c>
      <c r="J642" s="6">
        <v>1</v>
      </c>
      <c r="K642">
        <v>1</v>
      </c>
      <c r="L642" t="b">
        <f>$K$642*$C$642&gt;0</f>
        <v>0</v>
      </c>
      <c r="N642" s="3"/>
    </row>
    <row r="643" spans="1:14" x14ac:dyDescent="0.45">
      <c r="A643" s="3">
        <v>43299</v>
      </c>
      <c r="B643">
        <v>14.16</v>
      </c>
      <c r="C643">
        <v>-2.8169014084505895E-3</v>
      </c>
      <c r="D643">
        <v>5447.44</v>
      </c>
      <c r="E643">
        <v>4.591943996724801E-3</v>
      </c>
      <c r="F643">
        <v>178.08250000000001</v>
      </c>
      <c r="G643">
        <f t="shared" si="18"/>
        <v>-4.0992236744208377E-4</v>
      </c>
      <c r="H643">
        <v>4.8001500000000004E-3</v>
      </c>
      <c r="I643">
        <f t="shared" si="19"/>
        <v>1.0915999999999964E-4</v>
      </c>
      <c r="J643" s="6">
        <v>1</v>
      </c>
      <c r="K643">
        <v>1</v>
      </c>
      <c r="L643" t="b">
        <f>$K$643*$C$643&gt;0</f>
        <v>0</v>
      </c>
      <c r="N643" s="3"/>
    </row>
    <row r="644" spans="1:14" x14ac:dyDescent="0.45">
      <c r="A644" s="3">
        <v>43300</v>
      </c>
      <c r="B644">
        <v>14.055</v>
      </c>
      <c r="C644">
        <v>-7.4152542372881713E-3</v>
      </c>
      <c r="D644">
        <v>5417.07</v>
      </c>
      <c r="E644">
        <v>-5.575095824827736E-3</v>
      </c>
      <c r="F644">
        <v>178.20849999999999</v>
      </c>
      <c r="G644">
        <f t="shared" ref="G644:G707" si="20">F643/F644-1</f>
        <v>-7.0703698196206144E-4</v>
      </c>
      <c r="H644">
        <v>4.7606200000000001E-3</v>
      </c>
      <c r="I644">
        <f t="shared" ref="I644:I707" si="21">H643-H644</f>
        <v>3.9530000000000294E-5</v>
      </c>
      <c r="J644" s="6">
        <v>1</v>
      </c>
      <c r="K644">
        <v>1</v>
      </c>
      <c r="L644" t="b">
        <f>$K$644*$C$644&gt;0</f>
        <v>0</v>
      </c>
      <c r="N644" s="3"/>
    </row>
    <row r="645" spans="1:14" x14ac:dyDescent="0.45">
      <c r="A645" s="3">
        <v>43301</v>
      </c>
      <c r="B645">
        <v>14.095000000000001</v>
      </c>
      <c r="C645">
        <v>2.8459622909997595E-3</v>
      </c>
      <c r="D645">
        <v>5398.32</v>
      </c>
      <c r="E645">
        <v>-3.4612807292503378E-3</v>
      </c>
      <c r="F645">
        <v>177.38900000000001</v>
      </c>
      <c r="G645">
        <f t="shared" si="20"/>
        <v>4.6197904041398452E-3</v>
      </c>
      <c r="H645">
        <v>4.8189599999999997E-3</v>
      </c>
      <c r="I645">
        <f t="shared" si="21"/>
        <v>-5.8339999999999607E-5</v>
      </c>
      <c r="J645" s="6">
        <v>1</v>
      </c>
      <c r="K645">
        <v>1</v>
      </c>
      <c r="L645" t="b">
        <f>$K$645*$C$645&gt;0</f>
        <v>1</v>
      </c>
      <c r="N645" s="3"/>
    </row>
    <row r="646" spans="1:14" x14ac:dyDescent="0.45">
      <c r="A646" s="3">
        <v>43304</v>
      </c>
      <c r="B646">
        <v>14.115</v>
      </c>
      <c r="C646">
        <v>1.4189428875488463E-3</v>
      </c>
      <c r="D646">
        <v>5378.25</v>
      </c>
      <c r="E646">
        <v>-3.7178233228114532E-3</v>
      </c>
      <c r="F646">
        <v>176.80099999999999</v>
      </c>
      <c r="G646">
        <f t="shared" si="20"/>
        <v>3.3257730442701749E-3</v>
      </c>
      <c r="H646">
        <v>4.8033499999999996E-3</v>
      </c>
      <c r="I646">
        <f t="shared" si="21"/>
        <v>1.5610000000000103E-5</v>
      </c>
      <c r="J646" s="6">
        <v>1</v>
      </c>
      <c r="K646">
        <v>1</v>
      </c>
      <c r="L646" t="b">
        <f>$K$646*$C$646&gt;0</f>
        <v>1</v>
      </c>
      <c r="N646" s="3"/>
    </row>
    <row r="647" spans="1:14" x14ac:dyDescent="0.45">
      <c r="A647" s="3">
        <v>43305</v>
      </c>
      <c r="B647">
        <v>14.05</v>
      </c>
      <c r="C647">
        <v>-4.6050301098121693E-3</v>
      </c>
      <c r="D647">
        <v>5434.19</v>
      </c>
      <c r="E647">
        <v>1.0401152791335466E-2</v>
      </c>
      <c r="F647">
        <v>177.06450000000001</v>
      </c>
      <c r="G647">
        <f t="shared" si="20"/>
        <v>-1.4881582700090323E-3</v>
      </c>
      <c r="H647">
        <v>4.6867799999999998E-3</v>
      </c>
      <c r="I647">
        <f t="shared" si="21"/>
        <v>1.1656999999999987E-4</v>
      </c>
      <c r="J647" s="6">
        <v>1</v>
      </c>
      <c r="K647">
        <v>1</v>
      </c>
      <c r="L647" t="b">
        <f>$K$647*$C$647&gt;0</f>
        <v>0</v>
      </c>
      <c r="N647" s="3"/>
    </row>
    <row r="648" spans="1:14" x14ac:dyDescent="0.45">
      <c r="A648" s="3">
        <v>43306</v>
      </c>
      <c r="B648">
        <v>13.98</v>
      </c>
      <c r="C648">
        <v>-4.982206405694023E-3</v>
      </c>
      <c r="D648">
        <v>5426.41</v>
      </c>
      <c r="E648">
        <v>-1.431676109962976E-3</v>
      </c>
      <c r="F648">
        <v>177.2225</v>
      </c>
      <c r="G648">
        <f t="shared" si="20"/>
        <v>-8.9153465276692323E-4</v>
      </c>
      <c r="H648">
        <v>4.6528999999999997E-3</v>
      </c>
      <c r="I648">
        <f t="shared" si="21"/>
        <v>3.3880000000000021E-5</v>
      </c>
      <c r="J648" s="6">
        <v>1</v>
      </c>
      <c r="K648">
        <v>1</v>
      </c>
      <c r="L648" t="b">
        <f>$K$648*$C$648&gt;0</f>
        <v>0</v>
      </c>
      <c r="N648" s="3"/>
    </row>
    <row r="649" spans="1:14" x14ac:dyDescent="0.45">
      <c r="A649" s="3">
        <v>43307</v>
      </c>
      <c r="B649">
        <v>14.3</v>
      </c>
      <c r="C649">
        <v>2.2889842632331847E-2</v>
      </c>
      <c r="D649">
        <v>5480.55</v>
      </c>
      <c r="E649">
        <v>9.9771303679596635E-3</v>
      </c>
      <c r="F649">
        <v>177.102</v>
      </c>
      <c r="G649">
        <f t="shared" si="20"/>
        <v>6.803988661900906E-4</v>
      </c>
      <c r="H649">
        <v>4.4214600000000003E-3</v>
      </c>
      <c r="I649">
        <f t="shared" si="21"/>
        <v>2.3143999999999942E-4</v>
      </c>
      <c r="J649" s="6">
        <v>1</v>
      </c>
      <c r="K649">
        <v>1</v>
      </c>
      <c r="L649" t="b">
        <f>$K$649*$C$649&gt;0</f>
        <v>1</v>
      </c>
      <c r="N649" s="3"/>
    </row>
    <row r="650" spans="1:14" x14ac:dyDescent="0.45">
      <c r="A650" s="3">
        <v>43308</v>
      </c>
      <c r="B650">
        <v>14.63</v>
      </c>
      <c r="C650">
        <v>2.3076923076922995E-2</v>
      </c>
      <c r="D650">
        <v>5511.76</v>
      </c>
      <c r="E650">
        <v>5.6946839277078887E-3</v>
      </c>
      <c r="F650">
        <v>177.20699999999999</v>
      </c>
      <c r="G650">
        <f t="shared" si="20"/>
        <v>-5.9252738322967957E-4</v>
      </c>
      <c r="H650">
        <v>4.3717699999999996E-3</v>
      </c>
      <c r="I650">
        <f t="shared" si="21"/>
        <v>4.9690000000000671E-5</v>
      </c>
      <c r="J650" s="6">
        <v>1</v>
      </c>
      <c r="K650">
        <v>1</v>
      </c>
      <c r="L650" t="b">
        <f>$K$650*$C$650&gt;0</f>
        <v>1</v>
      </c>
      <c r="N650" s="3"/>
    </row>
    <row r="651" spans="1:14" x14ac:dyDescent="0.45">
      <c r="A651" s="3">
        <v>43311</v>
      </c>
      <c r="B651">
        <v>14.6</v>
      </c>
      <c r="C651">
        <v>-2.0505809979495249E-3</v>
      </c>
      <c r="D651">
        <v>5491.22</v>
      </c>
      <c r="E651">
        <v>-3.7265773546018011E-3</v>
      </c>
      <c r="F651">
        <v>176.41749999999999</v>
      </c>
      <c r="G651">
        <f t="shared" si="20"/>
        <v>4.4751796165347635E-3</v>
      </c>
      <c r="H651">
        <v>4.3630800000000001E-3</v>
      </c>
      <c r="I651">
        <f t="shared" si="21"/>
        <v>8.6899999999995661E-6</v>
      </c>
      <c r="J651" s="6">
        <v>1</v>
      </c>
      <c r="K651">
        <v>1</v>
      </c>
      <c r="L651" t="b">
        <f>$K$651*$C$651&gt;0</f>
        <v>0</v>
      </c>
      <c r="N651" s="3"/>
    </row>
    <row r="652" spans="1:14" x14ac:dyDescent="0.45">
      <c r="A652" s="3">
        <v>43312</v>
      </c>
      <c r="B652">
        <v>14.615</v>
      </c>
      <c r="C652">
        <v>1.027397260274121E-3</v>
      </c>
      <c r="D652">
        <v>5511.3</v>
      </c>
      <c r="E652">
        <v>3.6567465881898187E-3</v>
      </c>
      <c r="F652">
        <v>176.52</v>
      </c>
      <c r="G652">
        <f t="shared" si="20"/>
        <v>-5.8067074552470288E-4</v>
      </c>
      <c r="H652">
        <v>4.3248100000000001E-3</v>
      </c>
      <c r="I652">
        <f t="shared" si="21"/>
        <v>3.8269999999999971E-5</v>
      </c>
      <c r="J652" s="6">
        <v>1</v>
      </c>
      <c r="K652">
        <v>1</v>
      </c>
      <c r="L652" t="b">
        <f>$K$652*$C$652&gt;0</f>
        <v>1</v>
      </c>
      <c r="N652" s="3"/>
    </row>
    <row r="653" spans="1:14" x14ac:dyDescent="0.45">
      <c r="A653" s="3">
        <v>43313</v>
      </c>
      <c r="B653">
        <v>14.585000000000001</v>
      </c>
      <c r="C653">
        <v>-2.0526855969893454E-3</v>
      </c>
      <c r="D653">
        <v>5498.37</v>
      </c>
      <c r="E653">
        <v>-2.3460889445321431E-3</v>
      </c>
      <c r="F653">
        <v>176.09399999999999</v>
      </c>
      <c r="G653">
        <f t="shared" si="20"/>
        <v>2.4191624927596411E-3</v>
      </c>
      <c r="H653">
        <v>4.3370600000000002E-3</v>
      </c>
      <c r="I653">
        <f t="shared" si="21"/>
        <v>-1.2250000000000108E-5</v>
      </c>
      <c r="J653" s="6">
        <v>1</v>
      </c>
      <c r="K653">
        <v>1</v>
      </c>
      <c r="L653" t="b">
        <f>$K$653*$C$653&gt;0</f>
        <v>0</v>
      </c>
      <c r="N653" s="3"/>
    </row>
    <row r="654" spans="1:14" x14ac:dyDescent="0.45">
      <c r="A654" s="3">
        <v>43314</v>
      </c>
      <c r="B654">
        <v>14.484999999999999</v>
      </c>
      <c r="C654">
        <v>-6.8563592732260314E-3</v>
      </c>
      <c r="D654">
        <v>5460.98</v>
      </c>
      <c r="E654">
        <v>-6.800197149336995E-3</v>
      </c>
      <c r="F654">
        <v>176.3245</v>
      </c>
      <c r="G654">
        <f t="shared" si="20"/>
        <v>-1.3072488508404367E-3</v>
      </c>
      <c r="H654">
        <v>4.3879799999999997E-3</v>
      </c>
      <c r="I654">
        <f t="shared" si="21"/>
        <v>-5.0919999999999438E-5</v>
      </c>
      <c r="J654" s="6">
        <v>1</v>
      </c>
      <c r="K654">
        <v>1</v>
      </c>
      <c r="L654" t="b">
        <f>$K$654*$C$654&gt;0</f>
        <v>0</v>
      </c>
      <c r="N654" s="3"/>
    </row>
    <row r="655" spans="1:14" x14ac:dyDescent="0.45">
      <c r="A655" s="3">
        <v>43315</v>
      </c>
      <c r="B655">
        <v>14.615</v>
      </c>
      <c r="C655">
        <v>8.9748015188126917E-3</v>
      </c>
      <c r="D655">
        <v>5478.98</v>
      </c>
      <c r="E655">
        <v>3.296111686913239E-3</v>
      </c>
      <c r="F655">
        <v>177.22900000000001</v>
      </c>
      <c r="G655">
        <f t="shared" si="20"/>
        <v>-5.1035665720622347E-3</v>
      </c>
      <c r="H655">
        <v>4.4778999999999999E-3</v>
      </c>
      <c r="I655">
        <f t="shared" si="21"/>
        <v>-8.9920000000000277E-5</v>
      </c>
      <c r="J655" s="6">
        <v>1</v>
      </c>
      <c r="K655">
        <v>1</v>
      </c>
      <c r="L655" t="b">
        <f>$K$655*$C$655&gt;0</f>
        <v>1</v>
      </c>
      <c r="N655" s="3"/>
    </row>
    <row r="656" spans="1:14" x14ac:dyDescent="0.45">
      <c r="A656" s="3">
        <v>43318</v>
      </c>
      <c r="B656">
        <v>14.585000000000001</v>
      </c>
      <c r="C656">
        <v>-2.0526855969893454E-3</v>
      </c>
      <c r="D656">
        <v>5477.18</v>
      </c>
      <c r="E656">
        <v>-3.2852830271312694E-4</v>
      </c>
      <c r="F656">
        <v>177.559</v>
      </c>
      <c r="G656">
        <f t="shared" si="20"/>
        <v>-1.8585371622952263E-3</v>
      </c>
      <c r="H656">
        <v>4.4608399999999998E-3</v>
      </c>
      <c r="I656">
        <f t="shared" si="21"/>
        <v>1.7060000000000165E-5</v>
      </c>
      <c r="J656" s="6">
        <v>1</v>
      </c>
      <c r="K656">
        <v>1</v>
      </c>
      <c r="L656" t="b">
        <f>$K$656*$C$656&gt;0</f>
        <v>0</v>
      </c>
      <c r="N656" s="3"/>
    </row>
    <row r="657" spans="1:14" x14ac:dyDescent="0.45">
      <c r="A657" s="3">
        <v>43319</v>
      </c>
      <c r="B657">
        <v>14.685</v>
      </c>
      <c r="C657">
        <v>6.8563592732258094E-3</v>
      </c>
      <c r="D657">
        <v>5521.31</v>
      </c>
      <c r="E657">
        <v>8.0570658623597691E-3</v>
      </c>
      <c r="F657">
        <v>177.268</v>
      </c>
      <c r="G657">
        <f t="shared" si="20"/>
        <v>1.641582237064787E-3</v>
      </c>
      <c r="H657">
        <v>4.4209100000000001E-3</v>
      </c>
      <c r="I657">
        <f t="shared" si="21"/>
        <v>3.9929999999999653E-5</v>
      </c>
      <c r="J657" s="6">
        <v>1</v>
      </c>
      <c r="K657">
        <v>1</v>
      </c>
      <c r="L657" t="b">
        <f>$K$657*$C$657&gt;0</f>
        <v>1</v>
      </c>
      <c r="N657" s="3"/>
    </row>
    <row r="658" spans="1:14" x14ac:dyDescent="0.45">
      <c r="A658" s="3">
        <v>43320</v>
      </c>
      <c r="B658">
        <v>14.484999999999999</v>
      </c>
      <c r="C658">
        <v>-1.3619339462036195E-2</v>
      </c>
      <c r="D658">
        <v>5501.9</v>
      </c>
      <c r="E658">
        <v>-3.5154700605473099E-3</v>
      </c>
      <c r="F658">
        <v>177.429</v>
      </c>
      <c r="G658">
        <f t="shared" si="20"/>
        <v>-9.0740521560739307E-4</v>
      </c>
      <c r="H658">
        <v>4.37857E-3</v>
      </c>
      <c r="I658">
        <f t="shared" si="21"/>
        <v>4.2340000000000086E-5</v>
      </c>
      <c r="J658" s="6">
        <v>1</v>
      </c>
      <c r="K658">
        <v>1</v>
      </c>
      <c r="L658" t="b">
        <f>$K$658*$C$658&gt;0</f>
        <v>0</v>
      </c>
      <c r="N658" s="3"/>
    </row>
    <row r="659" spans="1:14" x14ac:dyDescent="0.45">
      <c r="A659" s="3">
        <v>43321</v>
      </c>
      <c r="B659">
        <v>14.475</v>
      </c>
      <c r="C659">
        <v>-6.9036934760091651E-4</v>
      </c>
      <c r="D659">
        <v>5502.25</v>
      </c>
      <c r="E659">
        <v>6.3614387757038315E-5</v>
      </c>
      <c r="F659">
        <v>177.67750000000001</v>
      </c>
      <c r="G659">
        <f t="shared" si="20"/>
        <v>-1.3986013986014845E-3</v>
      </c>
      <c r="H659">
        <v>4.3820600000000001E-3</v>
      </c>
      <c r="I659">
        <f t="shared" si="21"/>
        <v>-3.4900000000000903E-6</v>
      </c>
      <c r="J659" s="6">
        <v>1</v>
      </c>
      <c r="K659">
        <v>1</v>
      </c>
      <c r="L659" t="b">
        <f>$K$659*$C$659&gt;0</f>
        <v>0</v>
      </c>
      <c r="N659" s="3"/>
    </row>
    <row r="660" spans="1:14" x14ac:dyDescent="0.45">
      <c r="A660" s="3">
        <v>43322</v>
      </c>
      <c r="B660">
        <v>14.23</v>
      </c>
      <c r="C660">
        <v>-1.6925734024179517E-2</v>
      </c>
      <c r="D660">
        <v>5414.68</v>
      </c>
      <c r="E660">
        <v>-1.5915307374255949E-2</v>
      </c>
      <c r="F660">
        <v>178.54599999999999</v>
      </c>
      <c r="G660">
        <f t="shared" si="20"/>
        <v>-4.8642926752768822E-3</v>
      </c>
      <c r="H660">
        <v>4.5158400000000001E-3</v>
      </c>
      <c r="I660">
        <f t="shared" si="21"/>
        <v>-1.3378000000000001E-4</v>
      </c>
      <c r="J660" s="6">
        <v>1</v>
      </c>
      <c r="K660">
        <v>1</v>
      </c>
      <c r="L660" t="b">
        <f>$K$660*$C$660&gt;0</f>
        <v>0</v>
      </c>
      <c r="N660" s="3"/>
    </row>
    <row r="661" spans="1:14" x14ac:dyDescent="0.45">
      <c r="A661" s="3">
        <v>43325</v>
      </c>
      <c r="B661">
        <v>14.24</v>
      </c>
      <c r="C661">
        <v>7.027406886859211E-4</v>
      </c>
      <c r="D661">
        <v>5412.32</v>
      </c>
      <c r="E661">
        <v>-4.3585216485564349E-4</v>
      </c>
      <c r="F661">
        <v>178.52549999999999</v>
      </c>
      <c r="G661">
        <f t="shared" si="20"/>
        <v>1.1482953415620223E-4</v>
      </c>
      <c r="H661">
        <v>4.6098600000000003E-3</v>
      </c>
      <c r="I661">
        <f t="shared" si="21"/>
        <v>-9.4020000000000215E-5</v>
      </c>
      <c r="J661" s="6">
        <v>1</v>
      </c>
      <c r="K661">
        <v>1</v>
      </c>
      <c r="L661" t="b">
        <f>$K$661*$C$661&gt;0</f>
        <v>1</v>
      </c>
      <c r="N661" s="3"/>
    </row>
    <row r="662" spans="1:14" x14ac:dyDescent="0.45">
      <c r="A662" s="3">
        <v>43326</v>
      </c>
      <c r="B662">
        <v>14.234999999999999</v>
      </c>
      <c r="C662">
        <v>-3.5112359550570904E-4</v>
      </c>
      <c r="D662">
        <v>5403.41</v>
      </c>
      <c r="E662">
        <v>-1.646244124515861E-3</v>
      </c>
      <c r="F662">
        <v>178.26949999999999</v>
      </c>
      <c r="G662">
        <f t="shared" si="20"/>
        <v>1.4360280362035738E-3</v>
      </c>
      <c r="H662">
        <v>4.6071000000000003E-3</v>
      </c>
      <c r="I662">
        <f t="shared" si="21"/>
        <v>2.7600000000000888E-6</v>
      </c>
      <c r="J662" s="6">
        <v>1</v>
      </c>
      <c r="K662">
        <v>1</v>
      </c>
      <c r="L662" t="b">
        <f>$K$662*$C$662&gt;0</f>
        <v>0</v>
      </c>
      <c r="N662" s="3"/>
    </row>
    <row r="663" spans="1:14" x14ac:dyDescent="0.45">
      <c r="A663" s="3">
        <v>43327</v>
      </c>
      <c r="B663">
        <v>14.135</v>
      </c>
      <c r="C663">
        <v>-7.0249385317878721E-3</v>
      </c>
      <c r="D663">
        <v>5305.22</v>
      </c>
      <c r="E663">
        <v>-1.8171858141432851E-2</v>
      </c>
      <c r="F663">
        <v>178.64699999999999</v>
      </c>
      <c r="G663">
        <f t="shared" si="20"/>
        <v>-2.1131057336535308E-3</v>
      </c>
      <c r="H663">
        <v>4.7035699999999998E-3</v>
      </c>
      <c r="I663">
        <f t="shared" si="21"/>
        <v>-9.6469999999999542E-5</v>
      </c>
      <c r="J663" s="6">
        <v>1</v>
      </c>
      <c r="K663">
        <v>1</v>
      </c>
      <c r="L663" t="b">
        <f>$K$663*$C$663&gt;0</f>
        <v>0</v>
      </c>
      <c r="N663" s="3"/>
    </row>
    <row r="664" spans="1:14" x14ac:dyDescent="0.45">
      <c r="A664" s="3">
        <v>43328</v>
      </c>
      <c r="B664">
        <v>14.215</v>
      </c>
      <c r="C664">
        <v>5.6597099398656425E-3</v>
      </c>
      <c r="D664">
        <v>5349.02</v>
      </c>
      <c r="E664">
        <v>8.2560195430161354E-3</v>
      </c>
      <c r="F664">
        <v>178.33150000000001</v>
      </c>
      <c r="G664">
        <f t="shared" si="20"/>
        <v>1.7691770663061934E-3</v>
      </c>
      <c r="H664">
        <v>4.7144400000000003E-3</v>
      </c>
      <c r="I664">
        <f t="shared" si="21"/>
        <v>-1.0870000000000497E-5</v>
      </c>
      <c r="J664" s="6">
        <v>1</v>
      </c>
      <c r="K664">
        <v>1</v>
      </c>
      <c r="L664" t="b">
        <f>$K$664*$C$664&gt;0</f>
        <v>1</v>
      </c>
      <c r="N664" s="3"/>
    </row>
    <row r="665" spans="1:14" x14ac:dyDescent="0.45">
      <c r="A665" s="3">
        <v>43329</v>
      </c>
      <c r="B665">
        <v>14.145</v>
      </c>
      <c r="C665">
        <v>-4.924375659514646E-3</v>
      </c>
      <c r="D665">
        <v>5344.93</v>
      </c>
      <c r="E665">
        <v>-7.6462604364913034E-4</v>
      </c>
      <c r="F665">
        <v>178.53149999999999</v>
      </c>
      <c r="G665">
        <f t="shared" si="20"/>
        <v>-1.1202504880090114E-3</v>
      </c>
      <c r="H665">
        <v>4.7105899999999997E-3</v>
      </c>
      <c r="I665">
        <f t="shared" si="21"/>
        <v>3.8500000000005544E-6</v>
      </c>
      <c r="J665" s="6">
        <v>1</v>
      </c>
      <c r="K665">
        <v>1</v>
      </c>
      <c r="L665" t="b">
        <f>$K$665*$C$665&gt;0</f>
        <v>0</v>
      </c>
      <c r="N665" s="3"/>
    </row>
    <row r="666" spans="1:14" x14ac:dyDescent="0.45">
      <c r="A666" s="3">
        <v>43332</v>
      </c>
      <c r="B666">
        <v>14.19</v>
      </c>
      <c r="C666">
        <v>3.1813361611876534E-3</v>
      </c>
      <c r="D666">
        <v>5379.65</v>
      </c>
      <c r="E666">
        <v>6.4958755306430138E-3</v>
      </c>
      <c r="F666">
        <v>178.54849999999999</v>
      </c>
      <c r="G666">
        <f t="shared" si="20"/>
        <v>-9.521222524966344E-5</v>
      </c>
      <c r="H666">
        <v>4.7168000000000002E-3</v>
      </c>
      <c r="I666">
        <f t="shared" si="21"/>
        <v>-6.2100000000004166E-6</v>
      </c>
      <c r="J666" s="6">
        <v>1</v>
      </c>
      <c r="K666">
        <v>1</v>
      </c>
      <c r="L666" t="b">
        <f>$K$666*$C$666&gt;0</f>
        <v>1</v>
      </c>
      <c r="N666" s="3"/>
    </row>
    <row r="667" spans="1:14" x14ac:dyDescent="0.45">
      <c r="A667" s="3">
        <v>43333</v>
      </c>
      <c r="B667">
        <v>14.244999999999999</v>
      </c>
      <c r="C667">
        <v>3.8759689922480689E-3</v>
      </c>
      <c r="D667">
        <v>5408.6</v>
      </c>
      <c r="E667">
        <v>5.3813909826849748E-3</v>
      </c>
      <c r="F667">
        <v>177.9795</v>
      </c>
      <c r="G667">
        <f t="shared" si="20"/>
        <v>3.1969974070047424E-3</v>
      </c>
      <c r="H667">
        <v>4.58319E-3</v>
      </c>
      <c r="I667">
        <f t="shared" si="21"/>
        <v>1.3361000000000015E-4</v>
      </c>
      <c r="J667" s="6">
        <v>1</v>
      </c>
      <c r="K667">
        <v>1</v>
      </c>
      <c r="L667" t="b">
        <f>$K$667*$C$667&gt;0</f>
        <v>1</v>
      </c>
      <c r="N667" s="3"/>
    </row>
    <row r="668" spans="1:14" x14ac:dyDescent="0.45">
      <c r="A668" s="3">
        <v>43334</v>
      </c>
      <c r="B668">
        <v>14.36</v>
      </c>
      <c r="C668">
        <v>8.0730080730080367E-3</v>
      </c>
      <c r="D668">
        <v>5420.61</v>
      </c>
      <c r="E668">
        <v>2.2205376622415063E-3</v>
      </c>
      <c r="F668">
        <v>177.708</v>
      </c>
      <c r="G668">
        <f t="shared" si="20"/>
        <v>1.5277871564589596E-3</v>
      </c>
      <c r="H668">
        <v>4.5239199999999999E-3</v>
      </c>
      <c r="I668">
        <f t="shared" si="21"/>
        <v>5.9270000000000156E-5</v>
      </c>
      <c r="J668" s="6">
        <v>1</v>
      </c>
      <c r="K668">
        <v>1</v>
      </c>
      <c r="L668" t="b">
        <f>$K$668*$C$668&gt;0</f>
        <v>1</v>
      </c>
      <c r="N668" s="3"/>
    </row>
    <row r="669" spans="1:14" x14ac:dyDescent="0.45">
      <c r="A669" s="3">
        <v>43335</v>
      </c>
      <c r="B669">
        <v>14.324999999999999</v>
      </c>
      <c r="C669">
        <v>-2.4373259052924423E-3</v>
      </c>
      <c r="D669">
        <v>5419.33</v>
      </c>
      <c r="E669">
        <v>-2.3613578545578218E-4</v>
      </c>
      <c r="F669">
        <v>177.76400000000001</v>
      </c>
      <c r="G669">
        <f t="shared" si="20"/>
        <v>-3.150244143921288E-4</v>
      </c>
      <c r="H669">
        <v>4.5065699999999997E-3</v>
      </c>
      <c r="I669">
        <f t="shared" si="21"/>
        <v>1.7350000000000178E-5</v>
      </c>
      <c r="J669" s="6">
        <v>1</v>
      </c>
      <c r="K669">
        <v>1</v>
      </c>
      <c r="L669" t="b">
        <f>$K$669*$C$669&gt;0</f>
        <v>0</v>
      </c>
      <c r="N669" s="3"/>
    </row>
    <row r="670" spans="1:14" x14ac:dyDescent="0.45">
      <c r="A670" s="3">
        <v>43336</v>
      </c>
      <c r="B670">
        <v>14.315</v>
      </c>
      <c r="C670">
        <v>-6.9808027923212723E-4</v>
      </c>
      <c r="D670">
        <v>5432.5</v>
      </c>
      <c r="E670">
        <v>2.4301897097980252E-3</v>
      </c>
      <c r="F670">
        <v>177.678</v>
      </c>
      <c r="G670">
        <f t="shared" si="20"/>
        <v>4.8402165715510925E-4</v>
      </c>
      <c r="H670">
        <v>4.4886600000000002E-3</v>
      </c>
      <c r="I670">
        <f t="shared" si="21"/>
        <v>1.7909999999999454E-5</v>
      </c>
      <c r="J670" s="6">
        <v>1</v>
      </c>
      <c r="K670">
        <v>1</v>
      </c>
      <c r="L670" t="b">
        <f>$K$670*$C$670&gt;0</f>
        <v>0</v>
      </c>
      <c r="N670" s="3"/>
    </row>
    <row r="671" spans="1:14" x14ac:dyDescent="0.45">
      <c r="A671" s="3">
        <v>43339</v>
      </c>
      <c r="B671">
        <v>14.375</v>
      </c>
      <c r="C671">
        <v>4.1914076143905188E-3</v>
      </c>
      <c r="D671">
        <v>5479.1</v>
      </c>
      <c r="E671">
        <v>8.5780027611597198E-3</v>
      </c>
      <c r="F671">
        <v>177.00649999999999</v>
      </c>
      <c r="G671">
        <f t="shared" si="20"/>
        <v>3.7936459960510316E-3</v>
      </c>
      <c r="H671">
        <v>4.5108300000000004E-3</v>
      </c>
      <c r="I671">
        <f t="shared" si="21"/>
        <v>-2.2170000000000176E-5</v>
      </c>
      <c r="J671" s="6">
        <v>1</v>
      </c>
      <c r="K671">
        <v>1</v>
      </c>
      <c r="L671" t="b">
        <f>$K$671*$C$671&gt;0</f>
        <v>1</v>
      </c>
      <c r="N671" s="3"/>
    </row>
    <row r="672" spans="1:14" x14ac:dyDescent="0.45">
      <c r="A672" s="3">
        <v>43340</v>
      </c>
      <c r="B672">
        <v>14.29</v>
      </c>
      <c r="C672">
        <v>-5.9130434782609376E-3</v>
      </c>
      <c r="D672">
        <v>5484.99</v>
      </c>
      <c r="E672">
        <v>1.0749940683687509E-3</v>
      </c>
      <c r="F672">
        <v>176.803</v>
      </c>
      <c r="G672">
        <f t="shared" si="20"/>
        <v>1.1509985690287827E-3</v>
      </c>
      <c r="H672">
        <v>4.4258500000000003E-3</v>
      </c>
      <c r="I672">
        <f t="shared" si="21"/>
        <v>8.4980000000000125E-5</v>
      </c>
      <c r="J672" s="6">
        <v>1</v>
      </c>
      <c r="K672">
        <v>1</v>
      </c>
      <c r="L672" t="b">
        <f>$K$672*$C$672&gt;0</f>
        <v>0</v>
      </c>
      <c r="N672" s="3"/>
    </row>
    <row r="673" spans="1:14" x14ac:dyDescent="0.45">
      <c r="A673" s="3">
        <v>43341</v>
      </c>
      <c r="B673">
        <v>14.28</v>
      </c>
      <c r="C673">
        <v>-6.9979006298104274E-4</v>
      </c>
      <c r="D673">
        <v>5501.33</v>
      </c>
      <c r="E673">
        <v>2.9790391595974075E-3</v>
      </c>
      <c r="F673">
        <v>176.15649999999999</v>
      </c>
      <c r="G673">
        <f t="shared" si="20"/>
        <v>3.6700320453688651E-3</v>
      </c>
      <c r="H673">
        <v>4.4969199999999997E-3</v>
      </c>
      <c r="I673">
        <f t="shared" si="21"/>
        <v>-7.1069999999999467E-5</v>
      </c>
      <c r="J673" s="6">
        <v>1</v>
      </c>
      <c r="K673">
        <v>1</v>
      </c>
      <c r="L673" t="b">
        <f>$K$673*$C$673&gt;0</f>
        <v>0</v>
      </c>
      <c r="N673" s="3"/>
    </row>
    <row r="674" spans="1:14" x14ac:dyDescent="0.45">
      <c r="A674" s="3">
        <v>43342</v>
      </c>
      <c r="B674">
        <v>14.06</v>
      </c>
      <c r="C674">
        <v>-1.540616246498594E-2</v>
      </c>
      <c r="D674">
        <v>5478.06</v>
      </c>
      <c r="E674">
        <v>-4.2298862275121918E-3</v>
      </c>
      <c r="F674">
        <v>176.0215</v>
      </c>
      <c r="G674">
        <f t="shared" si="20"/>
        <v>7.6695176441510249E-4</v>
      </c>
      <c r="H674">
        <v>4.4544900000000002E-3</v>
      </c>
      <c r="I674">
        <f t="shared" si="21"/>
        <v>4.2429999999999551E-5</v>
      </c>
      <c r="J674" s="6">
        <v>1</v>
      </c>
      <c r="K674">
        <v>1</v>
      </c>
      <c r="L674" t="b">
        <f>$K$674*$C$674&gt;0</f>
        <v>0</v>
      </c>
      <c r="N674" s="3"/>
    </row>
    <row r="675" spans="1:14" x14ac:dyDescent="0.45">
      <c r="A675" s="3">
        <v>43343</v>
      </c>
      <c r="B675">
        <v>13.95</v>
      </c>
      <c r="C675">
        <v>-7.8236130867710418E-3</v>
      </c>
      <c r="D675">
        <v>5406.85</v>
      </c>
      <c r="E675">
        <v>-1.2999127428323209E-2</v>
      </c>
      <c r="F675">
        <v>177.12950000000001</v>
      </c>
      <c r="G675">
        <f t="shared" si="20"/>
        <v>-6.2553103802585053E-3</v>
      </c>
      <c r="H675">
        <v>4.5055499999999997E-3</v>
      </c>
      <c r="I675">
        <f t="shared" si="21"/>
        <v>-5.1059999999999474E-5</v>
      </c>
      <c r="J675" s="6">
        <v>1</v>
      </c>
      <c r="K675">
        <v>1</v>
      </c>
      <c r="L675" t="b">
        <f>$K$675*$C$675&gt;0</f>
        <v>0</v>
      </c>
      <c r="N675" s="3"/>
    </row>
    <row r="676" spans="1:14" x14ac:dyDescent="0.45">
      <c r="A676" s="3">
        <v>43346</v>
      </c>
      <c r="B676">
        <v>13.95</v>
      </c>
      <c r="C676">
        <v>0</v>
      </c>
      <c r="D676">
        <v>5413.8</v>
      </c>
      <c r="E676">
        <v>1.2854064751195438E-3</v>
      </c>
      <c r="F676">
        <v>176.71549999999999</v>
      </c>
      <c r="G676">
        <f t="shared" si="20"/>
        <v>2.342748655324689E-3</v>
      </c>
      <c r="H676">
        <v>4.48096E-3</v>
      </c>
      <c r="I676">
        <f t="shared" si="21"/>
        <v>2.4589999999999682E-5</v>
      </c>
      <c r="J676" s="6">
        <v>1</v>
      </c>
      <c r="K676">
        <v>1</v>
      </c>
      <c r="L676" t="b">
        <f>$K$676*$C$676&gt;0</f>
        <v>0</v>
      </c>
      <c r="N676" s="3"/>
    </row>
    <row r="677" spans="1:14" x14ac:dyDescent="0.45">
      <c r="A677" s="3">
        <v>43347</v>
      </c>
      <c r="B677">
        <v>13.84</v>
      </c>
      <c r="C677">
        <v>-7.8853046594982157E-3</v>
      </c>
      <c r="D677">
        <v>5342.7</v>
      </c>
      <c r="E677">
        <v>-1.3133104289039244E-2</v>
      </c>
      <c r="F677">
        <v>176.0795</v>
      </c>
      <c r="G677">
        <f t="shared" si="20"/>
        <v>3.6120048046479614E-3</v>
      </c>
      <c r="H677">
        <v>4.4695999999999998E-3</v>
      </c>
      <c r="I677">
        <f t="shared" si="21"/>
        <v>1.1360000000000189E-5</v>
      </c>
      <c r="J677" s="6">
        <v>1</v>
      </c>
      <c r="K677">
        <v>1</v>
      </c>
      <c r="L677" t="b">
        <f>$K$677*$C$677&gt;0</f>
        <v>0</v>
      </c>
      <c r="N677" s="3"/>
    </row>
    <row r="678" spans="1:14" x14ac:dyDescent="0.45">
      <c r="A678" s="3">
        <v>43348</v>
      </c>
      <c r="B678">
        <v>13.64</v>
      </c>
      <c r="C678">
        <v>-1.4450867052023031E-2</v>
      </c>
      <c r="D678">
        <v>5260.22</v>
      </c>
      <c r="E678">
        <v>-1.5437887210586365E-2</v>
      </c>
      <c r="F678">
        <v>174.28800000000001</v>
      </c>
      <c r="G678">
        <f t="shared" si="20"/>
        <v>1.0278963554576137E-2</v>
      </c>
      <c r="H678">
        <v>4.4643800000000004E-3</v>
      </c>
      <c r="I678">
        <f t="shared" si="21"/>
        <v>5.2199999999993571E-6</v>
      </c>
      <c r="J678" s="6">
        <v>1</v>
      </c>
      <c r="K678">
        <v>1</v>
      </c>
      <c r="L678" t="b">
        <f>$K$678*$C$678&gt;0</f>
        <v>0</v>
      </c>
      <c r="N678" s="3"/>
    </row>
    <row r="679" spans="1:14" x14ac:dyDescent="0.45">
      <c r="A679" s="3">
        <v>43349</v>
      </c>
      <c r="B679">
        <v>13.5</v>
      </c>
      <c r="C679">
        <v>-1.0263929618768319E-2</v>
      </c>
      <c r="D679">
        <v>5243.84</v>
      </c>
      <c r="E679">
        <v>-3.1139382003034788E-3</v>
      </c>
      <c r="F679">
        <v>174.76050000000001</v>
      </c>
      <c r="G679">
        <f t="shared" si="20"/>
        <v>-2.7037002068545091E-3</v>
      </c>
      <c r="H679">
        <v>4.3558800000000003E-3</v>
      </c>
      <c r="I679">
        <f t="shared" si="21"/>
        <v>1.0850000000000009E-4</v>
      </c>
      <c r="J679" s="6">
        <v>1</v>
      </c>
      <c r="K679">
        <v>1</v>
      </c>
      <c r="L679" t="b">
        <f>$K$679*$C$679&gt;0</f>
        <v>0</v>
      </c>
      <c r="N679" s="3"/>
    </row>
    <row r="680" spans="1:14" x14ac:dyDescent="0.45">
      <c r="A680" s="3">
        <v>43350</v>
      </c>
      <c r="B680">
        <v>13.625</v>
      </c>
      <c r="C680">
        <v>9.2592592592593004E-3</v>
      </c>
      <c r="D680">
        <v>5252.22</v>
      </c>
      <c r="E680">
        <v>1.5980655397571653E-3</v>
      </c>
      <c r="F680">
        <v>174.10499999999999</v>
      </c>
      <c r="G680">
        <f t="shared" si="20"/>
        <v>3.7649694150083679E-3</v>
      </c>
      <c r="H680">
        <v>4.3233899999999999E-3</v>
      </c>
      <c r="I680">
        <f t="shared" si="21"/>
        <v>3.249000000000047E-5</v>
      </c>
      <c r="J680" s="6">
        <v>1</v>
      </c>
      <c r="K680">
        <v>1</v>
      </c>
      <c r="L680" t="b">
        <f>$K$680*$C$680&gt;0</f>
        <v>1</v>
      </c>
      <c r="N680" s="3"/>
    </row>
    <row r="681" spans="1:14" x14ac:dyDescent="0.45">
      <c r="A681" s="3">
        <v>43353</v>
      </c>
      <c r="B681">
        <v>13.68</v>
      </c>
      <c r="C681">
        <v>4.0366972477063889E-3</v>
      </c>
      <c r="D681">
        <v>5269.63</v>
      </c>
      <c r="E681">
        <v>3.3147887940718768E-3</v>
      </c>
      <c r="F681">
        <v>173.9365</v>
      </c>
      <c r="G681">
        <f t="shared" si="20"/>
        <v>9.6874434060700843E-4</v>
      </c>
      <c r="H681">
        <v>4.2454600000000004E-3</v>
      </c>
      <c r="I681">
        <f t="shared" si="21"/>
        <v>7.7929999999999493E-5</v>
      </c>
      <c r="J681" s="6">
        <v>1</v>
      </c>
      <c r="K681">
        <v>1</v>
      </c>
      <c r="L681" t="b">
        <f>$K$681*$C$681&gt;0</f>
        <v>1</v>
      </c>
      <c r="N681" s="3"/>
    </row>
    <row r="682" spans="1:14" x14ac:dyDescent="0.45">
      <c r="A682" s="3">
        <v>43354</v>
      </c>
      <c r="B682">
        <v>13.69</v>
      </c>
      <c r="C682">
        <v>7.309941520468044E-4</v>
      </c>
      <c r="D682">
        <v>5283.79</v>
      </c>
      <c r="E682">
        <v>2.6870956784441624E-3</v>
      </c>
      <c r="F682">
        <v>173.55799999999999</v>
      </c>
      <c r="G682">
        <f t="shared" si="20"/>
        <v>2.1808271586443162E-3</v>
      </c>
      <c r="H682">
        <v>4.1994399999999996E-3</v>
      </c>
      <c r="I682">
        <f t="shared" si="21"/>
        <v>4.6020000000000783E-5</v>
      </c>
      <c r="J682" s="6">
        <v>1</v>
      </c>
      <c r="K682">
        <v>1</v>
      </c>
      <c r="L682" t="b">
        <f>$K$682*$C$682&gt;0</f>
        <v>1</v>
      </c>
      <c r="N682" s="3"/>
    </row>
    <row r="683" spans="1:14" x14ac:dyDescent="0.45">
      <c r="A683" s="3">
        <v>43355</v>
      </c>
      <c r="B683">
        <v>13.69</v>
      </c>
      <c r="C683">
        <v>0</v>
      </c>
      <c r="D683">
        <v>5332.13</v>
      </c>
      <c r="E683">
        <v>9.1487360398501139E-3</v>
      </c>
      <c r="F683">
        <v>173.97149999999999</v>
      </c>
      <c r="G683">
        <f t="shared" si="20"/>
        <v>-2.3768260893307636E-3</v>
      </c>
      <c r="H683">
        <v>4.1955200000000003E-3</v>
      </c>
      <c r="I683">
        <f t="shared" si="21"/>
        <v>3.9199999999992713E-6</v>
      </c>
      <c r="J683" s="6">
        <v>1</v>
      </c>
      <c r="K683">
        <v>1</v>
      </c>
      <c r="L683" t="b">
        <f>$K$683*$C$683&gt;0</f>
        <v>0</v>
      </c>
      <c r="N683" s="3"/>
    </row>
    <row r="684" spans="1:14" x14ac:dyDescent="0.45">
      <c r="A684" s="3">
        <v>43356</v>
      </c>
      <c r="B684">
        <v>13.605</v>
      </c>
      <c r="C684">
        <v>-6.2089116143169143E-3</v>
      </c>
      <c r="D684">
        <v>5328.12</v>
      </c>
      <c r="E684">
        <v>-7.5204468008094327E-4</v>
      </c>
      <c r="F684">
        <v>173.86199999999999</v>
      </c>
      <c r="G684">
        <f t="shared" si="20"/>
        <v>6.2980984919080996E-4</v>
      </c>
      <c r="H684">
        <v>4.1094599999999997E-3</v>
      </c>
      <c r="I684">
        <f t="shared" si="21"/>
        <v>8.606000000000065E-5</v>
      </c>
      <c r="J684" s="6">
        <v>1</v>
      </c>
      <c r="K684">
        <v>1</v>
      </c>
      <c r="L684" t="b">
        <f>$K$684*$C$684&gt;0</f>
        <v>0</v>
      </c>
      <c r="N684" s="3"/>
    </row>
    <row r="685" spans="1:14" x14ac:dyDescent="0.45">
      <c r="A685" s="3">
        <v>43357</v>
      </c>
      <c r="B685">
        <v>13.64</v>
      </c>
      <c r="C685">
        <v>2.5725836089673937E-3</v>
      </c>
      <c r="D685">
        <v>5352.57</v>
      </c>
      <c r="E685">
        <v>4.588860611247414E-3</v>
      </c>
      <c r="F685">
        <v>173.58099999999999</v>
      </c>
      <c r="G685">
        <f t="shared" si="20"/>
        <v>1.6188407717434572E-3</v>
      </c>
      <c r="H685">
        <v>4.0588500000000001E-3</v>
      </c>
      <c r="I685">
        <f t="shared" si="21"/>
        <v>5.0609999999999544E-5</v>
      </c>
      <c r="J685" s="6">
        <v>1</v>
      </c>
      <c r="K685">
        <v>1</v>
      </c>
      <c r="L685" t="b">
        <f>$K$685*$C$685&gt;0</f>
        <v>1</v>
      </c>
      <c r="N685" s="3"/>
    </row>
    <row r="686" spans="1:14" x14ac:dyDescent="0.45">
      <c r="A686" s="3">
        <v>43360</v>
      </c>
      <c r="B686">
        <v>13.57</v>
      </c>
      <c r="C686">
        <v>-5.1319648093841597E-3</v>
      </c>
      <c r="D686">
        <v>5348.87</v>
      </c>
      <c r="E686">
        <v>-6.9125672340575317E-4</v>
      </c>
      <c r="F686">
        <v>173.49100000000001</v>
      </c>
      <c r="G686">
        <f t="shared" si="20"/>
        <v>5.1875889815589105E-4</v>
      </c>
      <c r="H686">
        <v>3.9781299999999999E-3</v>
      </c>
      <c r="I686">
        <f t="shared" si="21"/>
        <v>8.0720000000000271E-5</v>
      </c>
      <c r="J686" s="6">
        <v>1</v>
      </c>
      <c r="K686">
        <v>1</v>
      </c>
      <c r="L686" t="b">
        <f>$K$686*$C$686&gt;0</f>
        <v>0</v>
      </c>
      <c r="N686" s="3"/>
    </row>
    <row r="687" spans="1:14" x14ac:dyDescent="0.45">
      <c r="A687" s="3">
        <v>43361</v>
      </c>
      <c r="B687">
        <v>13.67</v>
      </c>
      <c r="C687">
        <v>7.3691967575533202E-3</v>
      </c>
      <c r="D687">
        <v>5363.79</v>
      </c>
      <c r="E687">
        <v>2.7893742042712777E-3</v>
      </c>
      <c r="F687">
        <v>173.35749999999999</v>
      </c>
      <c r="G687">
        <f t="shared" si="20"/>
        <v>7.7008494008068418E-4</v>
      </c>
      <c r="H687">
        <v>3.9504299999999996E-3</v>
      </c>
      <c r="I687">
        <f t="shared" si="21"/>
        <v>2.7700000000000294E-5</v>
      </c>
      <c r="J687" s="6">
        <v>1</v>
      </c>
      <c r="K687">
        <v>1</v>
      </c>
      <c r="L687" t="b">
        <f>$K$687*$C$687&gt;0</f>
        <v>1</v>
      </c>
      <c r="N687" s="3"/>
    </row>
    <row r="688" spans="1:14" x14ac:dyDescent="0.45">
      <c r="A688" s="3">
        <v>43362</v>
      </c>
      <c r="B688">
        <v>13.585000000000001</v>
      </c>
      <c r="C688">
        <v>-6.2179956108265877E-3</v>
      </c>
      <c r="D688">
        <v>5393.74</v>
      </c>
      <c r="E688">
        <v>5.583738364104418E-3</v>
      </c>
      <c r="F688">
        <v>173.42850000000001</v>
      </c>
      <c r="G688">
        <f t="shared" si="20"/>
        <v>-4.0939061342293304E-4</v>
      </c>
      <c r="H688">
        <v>3.8835599999999999E-3</v>
      </c>
      <c r="I688">
        <f t="shared" si="21"/>
        <v>6.686999999999969E-5</v>
      </c>
      <c r="J688" s="6">
        <v>1</v>
      </c>
      <c r="K688">
        <v>1</v>
      </c>
      <c r="L688" t="b">
        <f>$K$688*$C$688&gt;0</f>
        <v>0</v>
      </c>
      <c r="N688" s="3"/>
    </row>
    <row r="689" spans="1:14" x14ac:dyDescent="0.45">
      <c r="A689" s="3">
        <v>43363</v>
      </c>
      <c r="B689">
        <v>13.635</v>
      </c>
      <c r="C689">
        <v>3.6805299963194038E-3</v>
      </c>
      <c r="D689">
        <v>5451.59</v>
      </c>
      <c r="E689">
        <v>1.0725396478139526E-2</v>
      </c>
      <c r="F689">
        <v>173.90549999999999</v>
      </c>
      <c r="G689">
        <f t="shared" si="20"/>
        <v>-2.7428689719415367E-3</v>
      </c>
      <c r="H689">
        <v>4.33549E-3</v>
      </c>
      <c r="I689">
        <f t="shared" si="21"/>
        <v>-4.5193000000000013E-4</v>
      </c>
      <c r="J689" s="6">
        <v>1</v>
      </c>
      <c r="K689">
        <v>1</v>
      </c>
      <c r="L689" t="b">
        <f>$K$689*$C$689&gt;0</f>
        <v>1</v>
      </c>
      <c r="N689" s="3"/>
    </row>
    <row r="690" spans="1:14" x14ac:dyDescent="0.45">
      <c r="A690" s="3">
        <v>43364</v>
      </c>
      <c r="B690">
        <v>13.765000000000001</v>
      </c>
      <c r="C690">
        <v>9.534286762009625E-3</v>
      </c>
      <c r="D690">
        <v>5494.17</v>
      </c>
      <c r="E690">
        <v>7.8105653579965129E-3</v>
      </c>
      <c r="F690">
        <v>174.08150000000001</v>
      </c>
      <c r="G690">
        <f t="shared" si="20"/>
        <v>-1.0110207000745275E-3</v>
      </c>
      <c r="H690">
        <v>4.2909899999999997E-3</v>
      </c>
      <c r="I690">
        <f t="shared" si="21"/>
        <v>4.4500000000000269E-5</v>
      </c>
      <c r="J690" s="6">
        <v>1</v>
      </c>
      <c r="K690">
        <v>1</v>
      </c>
      <c r="L690" t="b">
        <f>$K$690*$C$690&gt;0</f>
        <v>1</v>
      </c>
      <c r="N690" s="3"/>
    </row>
    <row r="691" spans="1:14" x14ac:dyDescent="0.45">
      <c r="A691" s="3">
        <v>43367</v>
      </c>
      <c r="B691">
        <v>13.7</v>
      </c>
      <c r="C691">
        <v>-4.7221213221940728E-3</v>
      </c>
      <c r="D691">
        <v>5476.17</v>
      </c>
      <c r="E691">
        <v>-3.2762000447746908E-3</v>
      </c>
      <c r="F691">
        <v>173.3655</v>
      </c>
      <c r="G691">
        <f t="shared" si="20"/>
        <v>4.130002797557708E-3</v>
      </c>
      <c r="H691">
        <v>4.3454100000000001E-3</v>
      </c>
      <c r="I691">
        <f t="shared" si="21"/>
        <v>-5.4420000000000336E-5</v>
      </c>
      <c r="J691" s="6">
        <v>1</v>
      </c>
      <c r="K691">
        <v>1</v>
      </c>
      <c r="L691" t="b">
        <f>$K$691*$C$691&gt;0</f>
        <v>0</v>
      </c>
      <c r="N691" s="3"/>
    </row>
    <row r="692" spans="1:14" x14ac:dyDescent="0.45">
      <c r="A692" s="3">
        <v>43368</v>
      </c>
      <c r="B692">
        <v>13.685</v>
      </c>
      <c r="C692">
        <v>-1.0948905109487983E-3</v>
      </c>
      <c r="D692">
        <v>5479.1</v>
      </c>
      <c r="E692">
        <v>5.3504547886573661E-4</v>
      </c>
      <c r="F692">
        <v>172.78</v>
      </c>
      <c r="G692">
        <f t="shared" si="20"/>
        <v>3.3887023961105545E-3</v>
      </c>
      <c r="H692">
        <v>4.3690500000000002E-3</v>
      </c>
      <c r="I692">
        <f t="shared" si="21"/>
        <v>-2.3640000000000119E-5</v>
      </c>
      <c r="J692" s="6">
        <v>1</v>
      </c>
      <c r="K692">
        <v>1</v>
      </c>
      <c r="L692" t="b">
        <f>$K$692*$C$692&gt;0</f>
        <v>0</v>
      </c>
      <c r="N692" s="3"/>
    </row>
    <row r="693" spans="1:14" x14ac:dyDescent="0.45">
      <c r="A693" s="3">
        <v>43369</v>
      </c>
      <c r="B693">
        <v>13.76</v>
      </c>
      <c r="C693">
        <v>5.4804530507854832E-3</v>
      </c>
      <c r="D693">
        <v>5512.73</v>
      </c>
      <c r="E693">
        <v>6.1378693581060073E-3</v>
      </c>
      <c r="F693">
        <v>173.0205</v>
      </c>
      <c r="G693">
        <f t="shared" si="20"/>
        <v>-1.3900086983912319E-3</v>
      </c>
      <c r="H693">
        <v>4.4448600000000001E-3</v>
      </c>
      <c r="I693">
        <f t="shared" si="21"/>
        <v>-7.580999999999994E-5</v>
      </c>
      <c r="J693" s="6">
        <v>1</v>
      </c>
      <c r="K693">
        <v>1</v>
      </c>
      <c r="L693" t="b">
        <f>$K$693*$C$693&gt;0</f>
        <v>1</v>
      </c>
      <c r="N693" s="3"/>
    </row>
    <row r="694" spans="1:14" x14ac:dyDescent="0.45">
      <c r="A694" s="3">
        <v>43370</v>
      </c>
      <c r="B694">
        <v>13.875</v>
      </c>
      <c r="C694">
        <v>8.3575581395349818E-3</v>
      </c>
      <c r="D694">
        <v>5540.41</v>
      </c>
      <c r="E694">
        <v>5.0211056953632927E-3</v>
      </c>
      <c r="F694">
        <v>172.97300000000001</v>
      </c>
      <c r="G694">
        <f t="shared" si="20"/>
        <v>2.7460933209222382E-4</v>
      </c>
      <c r="H694">
        <v>4.4579399999999996E-3</v>
      </c>
      <c r="I694">
        <f t="shared" si="21"/>
        <v>-1.3079999999999516E-5</v>
      </c>
      <c r="J694" s="6">
        <v>1</v>
      </c>
      <c r="K694">
        <v>1</v>
      </c>
      <c r="L694" t="b">
        <f>$K$694*$C$694&gt;0</f>
        <v>1</v>
      </c>
      <c r="N694" s="3"/>
    </row>
    <row r="695" spans="1:14" x14ac:dyDescent="0.45">
      <c r="A695" s="3">
        <v>43371</v>
      </c>
      <c r="B695">
        <v>13.734999999999999</v>
      </c>
      <c r="C695">
        <v>-1.0090090090090098E-2</v>
      </c>
      <c r="D695">
        <v>5493.49</v>
      </c>
      <c r="E695">
        <v>-8.4686873354138381E-3</v>
      </c>
      <c r="F695">
        <v>173.8</v>
      </c>
      <c r="G695">
        <f t="shared" si="20"/>
        <v>-4.7583429228998941E-3</v>
      </c>
      <c r="H695">
        <v>4.4552699999999999E-3</v>
      </c>
      <c r="I695">
        <f t="shared" si="21"/>
        <v>2.6699999999997559E-6</v>
      </c>
      <c r="J695" s="6">
        <v>1</v>
      </c>
      <c r="K695">
        <v>1</v>
      </c>
      <c r="L695" t="b">
        <f>$K$695*$C$695&gt;0</f>
        <v>0</v>
      </c>
      <c r="N695" s="3"/>
    </row>
    <row r="696" spans="1:14" x14ac:dyDescent="0.45">
      <c r="A696" s="3">
        <v>43374</v>
      </c>
      <c r="B696">
        <v>13.62</v>
      </c>
      <c r="C696">
        <v>-8.3727702948671601E-3</v>
      </c>
      <c r="D696">
        <v>5506.82</v>
      </c>
      <c r="E696">
        <v>2.4265084672949744E-3</v>
      </c>
      <c r="F696">
        <v>173.7355</v>
      </c>
      <c r="G696">
        <f t="shared" si="20"/>
        <v>3.7125400393134278E-4</v>
      </c>
      <c r="H696">
        <v>4.2926600000000002E-3</v>
      </c>
      <c r="I696">
        <f t="shared" si="21"/>
        <v>1.6260999999999966E-4</v>
      </c>
      <c r="J696" s="6">
        <v>1</v>
      </c>
      <c r="K696">
        <v>1</v>
      </c>
      <c r="L696" t="b">
        <f>$K$696*$C$696&gt;0</f>
        <v>0</v>
      </c>
      <c r="N696" s="3"/>
    </row>
    <row r="697" spans="1:14" x14ac:dyDescent="0.45">
      <c r="A697" s="3">
        <v>43375</v>
      </c>
      <c r="B697">
        <v>13.61</v>
      </c>
      <c r="C697">
        <v>-7.3421439060206151E-4</v>
      </c>
      <c r="D697">
        <v>5467.89</v>
      </c>
      <c r="E697">
        <v>-7.069415742660845E-3</v>
      </c>
      <c r="F697">
        <v>174.6935</v>
      </c>
      <c r="G697">
        <f t="shared" si="20"/>
        <v>-5.4838903565387342E-3</v>
      </c>
      <c r="H697">
        <v>4.3466700000000004E-3</v>
      </c>
      <c r="I697">
        <f t="shared" si="21"/>
        <v>-5.4010000000000169E-5</v>
      </c>
      <c r="J697" s="6">
        <v>1</v>
      </c>
      <c r="K697">
        <v>1</v>
      </c>
      <c r="L697" t="b">
        <f>$K$697*$C$697&gt;0</f>
        <v>0</v>
      </c>
      <c r="N697" s="3"/>
    </row>
    <row r="698" spans="1:14" x14ac:dyDescent="0.45">
      <c r="A698" s="3">
        <v>43376</v>
      </c>
      <c r="B698">
        <v>13.75</v>
      </c>
      <c r="C698">
        <v>1.0286554004408588E-2</v>
      </c>
      <c r="D698">
        <v>5491.4</v>
      </c>
      <c r="E698">
        <v>4.299647578864807E-3</v>
      </c>
      <c r="F698">
        <v>173.8725</v>
      </c>
      <c r="G698">
        <f t="shared" si="20"/>
        <v>4.7218507814634769E-3</v>
      </c>
      <c r="H698">
        <v>4.2000900000000001E-3</v>
      </c>
      <c r="I698">
        <f t="shared" si="21"/>
        <v>1.4658000000000032E-4</v>
      </c>
      <c r="J698" s="6">
        <v>1</v>
      </c>
      <c r="K698">
        <v>1</v>
      </c>
      <c r="L698" t="b">
        <f>$K$698*$C$698&gt;0</f>
        <v>1</v>
      </c>
      <c r="N698" s="3"/>
    </row>
    <row r="699" spans="1:14" x14ac:dyDescent="0.45">
      <c r="A699" s="3">
        <v>43377</v>
      </c>
      <c r="B699">
        <v>13.73</v>
      </c>
      <c r="C699">
        <v>-1.4545454545453751E-3</v>
      </c>
      <c r="D699">
        <v>5410.85</v>
      </c>
      <c r="E699">
        <v>-1.4668390574352541E-2</v>
      </c>
      <c r="F699">
        <v>173.01499999999999</v>
      </c>
      <c r="G699">
        <f t="shared" si="20"/>
        <v>4.9562176689883497E-3</v>
      </c>
      <c r="H699">
        <v>4.1933200000000004E-3</v>
      </c>
      <c r="I699">
        <f t="shared" si="21"/>
        <v>6.7699999999996929E-6</v>
      </c>
      <c r="J699" s="6">
        <v>1</v>
      </c>
      <c r="K699">
        <v>1</v>
      </c>
      <c r="L699" t="b">
        <f>$K$699*$C$699&gt;0</f>
        <v>0</v>
      </c>
      <c r="N699" s="3"/>
    </row>
    <row r="700" spans="1:14" x14ac:dyDescent="0.45">
      <c r="A700" s="3">
        <v>43378</v>
      </c>
      <c r="B700">
        <v>13.654999999999999</v>
      </c>
      <c r="C700">
        <v>-5.462490895848604E-3</v>
      </c>
      <c r="D700">
        <v>5359.36</v>
      </c>
      <c r="E700">
        <v>-9.5160649435857003E-3</v>
      </c>
      <c r="F700">
        <v>172.19300000000001</v>
      </c>
      <c r="G700">
        <f t="shared" si="20"/>
        <v>4.7737132171457031E-3</v>
      </c>
      <c r="H700">
        <v>4.2218500000000001E-3</v>
      </c>
      <c r="I700">
        <f t="shared" si="21"/>
        <v>-2.8529999999999701E-5</v>
      </c>
      <c r="J700" s="6">
        <v>1</v>
      </c>
      <c r="K700">
        <v>1</v>
      </c>
      <c r="L700" t="b">
        <f>$K$700*$C$700&gt;0</f>
        <v>0</v>
      </c>
      <c r="N700" s="3"/>
    </row>
    <row r="701" spans="1:14" x14ac:dyDescent="0.45">
      <c r="A701" s="3">
        <v>43381</v>
      </c>
      <c r="B701">
        <v>13.605</v>
      </c>
      <c r="C701">
        <v>-3.6616623947270943E-3</v>
      </c>
      <c r="D701">
        <v>5300.25</v>
      </c>
      <c r="E701">
        <v>-1.1029302006209663E-2</v>
      </c>
      <c r="F701">
        <v>172.85499999999999</v>
      </c>
      <c r="G701">
        <f t="shared" si="20"/>
        <v>-3.8297995429693588E-3</v>
      </c>
      <c r="H701">
        <v>4.2886399999999998E-3</v>
      </c>
      <c r="I701">
        <f t="shared" si="21"/>
        <v>-6.6789999999999732E-5</v>
      </c>
      <c r="J701" s="6">
        <v>1</v>
      </c>
      <c r="K701">
        <v>1</v>
      </c>
      <c r="L701" t="b">
        <f>$K$701*$C$701&gt;0</f>
        <v>0</v>
      </c>
      <c r="N701" s="3"/>
    </row>
    <row r="702" spans="1:14" x14ac:dyDescent="0.45">
      <c r="A702" s="3">
        <v>43382</v>
      </c>
      <c r="B702">
        <v>13.595000000000001</v>
      </c>
      <c r="C702">
        <v>-7.350238882763982E-4</v>
      </c>
      <c r="D702">
        <v>5318.55</v>
      </c>
      <c r="E702">
        <v>3.4526673270129926E-3</v>
      </c>
      <c r="F702">
        <v>172.49700000000001</v>
      </c>
      <c r="G702">
        <f t="shared" si="20"/>
        <v>2.0753984127259706E-3</v>
      </c>
      <c r="H702">
        <v>4.3479499999999997E-3</v>
      </c>
      <c r="I702">
        <f t="shared" si="21"/>
        <v>-5.9309999999999918E-5</v>
      </c>
      <c r="J702" s="6">
        <v>1</v>
      </c>
      <c r="K702">
        <v>1</v>
      </c>
      <c r="L702" t="b">
        <f>$K$702*$C$702&gt;0</f>
        <v>0</v>
      </c>
      <c r="N702" s="3"/>
    </row>
    <row r="703" spans="1:14" x14ac:dyDescent="0.45">
      <c r="A703" s="3">
        <v>43383</v>
      </c>
      <c r="B703">
        <v>13.845000000000001</v>
      </c>
      <c r="C703">
        <v>1.8389113644722288E-2</v>
      </c>
      <c r="D703">
        <v>5206.22</v>
      </c>
      <c r="E703">
        <v>-2.112041815908472E-2</v>
      </c>
      <c r="F703">
        <v>172.44749999999999</v>
      </c>
      <c r="G703">
        <f t="shared" si="20"/>
        <v>2.8704388292100091E-4</v>
      </c>
      <c r="H703">
        <v>4.3424500000000003E-3</v>
      </c>
      <c r="I703">
        <f t="shared" si="21"/>
        <v>5.499999999999429E-6</v>
      </c>
      <c r="J703" s="6">
        <v>1</v>
      </c>
      <c r="K703">
        <v>1</v>
      </c>
      <c r="L703" t="b">
        <f>$K$703*$C$703&gt;0</f>
        <v>1</v>
      </c>
      <c r="N703" s="3"/>
    </row>
    <row r="704" spans="1:14" x14ac:dyDescent="0.45">
      <c r="A704" s="3">
        <v>43384</v>
      </c>
      <c r="B704">
        <v>13.7</v>
      </c>
      <c r="C704">
        <v>-1.0473094980137376E-2</v>
      </c>
      <c r="D704">
        <v>5106.37</v>
      </c>
      <c r="E704">
        <v>-1.9178982063762229E-2</v>
      </c>
      <c r="F704">
        <v>172.821</v>
      </c>
      <c r="G704">
        <f t="shared" si="20"/>
        <v>-2.1611956880240868E-3</v>
      </c>
      <c r="H704">
        <v>4.4513E-3</v>
      </c>
      <c r="I704">
        <f t="shared" si="21"/>
        <v>-1.0884999999999975E-4</v>
      </c>
      <c r="J704" s="6">
        <v>1</v>
      </c>
      <c r="K704">
        <v>1</v>
      </c>
      <c r="L704" t="b">
        <f>$K$704*$C$704&gt;0</f>
        <v>0</v>
      </c>
      <c r="N704" s="3"/>
    </row>
    <row r="705" spans="1:14" x14ac:dyDescent="0.45">
      <c r="A705" s="3">
        <v>43385</v>
      </c>
      <c r="B705">
        <v>13.465</v>
      </c>
      <c r="C705">
        <v>-1.7153284671532765E-2</v>
      </c>
      <c r="D705">
        <v>5095.9799999999996</v>
      </c>
      <c r="E705">
        <v>-2.0347135048969234E-3</v>
      </c>
      <c r="F705">
        <v>173.12</v>
      </c>
      <c r="G705">
        <f t="shared" si="20"/>
        <v>-1.7271256931608026E-3</v>
      </c>
      <c r="H705">
        <v>4.4170800000000003E-3</v>
      </c>
      <c r="I705">
        <f t="shared" si="21"/>
        <v>3.4219999999999737E-5</v>
      </c>
      <c r="J705" s="6">
        <v>1</v>
      </c>
      <c r="K705">
        <v>1</v>
      </c>
      <c r="L705" t="b">
        <f>$K$705*$C$705&gt;0</f>
        <v>0</v>
      </c>
      <c r="N705" s="3"/>
    </row>
    <row r="706" spans="1:14" x14ac:dyDescent="0.45">
      <c r="A706" s="3">
        <v>43388</v>
      </c>
      <c r="B706">
        <v>13.635</v>
      </c>
      <c r="C706">
        <v>1.2625324916450076E-2</v>
      </c>
      <c r="D706">
        <v>5095.07</v>
      </c>
      <c r="E706">
        <v>-1.7857212940397549E-4</v>
      </c>
      <c r="F706">
        <v>172.9965</v>
      </c>
      <c r="G706">
        <f t="shared" si="20"/>
        <v>7.1388727517618378E-4</v>
      </c>
      <c r="H706">
        <v>4.4507399999999999E-3</v>
      </c>
      <c r="I706">
        <f t="shared" si="21"/>
        <v>-3.3659999999999593E-5</v>
      </c>
      <c r="J706" s="6">
        <v>1</v>
      </c>
      <c r="K706">
        <v>1</v>
      </c>
      <c r="L706" t="b">
        <f>$K$706*$C$706&gt;0</f>
        <v>1</v>
      </c>
      <c r="N706" s="3"/>
    </row>
    <row r="707" spans="1:14" x14ac:dyDescent="0.45">
      <c r="A707" s="3">
        <v>43389</v>
      </c>
      <c r="B707">
        <v>13.7</v>
      </c>
      <c r="C707">
        <v>4.7671433810048125E-3</v>
      </c>
      <c r="D707">
        <v>5173.05</v>
      </c>
      <c r="E707">
        <v>1.5304990902970994E-2</v>
      </c>
      <c r="F707">
        <v>173.17699999999999</v>
      </c>
      <c r="G707">
        <f t="shared" si="20"/>
        <v>-1.0422862158369073E-3</v>
      </c>
      <c r="H707">
        <v>4.4218900000000004E-3</v>
      </c>
      <c r="I707">
        <f t="shared" si="21"/>
        <v>2.8849999999999536E-5</v>
      </c>
      <c r="J707" s="6">
        <v>1</v>
      </c>
      <c r="K707">
        <v>1</v>
      </c>
      <c r="L707" t="b">
        <f>$K$707*$C$707&gt;0</f>
        <v>1</v>
      </c>
      <c r="N707" s="3"/>
    </row>
    <row r="708" spans="1:14" x14ac:dyDescent="0.45">
      <c r="A708" s="3">
        <v>43390</v>
      </c>
      <c r="B708">
        <v>13.795</v>
      </c>
      <c r="C708">
        <v>6.9343065693430184E-3</v>
      </c>
      <c r="D708">
        <v>5144.95</v>
      </c>
      <c r="E708">
        <v>-5.431998530847415E-3</v>
      </c>
      <c r="F708">
        <v>173.58250000000001</v>
      </c>
      <c r="G708">
        <f t="shared" ref="G708:G735" si="22">F707/F708-1</f>
        <v>-2.3360649835093561E-3</v>
      </c>
      <c r="H708">
        <v>4.4454999999999998E-3</v>
      </c>
      <c r="I708">
        <f t="shared" ref="I708:I735" si="23">H707-H708</f>
        <v>-2.360999999999943E-5</v>
      </c>
      <c r="J708" s="6">
        <v>1</v>
      </c>
      <c r="K708">
        <v>1</v>
      </c>
      <c r="L708" t="b">
        <f>$K$708*$C$708&gt;0</f>
        <v>1</v>
      </c>
      <c r="N708" s="3"/>
    </row>
    <row r="709" spans="1:14" x14ac:dyDescent="0.45">
      <c r="A709" s="3">
        <v>43391</v>
      </c>
      <c r="B709">
        <v>13.95</v>
      </c>
      <c r="C709">
        <v>1.1235955056179803E-2</v>
      </c>
      <c r="D709">
        <v>5116.79</v>
      </c>
      <c r="E709">
        <v>-5.4733282150457585E-3</v>
      </c>
      <c r="F709">
        <v>174.23150000000001</v>
      </c>
      <c r="G709">
        <f t="shared" si="22"/>
        <v>-3.7249291890387726E-3</v>
      </c>
      <c r="H709">
        <v>4.4902800000000001E-3</v>
      </c>
      <c r="I709">
        <f t="shared" si="23"/>
        <v>-4.478000000000034E-5</v>
      </c>
      <c r="J709" s="6">
        <v>1</v>
      </c>
      <c r="K709">
        <v>1</v>
      </c>
      <c r="L709" t="b">
        <f>$K$709*$C$709&gt;0</f>
        <v>1</v>
      </c>
      <c r="N709" s="3"/>
    </row>
    <row r="710" spans="1:14" x14ac:dyDescent="0.45">
      <c r="A710" s="3">
        <v>43392</v>
      </c>
      <c r="B710">
        <v>14.05</v>
      </c>
      <c r="C710">
        <v>7.1684587813620748E-3</v>
      </c>
      <c r="D710">
        <v>5084.66</v>
      </c>
      <c r="E710">
        <v>-6.2793274689796341E-3</v>
      </c>
      <c r="F710">
        <v>173.48500000000001</v>
      </c>
      <c r="G710">
        <f t="shared" si="22"/>
        <v>4.3029656742656908E-3</v>
      </c>
      <c r="H710">
        <v>4.5258800000000004E-3</v>
      </c>
      <c r="I710">
        <f t="shared" si="23"/>
        <v>-3.5600000000000215E-5</v>
      </c>
      <c r="J710" s="6">
        <v>1</v>
      </c>
      <c r="K710">
        <v>1</v>
      </c>
      <c r="L710" t="b">
        <f>$K$710*$C$710&gt;0</f>
        <v>1</v>
      </c>
      <c r="N710" s="3"/>
    </row>
    <row r="711" spans="1:14" x14ac:dyDescent="0.45">
      <c r="A711" s="3">
        <v>43395</v>
      </c>
      <c r="B711">
        <v>13.885</v>
      </c>
      <c r="C711">
        <v>-1.1743772241992967E-2</v>
      </c>
      <c r="D711">
        <v>5053.3100000000004</v>
      </c>
      <c r="E711">
        <v>-6.1656039931872186E-3</v>
      </c>
      <c r="F711">
        <v>173.745</v>
      </c>
      <c r="G711">
        <f t="shared" si="22"/>
        <v>-1.4964459408903785E-3</v>
      </c>
      <c r="H711">
        <v>4.4062099999999998E-3</v>
      </c>
      <c r="I711">
        <f t="shared" si="23"/>
        <v>1.1967000000000054E-4</v>
      </c>
      <c r="J711" s="6">
        <v>1</v>
      </c>
      <c r="K711">
        <v>1</v>
      </c>
      <c r="L711" t="b">
        <f>$K$711*$C$711&gt;0</f>
        <v>0</v>
      </c>
      <c r="N711" s="3"/>
    </row>
    <row r="712" spans="1:14" x14ac:dyDescent="0.45">
      <c r="A712" s="3">
        <v>43396</v>
      </c>
      <c r="B712">
        <v>13.705</v>
      </c>
      <c r="C712">
        <v>-1.2963629816348576E-2</v>
      </c>
      <c r="D712">
        <v>4967.6899999999996</v>
      </c>
      <c r="E712">
        <v>-1.694335000227587E-2</v>
      </c>
      <c r="F712">
        <v>174.30199999999999</v>
      </c>
      <c r="G712">
        <f t="shared" si="22"/>
        <v>-3.1956030338148311E-3</v>
      </c>
      <c r="H712">
        <v>4.4599799999999997E-3</v>
      </c>
      <c r="I712">
        <f t="shared" si="23"/>
        <v>-5.376999999999986E-5</v>
      </c>
      <c r="J712" s="6">
        <v>1</v>
      </c>
      <c r="K712">
        <v>1</v>
      </c>
      <c r="L712" t="b">
        <f>$K$712*$C$712&gt;0</f>
        <v>0</v>
      </c>
      <c r="N712" s="3"/>
    </row>
    <row r="713" spans="1:14" x14ac:dyDescent="0.45">
      <c r="A713" s="3">
        <v>43397</v>
      </c>
      <c r="B713">
        <v>13.805</v>
      </c>
      <c r="C713">
        <v>7.2966070777087388E-3</v>
      </c>
      <c r="D713">
        <v>4953.09</v>
      </c>
      <c r="E713">
        <v>-2.9389917647839603E-3</v>
      </c>
      <c r="F713">
        <v>174.34299999999999</v>
      </c>
      <c r="G713">
        <f t="shared" si="22"/>
        <v>-2.351686044177459E-4</v>
      </c>
      <c r="H713">
        <v>4.3634800000000003E-3</v>
      </c>
      <c r="I713">
        <f t="shared" si="23"/>
        <v>9.6499999999999364E-5</v>
      </c>
      <c r="J713" s="6">
        <v>1</v>
      </c>
      <c r="K713">
        <v>1</v>
      </c>
      <c r="L713" t="b">
        <f>$K$713*$C$713&gt;0</f>
        <v>1</v>
      </c>
      <c r="N713" s="3"/>
    </row>
    <row r="714" spans="1:14" x14ac:dyDescent="0.45">
      <c r="A714" s="3">
        <v>43398</v>
      </c>
      <c r="B714">
        <v>13.85</v>
      </c>
      <c r="C714">
        <v>3.2596885186526592E-3</v>
      </c>
      <c r="D714">
        <v>5032.3</v>
      </c>
      <c r="E714">
        <v>1.5992037293891315E-2</v>
      </c>
      <c r="F714">
        <v>174.26949999999999</v>
      </c>
      <c r="G714">
        <f t="shared" si="22"/>
        <v>4.2176054903464433E-4</v>
      </c>
      <c r="H714">
        <v>4.3120700000000003E-3</v>
      </c>
      <c r="I714">
        <f t="shared" si="23"/>
        <v>5.1409999999999997E-5</v>
      </c>
      <c r="J714" s="6">
        <v>1</v>
      </c>
      <c r="K714">
        <v>1</v>
      </c>
      <c r="L714" t="b">
        <f>$K$714*$C$714&gt;0</f>
        <v>1</v>
      </c>
      <c r="N714" s="3"/>
    </row>
    <row r="715" spans="1:14" x14ac:dyDescent="0.45">
      <c r="A715" s="3">
        <v>43402</v>
      </c>
      <c r="B715">
        <v>13.71</v>
      </c>
      <c r="C715">
        <v>-1.0108303249097395E-2</v>
      </c>
      <c r="D715">
        <v>4989.3500000000004</v>
      </c>
      <c r="E715">
        <v>-8.5348647735628003E-3</v>
      </c>
      <c r="F715">
        <v>173.745499999999</v>
      </c>
      <c r="G715">
        <f t="shared" si="22"/>
        <v>3.0159054479166336E-3</v>
      </c>
      <c r="H715">
        <v>4.2148999999999997E-3</v>
      </c>
      <c r="I715">
        <f t="shared" si="23"/>
        <v>9.7170000000000589E-5</v>
      </c>
      <c r="J715" s="6">
        <v>1</v>
      </c>
      <c r="K715">
        <v>1</v>
      </c>
      <c r="L715" t="b">
        <f>$K$715*$C$715&gt;0</f>
        <v>0</v>
      </c>
      <c r="N715" s="3"/>
    </row>
    <row r="716" spans="1:14" x14ac:dyDescent="0.45">
      <c r="A716" s="3">
        <v>43403</v>
      </c>
      <c r="B716">
        <v>13.7</v>
      </c>
      <c r="C716">
        <v>-7.2939460248000465E-4</v>
      </c>
      <c r="D716">
        <v>4978.53</v>
      </c>
      <c r="E716">
        <v>-2.1686191588083936E-3</v>
      </c>
      <c r="F716">
        <v>173.84299999999999</v>
      </c>
      <c r="G716">
        <f t="shared" si="22"/>
        <v>-5.6085088269874905E-4</v>
      </c>
      <c r="H716">
        <v>4.1454500000000002E-3</v>
      </c>
      <c r="I716">
        <f t="shared" si="23"/>
        <v>6.9449999999999547E-5</v>
      </c>
      <c r="J716" s="6">
        <v>1</v>
      </c>
      <c r="K716">
        <v>1</v>
      </c>
      <c r="L716" t="b">
        <f>$K$716*$C$716&gt;0</f>
        <v>0</v>
      </c>
      <c r="N716" s="3"/>
    </row>
    <row r="717" spans="1:14" x14ac:dyDescent="0.45">
      <c r="A717" s="3">
        <v>43404</v>
      </c>
      <c r="B717">
        <v>13.82</v>
      </c>
      <c r="C717">
        <v>8.7591240875912746E-3</v>
      </c>
      <c r="D717">
        <v>5093.4399999999996</v>
      </c>
      <c r="E717">
        <v>2.3081110287574758E-2</v>
      </c>
      <c r="F717">
        <v>173.4615</v>
      </c>
      <c r="G717">
        <f t="shared" si="22"/>
        <v>2.199335299187366E-3</v>
      </c>
      <c r="H717">
        <v>4.0413999999999997E-3</v>
      </c>
      <c r="I717">
        <f t="shared" si="23"/>
        <v>1.040500000000005E-4</v>
      </c>
      <c r="J717" s="6">
        <v>1</v>
      </c>
      <c r="K717">
        <v>1</v>
      </c>
      <c r="L717" t="b">
        <f>$K$717*$C$717&gt;0</f>
        <v>1</v>
      </c>
      <c r="N717" s="3"/>
    </row>
    <row r="718" spans="1:14" x14ac:dyDescent="0.45">
      <c r="A718" s="3">
        <v>43405</v>
      </c>
      <c r="B718">
        <v>14.045</v>
      </c>
      <c r="C718">
        <v>1.6280752532561449E-2</v>
      </c>
      <c r="D718">
        <v>5085.78</v>
      </c>
      <c r="E718">
        <v>-1.5038952063830546E-3</v>
      </c>
      <c r="F718">
        <v>173.23099999999999</v>
      </c>
      <c r="G718">
        <f t="shared" si="22"/>
        <v>1.3305932540943477E-3</v>
      </c>
      <c r="H718">
        <v>3.9715499999999999E-3</v>
      </c>
      <c r="I718">
        <f t="shared" si="23"/>
        <v>6.9849999999999773E-5</v>
      </c>
      <c r="J718" s="6">
        <v>1</v>
      </c>
      <c r="K718">
        <v>1</v>
      </c>
      <c r="L718" t="b">
        <f>$K$718*$C$718&gt;0</f>
        <v>1</v>
      </c>
      <c r="N718" s="3"/>
    </row>
    <row r="719" spans="1:14" x14ac:dyDescent="0.45">
      <c r="A719" s="3">
        <v>43409</v>
      </c>
      <c r="B719">
        <v>14.16</v>
      </c>
      <c r="C719">
        <v>8.1879672481310894E-3</v>
      </c>
      <c r="D719">
        <v>5101.3900000000003</v>
      </c>
      <c r="E719">
        <v>3.0693423624301719E-3</v>
      </c>
      <c r="F719">
        <v>172.81649999999999</v>
      </c>
      <c r="G719">
        <f t="shared" si="22"/>
        <v>2.3984978286217817E-3</v>
      </c>
      <c r="H719">
        <v>3.8739999999999998E-3</v>
      </c>
      <c r="I719">
        <f t="shared" si="23"/>
        <v>9.7550000000000067E-5</v>
      </c>
      <c r="J719" s="6">
        <v>1</v>
      </c>
      <c r="K719">
        <v>1</v>
      </c>
      <c r="L719" t="b">
        <f>$K$719*$C$719&gt;0</f>
        <v>1</v>
      </c>
      <c r="N719" s="3"/>
    </row>
    <row r="720" spans="1:14" x14ac:dyDescent="0.45">
      <c r="A720" s="3">
        <v>43410</v>
      </c>
      <c r="B720">
        <v>14.09</v>
      </c>
      <c r="C720">
        <v>-4.9435028248587809E-3</v>
      </c>
      <c r="D720">
        <v>5075.1899999999996</v>
      </c>
      <c r="E720">
        <v>-5.1358551296805111E-3</v>
      </c>
      <c r="F720">
        <v>172.68549999999999</v>
      </c>
      <c r="G720">
        <f t="shared" si="22"/>
        <v>7.5860451514464522E-4</v>
      </c>
      <c r="H720">
        <v>3.91895E-3</v>
      </c>
      <c r="I720">
        <f t="shared" si="23"/>
        <v>-4.4950000000000198E-5</v>
      </c>
      <c r="J720" s="6">
        <v>1</v>
      </c>
      <c r="K720">
        <v>1</v>
      </c>
      <c r="L720" t="b">
        <f>$K$720*$C$720&gt;0</f>
        <v>0</v>
      </c>
      <c r="N720" s="3"/>
    </row>
    <row r="721" spans="1:14" x14ac:dyDescent="0.45">
      <c r="A721" s="3">
        <v>43411</v>
      </c>
      <c r="B721">
        <v>14.494999999999999</v>
      </c>
      <c r="C721">
        <v>2.8743789921930496E-2</v>
      </c>
      <c r="D721">
        <v>5137.9399999999996</v>
      </c>
      <c r="E721">
        <v>1.2364069128446342E-2</v>
      </c>
      <c r="F721">
        <v>172.524</v>
      </c>
      <c r="G721">
        <f t="shared" si="22"/>
        <v>9.3610164382917915E-4</v>
      </c>
      <c r="H721">
        <v>3.8117799999999999E-3</v>
      </c>
      <c r="I721">
        <f t="shared" si="23"/>
        <v>1.0717000000000018E-4</v>
      </c>
      <c r="J721" s="6">
        <v>1</v>
      </c>
      <c r="K721">
        <v>1</v>
      </c>
      <c r="L721" t="b">
        <f>$K$721*$C$721&gt;0</f>
        <v>1</v>
      </c>
      <c r="N721" s="3"/>
    </row>
    <row r="722" spans="1:14" x14ac:dyDescent="0.45">
      <c r="A722" s="3">
        <v>43412</v>
      </c>
      <c r="B722">
        <v>14.63</v>
      </c>
      <c r="C722">
        <v>9.3135563987583048E-3</v>
      </c>
      <c r="D722">
        <v>5131.45</v>
      </c>
      <c r="E722">
        <v>-1.2631521582578964E-3</v>
      </c>
      <c r="F722">
        <v>172.36949999999999</v>
      </c>
      <c r="G722">
        <f t="shared" si="22"/>
        <v>8.963302672457818E-4</v>
      </c>
      <c r="H722">
        <v>3.79379E-3</v>
      </c>
      <c r="I722">
        <f t="shared" si="23"/>
        <v>1.7989999999999846E-5</v>
      </c>
      <c r="J722" s="6">
        <v>1</v>
      </c>
      <c r="K722">
        <v>1</v>
      </c>
      <c r="L722" t="b">
        <f>$K$722*$C$722&gt;0</f>
        <v>1</v>
      </c>
      <c r="N722" s="3"/>
    </row>
    <row r="723" spans="1:14" x14ac:dyDescent="0.45">
      <c r="A723" s="3">
        <v>43413</v>
      </c>
      <c r="B723">
        <v>14.63</v>
      </c>
      <c r="C723">
        <v>0</v>
      </c>
      <c r="D723">
        <v>5106.75</v>
      </c>
      <c r="E723">
        <v>-4.813454286800023E-3</v>
      </c>
      <c r="F723">
        <v>173.1155</v>
      </c>
      <c r="G723">
        <f t="shared" si="22"/>
        <v>-4.30926173566204E-3</v>
      </c>
      <c r="H723">
        <v>3.9603900000000003E-3</v>
      </c>
      <c r="I723">
        <f t="shared" si="23"/>
        <v>-1.6660000000000025E-4</v>
      </c>
      <c r="J723" s="6">
        <v>1</v>
      </c>
      <c r="K723">
        <v>1</v>
      </c>
      <c r="L723" t="b">
        <f>$K$723*$C$723&gt;0</f>
        <v>0</v>
      </c>
      <c r="N723" s="3"/>
    </row>
    <row r="724" spans="1:14" x14ac:dyDescent="0.45">
      <c r="A724" s="3">
        <v>43416</v>
      </c>
      <c r="B724">
        <v>14.51</v>
      </c>
      <c r="C724">
        <v>-8.2023239917977664E-3</v>
      </c>
      <c r="D724">
        <v>5059.09</v>
      </c>
      <c r="E724">
        <v>-9.3327458755568804E-3</v>
      </c>
      <c r="F724">
        <v>173.03899999999999</v>
      </c>
      <c r="G724">
        <f t="shared" si="22"/>
        <v>4.4209686833607265E-4</v>
      </c>
      <c r="H724">
        <v>4.0211099999999996E-3</v>
      </c>
      <c r="I724">
        <f t="shared" si="23"/>
        <v>-6.0719999999999351E-5</v>
      </c>
      <c r="J724" s="6">
        <v>1</v>
      </c>
      <c r="K724">
        <v>1</v>
      </c>
      <c r="L724" t="b">
        <f>$K$724*$C$724&gt;0</f>
        <v>0</v>
      </c>
      <c r="N724" s="3"/>
    </row>
    <row r="725" spans="1:14" x14ac:dyDescent="0.45">
      <c r="A725" s="3">
        <v>43417</v>
      </c>
      <c r="B725">
        <v>14.63</v>
      </c>
      <c r="C725">
        <v>8.2701585113715836E-3</v>
      </c>
      <c r="D725">
        <v>5101.8500000000004</v>
      </c>
      <c r="E725">
        <v>8.4521129294004016E-3</v>
      </c>
      <c r="F725">
        <v>172.756</v>
      </c>
      <c r="G725">
        <f t="shared" si="22"/>
        <v>1.6381486026533221E-3</v>
      </c>
      <c r="H725">
        <v>4.0666599999999997E-3</v>
      </c>
      <c r="I725">
        <f t="shared" si="23"/>
        <v>-4.5550000000000104E-5</v>
      </c>
      <c r="J725" s="6">
        <v>1</v>
      </c>
      <c r="K725">
        <v>1</v>
      </c>
      <c r="L725" t="b">
        <f>$K$725*$C$725&gt;0</f>
        <v>1</v>
      </c>
      <c r="N725" s="3"/>
    </row>
    <row r="726" spans="1:14" x14ac:dyDescent="0.45">
      <c r="A726" s="3">
        <v>43418</v>
      </c>
      <c r="B726">
        <v>14.705</v>
      </c>
      <c r="C726">
        <v>5.1264524948735346E-3</v>
      </c>
      <c r="D726">
        <v>5068.8500000000004</v>
      </c>
      <c r="E726">
        <v>-6.4682419122474855E-3</v>
      </c>
      <c r="F726">
        <v>172.602</v>
      </c>
      <c r="G726">
        <f t="shared" si="22"/>
        <v>8.9222604604821676E-4</v>
      </c>
      <c r="H726">
        <v>4.03025E-3</v>
      </c>
      <c r="I726">
        <f t="shared" si="23"/>
        <v>3.6409999999999741E-5</v>
      </c>
      <c r="J726" s="6">
        <v>1</v>
      </c>
      <c r="K726">
        <v>1</v>
      </c>
      <c r="L726" t="b">
        <f>$K$726*$C$726&gt;0</f>
        <v>1</v>
      </c>
      <c r="N726" s="3"/>
    </row>
    <row r="727" spans="1:14" x14ac:dyDescent="0.45">
      <c r="A727" s="3">
        <v>43420</v>
      </c>
      <c r="B727">
        <v>14.66</v>
      </c>
      <c r="C727">
        <v>-3.0601836110166758E-3</v>
      </c>
      <c r="D727">
        <v>5025.2</v>
      </c>
      <c r="E727">
        <v>-8.6114207364590412E-3</v>
      </c>
      <c r="F727">
        <v>172.2835</v>
      </c>
      <c r="G727">
        <f t="shared" si="22"/>
        <v>1.8486970603686093E-3</v>
      </c>
      <c r="H727">
        <v>4.3457499999999998E-3</v>
      </c>
      <c r="I727">
        <f t="shared" si="23"/>
        <v>-3.1549999999999981E-4</v>
      </c>
      <c r="J727" s="6">
        <v>1</v>
      </c>
      <c r="K727">
        <v>1</v>
      </c>
      <c r="L727" t="b">
        <f>$K$727*$C$727&gt;0</f>
        <v>0</v>
      </c>
      <c r="N727" s="3"/>
    </row>
    <row r="728" spans="1:14" x14ac:dyDescent="0.45">
      <c r="A728" s="3">
        <v>43423</v>
      </c>
      <c r="B728">
        <v>14.67</v>
      </c>
      <c r="C728">
        <v>6.8212824010904782E-4</v>
      </c>
      <c r="D728">
        <v>4985.45</v>
      </c>
      <c r="E728">
        <v>-7.9101329300326206E-3</v>
      </c>
      <c r="F728">
        <v>171.803</v>
      </c>
      <c r="G728">
        <f t="shared" si="22"/>
        <v>2.796807971921389E-3</v>
      </c>
      <c r="H728">
        <v>4.3555900000000003E-3</v>
      </c>
      <c r="I728">
        <f t="shared" si="23"/>
        <v>-9.8400000000005428E-6</v>
      </c>
      <c r="J728" s="6">
        <v>1</v>
      </c>
      <c r="K728">
        <v>1</v>
      </c>
      <c r="L728" t="b">
        <f>$K$728*$C$728&gt;0</f>
        <v>1</v>
      </c>
      <c r="N728" s="3"/>
    </row>
    <row r="729" spans="1:14" x14ac:dyDescent="0.45">
      <c r="A729" s="3">
        <v>43424</v>
      </c>
      <c r="B729">
        <v>14.535</v>
      </c>
      <c r="C729">
        <v>-9.2024539877300082E-3</v>
      </c>
      <c r="D729">
        <v>4924.8900000000003</v>
      </c>
      <c r="E729">
        <v>-1.2147348784964151E-2</v>
      </c>
      <c r="F729">
        <v>171.74850000000001</v>
      </c>
      <c r="G729">
        <f t="shared" si="22"/>
        <v>3.1732445989329783E-4</v>
      </c>
      <c r="H729">
        <v>4.4829199999999996E-3</v>
      </c>
      <c r="I729">
        <f t="shared" si="23"/>
        <v>-1.2732999999999928E-4</v>
      </c>
      <c r="J729" s="6">
        <v>1</v>
      </c>
      <c r="K729">
        <v>1</v>
      </c>
      <c r="L729" t="b">
        <f>$K$729*$C$729&gt;0</f>
        <v>0</v>
      </c>
      <c r="N729" s="3"/>
    </row>
    <row r="730" spans="1:14" x14ac:dyDescent="0.45">
      <c r="A730" s="3">
        <v>43425</v>
      </c>
      <c r="B730">
        <v>14.675000000000001</v>
      </c>
      <c r="C730">
        <v>9.6319229446164556E-3</v>
      </c>
      <c r="D730">
        <v>4975.5</v>
      </c>
      <c r="E730">
        <v>1.0276371655001393E-2</v>
      </c>
      <c r="F730">
        <v>171.23249999999999</v>
      </c>
      <c r="G730">
        <f t="shared" si="22"/>
        <v>3.0134466295828055E-3</v>
      </c>
      <c r="H730">
        <v>4.3760700000000001E-3</v>
      </c>
      <c r="I730">
        <f t="shared" si="23"/>
        <v>1.0684999999999948E-4</v>
      </c>
      <c r="J730" s="6">
        <v>1</v>
      </c>
      <c r="K730">
        <v>1</v>
      </c>
      <c r="L730" t="b">
        <f>$K$730*$C$730&gt;0</f>
        <v>1</v>
      </c>
      <c r="N730" s="3"/>
    </row>
    <row r="731" spans="1:14" x14ac:dyDescent="0.45">
      <c r="A731" s="3">
        <v>43426</v>
      </c>
      <c r="B731">
        <v>14.645</v>
      </c>
      <c r="C731">
        <v>-2.0442930153322658E-3</v>
      </c>
      <c r="D731">
        <v>4938.1400000000003</v>
      </c>
      <c r="E731">
        <v>-7.5087930861219565E-3</v>
      </c>
      <c r="F731">
        <v>171.28100000000001</v>
      </c>
      <c r="G731">
        <f t="shared" si="22"/>
        <v>-2.8316042059550739E-4</v>
      </c>
      <c r="H731">
        <v>4.3575200000000001E-3</v>
      </c>
      <c r="I731">
        <f t="shared" si="23"/>
        <v>1.854999999999999E-5</v>
      </c>
      <c r="J731" s="6">
        <v>1</v>
      </c>
      <c r="K731">
        <v>1</v>
      </c>
      <c r="L731" t="b">
        <f>$K$731*$C$731&gt;0</f>
        <v>0</v>
      </c>
      <c r="N731" s="3"/>
    </row>
    <row r="732" spans="1:14" x14ac:dyDescent="0.45">
      <c r="A732" s="3">
        <v>43427</v>
      </c>
      <c r="B732">
        <v>14.635</v>
      </c>
      <c r="C732">
        <v>-6.8282690337995167E-4</v>
      </c>
      <c r="D732">
        <v>4946.95</v>
      </c>
      <c r="E732">
        <v>1.7840725455331441E-3</v>
      </c>
      <c r="F732">
        <v>171.71950000000001</v>
      </c>
      <c r="G732">
        <f t="shared" si="22"/>
        <v>-2.5535830234773016E-3</v>
      </c>
      <c r="H732">
        <v>4.4025399999999999E-3</v>
      </c>
      <c r="I732">
        <f t="shared" si="23"/>
        <v>-4.5019999999999782E-5</v>
      </c>
      <c r="J732" s="6">
        <v>1</v>
      </c>
      <c r="K732">
        <v>1</v>
      </c>
      <c r="L732" t="b">
        <f>$K$732*$C$732&gt;0</f>
        <v>0</v>
      </c>
      <c r="N732" s="3"/>
    </row>
    <row r="733" spans="1:14" x14ac:dyDescent="0.45">
      <c r="A733" s="3">
        <v>43430</v>
      </c>
      <c r="B733">
        <v>14.89</v>
      </c>
      <c r="C733">
        <v>1.742398360095665E-2</v>
      </c>
      <c r="D733">
        <v>4994.9799999999996</v>
      </c>
      <c r="E733">
        <v>9.7090126239398611E-3</v>
      </c>
      <c r="F733">
        <v>171.35599999999999</v>
      </c>
      <c r="G733">
        <f t="shared" si="22"/>
        <v>2.1213146898855229E-3</v>
      </c>
      <c r="H733">
        <v>4.3083100000000001E-3</v>
      </c>
      <c r="I733">
        <f t="shared" si="23"/>
        <v>9.4229999999999835E-5</v>
      </c>
      <c r="J733" s="6">
        <v>1</v>
      </c>
      <c r="K733">
        <v>1</v>
      </c>
      <c r="L733" t="b">
        <f>$K$733*$C$733&gt;0</f>
        <v>1</v>
      </c>
      <c r="N733" s="3"/>
    </row>
    <row r="734" spans="1:14" x14ac:dyDescent="0.45">
      <c r="A734" s="3">
        <v>43431</v>
      </c>
      <c r="B734">
        <v>15</v>
      </c>
      <c r="C734">
        <v>7.3875083948957698E-3</v>
      </c>
      <c r="D734">
        <v>4983.1499999999996</v>
      </c>
      <c r="E734">
        <v>-2.3683778513627907E-3</v>
      </c>
      <c r="F734">
        <v>171.52699999999999</v>
      </c>
      <c r="G734">
        <f t="shared" si="22"/>
        <v>-9.9692759740444004E-4</v>
      </c>
      <c r="H734">
        <v>4.3900700000000003E-3</v>
      </c>
      <c r="I734">
        <f t="shared" si="23"/>
        <v>-8.1760000000000166E-5</v>
      </c>
      <c r="J734" s="6">
        <v>1</v>
      </c>
      <c r="K734">
        <v>1</v>
      </c>
      <c r="L734" t="b">
        <f>$K$734*$C$734&gt;0</f>
        <v>1</v>
      </c>
      <c r="N734" s="3"/>
    </row>
    <row r="735" spans="1:14" x14ac:dyDescent="0.45">
      <c r="A735" s="3">
        <v>43432</v>
      </c>
      <c r="B735">
        <v>14.955</v>
      </c>
      <c r="C735">
        <v>-3.0000000000000027E-3</v>
      </c>
      <c r="D735">
        <v>4983.24</v>
      </c>
      <c r="E735">
        <v>1.8060865115465674E-5</v>
      </c>
      <c r="F735">
        <v>171.499</v>
      </c>
      <c r="G735">
        <f t="shared" si="22"/>
        <v>1.6326625811213802E-4</v>
      </c>
      <c r="H735">
        <v>4.4848300000000004E-3</v>
      </c>
      <c r="I735">
        <f t="shared" si="23"/>
        <v>-9.4760000000000157E-5</v>
      </c>
      <c r="J735" s="6">
        <v>1</v>
      </c>
      <c r="K735">
        <v>1</v>
      </c>
      <c r="L735" t="b">
        <f>$K$735*$C$735&gt;0</f>
        <v>0</v>
      </c>
      <c r="N735" s="3"/>
    </row>
    <row r="736" spans="1:14" x14ac:dyDescent="0.45">
      <c r="N736" s="3"/>
    </row>
    <row r="737" spans="3:14" x14ac:dyDescent="0.45">
      <c r="N737" s="3"/>
    </row>
    <row r="738" spans="3:14" x14ac:dyDescent="0.45">
      <c r="N738" s="3"/>
    </row>
    <row r="739" spans="3:14" x14ac:dyDescent="0.45">
      <c r="N739" s="3"/>
    </row>
    <row r="740" spans="3:14" x14ac:dyDescent="0.45">
      <c r="N740" s="3"/>
    </row>
    <row r="741" spans="3:14" x14ac:dyDescent="0.45">
      <c r="N741" s="3"/>
    </row>
    <row r="742" spans="3:14" x14ac:dyDescent="0.45">
      <c r="N742" s="3"/>
    </row>
    <row r="743" spans="3:14" x14ac:dyDescent="0.45">
      <c r="N743" s="3"/>
    </row>
    <row r="744" spans="3:14" x14ac:dyDescent="0.45">
      <c r="N744" s="3"/>
    </row>
    <row r="745" spans="3:14" x14ac:dyDescent="0.45">
      <c r="N745" s="3"/>
    </row>
    <row r="746" spans="3:14" x14ac:dyDescent="0.45">
      <c r="N746" s="3"/>
    </row>
    <row r="747" spans="3:14" x14ac:dyDescent="0.45">
      <c r="C747" s="3"/>
      <c r="N747" s="3"/>
    </row>
    <row r="748" spans="3:14" x14ac:dyDescent="0.45">
      <c r="C748" s="3"/>
      <c r="N748" s="3"/>
    </row>
    <row r="749" spans="3:14" x14ac:dyDescent="0.45">
      <c r="C749" s="3"/>
      <c r="N749" s="3"/>
    </row>
    <row r="750" spans="3:14" x14ac:dyDescent="0.45">
      <c r="C750" s="3"/>
      <c r="N750" s="3"/>
    </row>
    <row r="751" spans="3:14" x14ac:dyDescent="0.45">
      <c r="C751" s="3"/>
      <c r="N751" s="3"/>
    </row>
    <row r="752" spans="3:14" x14ac:dyDescent="0.45">
      <c r="C752" s="3"/>
      <c r="N752" s="3"/>
    </row>
    <row r="753" spans="3:14" x14ac:dyDescent="0.45">
      <c r="C753" s="3"/>
      <c r="N753" s="3"/>
    </row>
    <row r="754" spans="3:14" x14ac:dyDescent="0.45">
      <c r="C754" s="3"/>
      <c r="N754" s="3"/>
    </row>
    <row r="755" spans="3:14" x14ac:dyDescent="0.45">
      <c r="C755" s="3"/>
      <c r="N755" s="3"/>
    </row>
    <row r="756" spans="3:14" x14ac:dyDescent="0.45">
      <c r="C756" s="3"/>
      <c r="N756" s="3"/>
    </row>
    <row r="757" spans="3:14" x14ac:dyDescent="0.45">
      <c r="C757" s="3"/>
      <c r="N757" s="3"/>
    </row>
    <row r="758" spans="3:14" x14ac:dyDescent="0.45">
      <c r="C758" s="3"/>
      <c r="N758" s="3"/>
    </row>
    <row r="759" spans="3:14" x14ac:dyDescent="0.45">
      <c r="C759" s="3"/>
      <c r="N759" s="3"/>
    </row>
    <row r="760" spans="3:14" x14ac:dyDescent="0.45">
      <c r="C760" s="3"/>
      <c r="N760" s="3"/>
    </row>
    <row r="761" spans="3:14" x14ac:dyDescent="0.45">
      <c r="C761" s="3"/>
      <c r="N761" s="3"/>
    </row>
    <row r="762" spans="3:14" x14ac:dyDescent="0.45">
      <c r="C762" s="3"/>
      <c r="N762" s="3"/>
    </row>
    <row r="763" spans="3:14" x14ac:dyDescent="0.45">
      <c r="C763" s="3"/>
      <c r="N763" s="3"/>
    </row>
    <row r="764" spans="3:14" x14ac:dyDescent="0.45">
      <c r="C764" s="3"/>
      <c r="N764" s="3"/>
    </row>
    <row r="765" spans="3:14" x14ac:dyDescent="0.45">
      <c r="C765" s="3"/>
      <c r="N765" s="3"/>
    </row>
    <row r="766" spans="3:14" x14ac:dyDescent="0.45">
      <c r="C766" s="3"/>
      <c r="N766" s="3"/>
    </row>
    <row r="767" spans="3:14" x14ac:dyDescent="0.45">
      <c r="C767" s="3"/>
      <c r="N767" s="3"/>
    </row>
    <row r="768" spans="3:14" x14ac:dyDescent="0.45">
      <c r="C768" s="3"/>
      <c r="N768" s="3"/>
    </row>
    <row r="769" spans="3:14" x14ac:dyDescent="0.45">
      <c r="C769" s="3"/>
      <c r="N769" s="3"/>
    </row>
    <row r="770" spans="3:14" x14ac:dyDescent="0.45">
      <c r="C770" s="3"/>
      <c r="N770" s="3"/>
    </row>
    <row r="771" spans="3:14" x14ac:dyDescent="0.45">
      <c r="C771" s="3"/>
      <c r="N771" s="3"/>
    </row>
    <row r="772" spans="3:14" x14ac:dyDescent="0.45">
      <c r="C772" s="3"/>
      <c r="N772" s="3"/>
    </row>
    <row r="773" spans="3:14" x14ac:dyDescent="0.45">
      <c r="C773" s="3"/>
      <c r="N773" s="3"/>
    </row>
    <row r="774" spans="3:14" x14ac:dyDescent="0.45">
      <c r="C774" s="3"/>
      <c r="N774" s="3"/>
    </row>
    <row r="775" spans="3:14" x14ac:dyDescent="0.45">
      <c r="C775" s="3"/>
      <c r="N775" s="3"/>
    </row>
    <row r="776" spans="3:14" x14ac:dyDescent="0.45">
      <c r="C776" s="3"/>
      <c r="N776" s="3"/>
    </row>
    <row r="777" spans="3:14" x14ac:dyDescent="0.45">
      <c r="C777" s="3"/>
      <c r="N777" s="3"/>
    </row>
    <row r="778" spans="3:14" x14ac:dyDescent="0.45">
      <c r="C778" s="3"/>
      <c r="N778" s="3"/>
    </row>
    <row r="779" spans="3:14" x14ac:dyDescent="0.45">
      <c r="C779" s="3"/>
      <c r="N779" s="3"/>
    </row>
    <row r="780" spans="3:14" x14ac:dyDescent="0.45">
      <c r="C780" s="3"/>
      <c r="N780" s="3"/>
    </row>
    <row r="781" spans="3:14" x14ac:dyDescent="0.45">
      <c r="C781" s="3"/>
      <c r="N781" s="3"/>
    </row>
    <row r="782" spans="3:14" x14ac:dyDescent="0.45">
      <c r="C782" s="3"/>
      <c r="N782" s="3"/>
    </row>
    <row r="783" spans="3:14" x14ac:dyDescent="0.45">
      <c r="C783" s="3"/>
      <c r="N783" s="3"/>
    </row>
    <row r="784" spans="3:14" x14ac:dyDescent="0.45">
      <c r="C784" s="3"/>
      <c r="N784" s="3"/>
    </row>
    <row r="785" spans="3:14" x14ac:dyDescent="0.45">
      <c r="C785" s="3"/>
      <c r="N785" s="3"/>
    </row>
    <row r="786" spans="3:14" x14ac:dyDescent="0.45">
      <c r="C786" s="3"/>
      <c r="N786" s="3"/>
    </row>
    <row r="787" spans="3:14" x14ac:dyDescent="0.45">
      <c r="C787" s="3"/>
      <c r="N787" s="3"/>
    </row>
    <row r="788" spans="3:14" x14ac:dyDescent="0.45">
      <c r="C788" s="3"/>
      <c r="N788" s="3"/>
    </row>
    <row r="789" spans="3:14" x14ac:dyDescent="0.45">
      <c r="C789" s="3"/>
      <c r="N789" s="3"/>
    </row>
    <row r="790" spans="3:14" x14ac:dyDescent="0.45">
      <c r="C790" s="3"/>
    </row>
    <row r="791" spans="3:14" x14ac:dyDescent="0.45">
      <c r="C791" s="3"/>
    </row>
    <row r="792" spans="3:14" x14ac:dyDescent="0.45">
      <c r="C792" s="3"/>
    </row>
    <row r="793" spans="3:14" x14ac:dyDescent="0.45">
      <c r="C793" s="3"/>
    </row>
    <row r="794" spans="3:14" x14ac:dyDescent="0.45">
      <c r="C794" s="3"/>
    </row>
    <row r="795" spans="3:14" x14ac:dyDescent="0.45">
      <c r="C795" s="3"/>
    </row>
    <row r="796" spans="3:14" x14ac:dyDescent="0.45">
      <c r="C796" s="3"/>
    </row>
    <row r="797" spans="3:14" x14ac:dyDescent="0.45">
      <c r="C797" s="3"/>
    </row>
    <row r="798" spans="3:14" x14ac:dyDescent="0.45">
      <c r="C798" s="3"/>
    </row>
    <row r="799" spans="3:14" x14ac:dyDescent="0.45">
      <c r="C799" s="3"/>
    </row>
    <row r="800" spans="3:14" x14ac:dyDescent="0.45">
      <c r="C800" s="3"/>
    </row>
    <row r="801" spans="3:3" x14ac:dyDescent="0.45">
      <c r="C801" s="3"/>
    </row>
    <row r="802" spans="3:3" x14ac:dyDescent="0.45">
      <c r="C802" s="3"/>
    </row>
    <row r="803" spans="3:3" x14ac:dyDescent="0.45">
      <c r="C803" s="3"/>
    </row>
    <row r="804" spans="3:3" x14ac:dyDescent="0.45">
      <c r="C804" s="3"/>
    </row>
    <row r="805" spans="3:3" x14ac:dyDescent="0.45">
      <c r="C805" s="3"/>
    </row>
    <row r="806" spans="3:3" x14ac:dyDescent="0.45">
      <c r="C806" s="3"/>
    </row>
    <row r="807" spans="3:3" x14ac:dyDescent="0.45">
      <c r="C807" s="3"/>
    </row>
    <row r="808" spans="3:3" x14ac:dyDescent="0.45">
      <c r="C808" s="3"/>
    </row>
    <row r="809" spans="3:3" x14ac:dyDescent="0.45">
      <c r="C809" s="3"/>
    </row>
    <row r="810" spans="3:3" x14ac:dyDescent="0.45">
      <c r="C810" s="3"/>
    </row>
    <row r="811" spans="3:3" x14ac:dyDescent="0.45">
      <c r="C811" s="3"/>
    </row>
    <row r="812" spans="3:3" x14ac:dyDescent="0.45">
      <c r="C812" s="3"/>
    </row>
    <row r="813" spans="3:3" x14ac:dyDescent="0.45">
      <c r="C813" s="3"/>
    </row>
    <row r="814" spans="3:3" x14ac:dyDescent="0.45">
      <c r="C814" s="3"/>
    </row>
    <row r="815" spans="3:3" x14ac:dyDescent="0.45">
      <c r="C815" s="3"/>
    </row>
    <row r="816" spans="3:3" x14ac:dyDescent="0.45">
      <c r="C816" s="3"/>
    </row>
    <row r="817" spans="3:3" x14ac:dyDescent="0.45">
      <c r="C817" s="3"/>
    </row>
    <row r="818" spans="3:3" x14ac:dyDescent="0.45">
      <c r="C818" s="3"/>
    </row>
    <row r="819" spans="3:3" x14ac:dyDescent="0.45">
      <c r="C819" s="3"/>
    </row>
    <row r="820" spans="3:3" x14ac:dyDescent="0.45">
      <c r="C820" s="3"/>
    </row>
    <row r="821" spans="3:3" x14ac:dyDescent="0.45">
      <c r="C821" s="3"/>
    </row>
    <row r="822" spans="3:3" x14ac:dyDescent="0.45">
      <c r="C822" s="3"/>
    </row>
    <row r="823" spans="3:3" x14ac:dyDescent="0.45">
      <c r="C823" s="3"/>
    </row>
    <row r="824" spans="3:3" x14ac:dyDescent="0.45">
      <c r="C824" s="3"/>
    </row>
    <row r="825" spans="3:3" x14ac:dyDescent="0.45">
      <c r="C825" s="3"/>
    </row>
    <row r="826" spans="3:3" x14ac:dyDescent="0.45">
      <c r="C826" s="3"/>
    </row>
    <row r="827" spans="3:3" x14ac:dyDescent="0.45">
      <c r="C827" s="3"/>
    </row>
    <row r="828" spans="3:3" x14ac:dyDescent="0.45">
      <c r="C828" s="3"/>
    </row>
    <row r="829" spans="3:3" x14ac:dyDescent="0.45">
      <c r="C829" s="3"/>
    </row>
    <row r="830" spans="3:3" x14ac:dyDescent="0.45">
      <c r="C830" s="3"/>
    </row>
    <row r="831" spans="3:3" x14ac:dyDescent="0.45">
      <c r="C831" s="3"/>
    </row>
    <row r="832" spans="3:3" x14ac:dyDescent="0.45">
      <c r="C832" s="3"/>
    </row>
    <row r="833" spans="3:3" x14ac:dyDescent="0.45">
      <c r="C833" s="3"/>
    </row>
    <row r="834" spans="3:3" x14ac:dyDescent="0.45">
      <c r="C834" s="3"/>
    </row>
    <row r="835" spans="3:3" x14ac:dyDescent="0.45">
      <c r="C835" s="3"/>
    </row>
    <row r="836" spans="3:3" x14ac:dyDescent="0.45">
      <c r="C836" s="3"/>
    </row>
    <row r="837" spans="3:3" x14ac:dyDescent="0.45">
      <c r="C837" s="3"/>
    </row>
    <row r="838" spans="3:3" x14ac:dyDescent="0.45">
      <c r="C838" s="3"/>
    </row>
    <row r="839" spans="3:3" x14ac:dyDescent="0.45">
      <c r="C839" s="3"/>
    </row>
    <row r="840" spans="3:3" x14ac:dyDescent="0.45">
      <c r="C840" s="3"/>
    </row>
    <row r="841" spans="3:3" x14ac:dyDescent="0.45">
      <c r="C841" s="3"/>
    </row>
    <row r="842" spans="3:3" x14ac:dyDescent="0.45">
      <c r="C842" s="3"/>
    </row>
    <row r="843" spans="3:3" x14ac:dyDescent="0.45">
      <c r="C843" s="3"/>
    </row>
    <row r="844" spans="3:3" x14ac:dyDescent="0.45">
      <c r="C844" s="3"/>
    </row>
    <row r="845" spans="3:3" x14ac:dyDescent="0.45">
      <c r="C845" s="3"/>
    </row>
    <row r="846" spans="3:3" x14ac:dyDescent="0.45">
      <c r="C846" s="3"/>
    </row>
    <row r="847" spans="3:3" x14ac:dyDescent="0.45">
      <c r="C847" s="3"/>
    </row>
    <row r="848" spans="3:3" x14ac:dyDescent="0.45">
      <c r="C848" s="3"/>
    </row>
    <row r="849" spans="3:3" x14ac:dyDescent="0.45">
      <c r="C849" s="3"/>
    </row>
    <row r="850" spans="3:3" x14ac:dyDescent="0.45">
      <c r="C850" s="3"/>
    </row>
    <row r="851" spans="3:3" x14ac:dyDescent="0.45">
      <c r="C851" s="3"/>
    </row>
    <row r="852" spans="3:3" x14ac:dyDescent="0.45">
      <c r="C852" s="3"/>
    </row>
    <row r="853" spans="3:3" x14ac:dyDescent="0.45">
      <c r="C853" s="3"/>
    </row>
    <row r="854" spans="3:3" x14ac:dyDescent="0.45">
      <c r="C854" s="3"/>
    </row>
    <row r="855" spans="3:3" x14ac:dyDescent="0.45">
      <c r="C855" s="3"/>
    </row>
    <row r="856" spans="3:3" x14ac:dyDescent="0.45">
      <c r="C856" s="3"/>
    </row>
    <row r="857" spans="3:3" x14ac:dyDescent="0.45">
      <c r="C857" s="3"/>
    </row>
    <row r="858" spans="3:3" x14ac:dyDescent="0.45">
      <c r="C858" s="3"/>
    </row>
    <row r="859" spans="3:3" x14ac:dyDescent="0.45">
      <c r="C859" s="3"/>
    </row>
    <row r="860" spans="3:3" x14ac:dyDescent="0.45">
      <c r="C860" s="3"/>
    </row>
    <row r="861" spans="3:3" x14ac:dyDescent="0.45">
      <c r="C861" s="3"/>
    </row>
    <row r="862" spans="3:3" x14ac:dyDescent="0.45">
      <c r="C862" s="3"/>
    </row>
    <row r="863" spans="3:3" x14ac:dyDescent="0.45">
      <c r="C863" s="3"/>
    </row>
    <row r="864" spans="3:3" x14ac:dyDescent="0.45">
      <c r="C864" s="3"/>
    </row>
    <row r="865" spans="3:3" x14ac:dyDescent="0.45">
      <c r="C865" s="3"/>
    </row>
    <row r="866" spans="3:3" x14ac:dyDescent="0.45">
      <c r="C866" s="3"/>
    </row>
    <row r="867" spans="3:3" x14ac:dyDescent="0.45">
      <c r="C867" s="3"/>
    </row>
    <row r="868" spans="3:3" x14ac:dyDescent="0.45">
      <c r="C868" s="3"/>
    </row>
    <row r="869" spans="3:3" x14ac:dyDescent="0.45">
      <c r="C869" s="3"/>
    </row>
    <row r="870" spans="3:3" x14ac:dyDescent="0.45">
      <c r="C870" s="3"/>
    </row>
    <row r="871" spans="3:3" x14ac:dyDescent="0.45">
      <c r="C871" s="3"/>
    </row>
    <row r="872" spans="3:3" x14ac:dyDescent="0.45">
      <c r="C872" s="3"/>
    </row>
    <row r="873" spans="3:3" x14ac:dyDescent="0.45">
      <c r="C873" s="3"/>
    </row>
    <row r="874" spans="3:3" x14ac:dyDescent="0.45">
      <c r="C874" s="3"/>
    </row>
    <row r="875" spans="3:3" x14ac:dyDescent="0.45">
      <c r="C875" s="3"/>
    </row>
    <row r="876" spans="3:3" x14ac:dyDescent="0.45">
      <c r="C876" s="3"/>
    </row>
    <row r="877" spans="3:3" x14ac:dyDescent="0.45">
      <c r="C877" s="3"/>
    </row>
    <row r="878" spans="3:3" x14ac:dyDescent="0.45">
      <c r="C878" s="3"/>
    </row>
    <row r="879" spans="3:3" x14ac:dyDescent="0.45">
      <c r="C879" s="3"/>
    </row>
    <row r="880" spans="3:3" x14ac:dyDescent="0.45">
      <c r="C880" s="3"/>
    </row>
    <row r="881" spans="3:3" x14ac:dyDescent="0.45">
      <c r="C881" s="3"/>
    </row>
    <row r="882" spans="3:3" x14ac:dyDescent="0.45">
      <c r="C882" s="3"/>
    </row>
    <row r="883" spans="3:3" x14ac:dyDescent="0.45">
      <c r="C883" s="3"/>
    </row>
    <row r="884" spans="3:3" x14ac:dyDescent="0.45">
      <c r="C884" s="3"/>
    </row>
    <row r="885" spans="3:3" x14ac:dyDescent="0.45">
      <c r="C885" s="3"/>
    </row>
    <row r="886" spans="3:3" x14ac:dyDescent="0.45">
      <c r="C886" s="3"/>
    </row>
    <row r="887" spans="3:3" x14ac:dyDescent="0.45">
      <c r="C887" s="3"/>
    </row>
    <row r="888" spans="3:3" x14ac:dyDescent="0.45">
      <c r="C888" s="3"/>
    </row>
    <row r="889" spans="3:3" x14ac:dyDescent="0.45">
      <c r="C889" s="3"/>
    </row>
    <row r="890" spans="3:3" x14ac:dyDescent="0.45">
      <c r="C890" s="3"/>
    </row>
    <row r="891" spans="3:3" x14ac:dyDescent="0.45">
      <c r="C891" s="3"/>
    </row>
    <row r="892" spans="3:3" x14ac:dyDescent="0.45">
      <c r="C892" s="3"/>
    </row>
    <row r="893" spans="3:3" x14ac:dyDescent="0.45">
      <c r="C893" s="3"/>
    </row>
    <row r="894" spans="3:3" x14ac:dyDescent="0.45">
      <c r="C894" s="3"/>
    </row>
    <row r="895" spans="3:3" x14ac:dyDescent="0.45">
      <c r="C895" s="3"/>
    </row>
    <row r="896" spans="3:3" x14ac:dyDescent="0.45">
      <c r="C896" s="3"/>
    </row>
    <row r="897" spans="3:3" x14ac:dyDescent="0.45">
      <c r="C897" s="3"/>
    </row>
    <row r="898" spans="3:3" x14ac:dyDescent="0.45">
      <c r="C898" s="3"/>
    </row>
    <row r="899" spans="3:3" x14ac:dyDescent="0.45">
      <c r="C899" s="3"/>
    </row>
    <row r="900" spans="3:3" x14ac:dyDescent="0.45">
      <c r="C900" s="3"/>
    </row>
    <row r="901" spans="3:3" x14ac:dyDescent="0.45">
      <c r="C901" s="3"/>
    </row>
    <row r="902" spans="3:3" x14ac:dyDescent="0.45">
      <c r="C902" s="3"/>
    </row>
    <row r="903" spans="3:3" x14ac:dyDescent="0.45">
      <c r="C903" s="3"/>
    </row>
    <row r="904" spans="3:3" x14ac:dyDescent="0.45">
      <c r="C904" s="3"/>
    </row>
    <row r="905" spans="3:3" x14ac:dyDescent="0.45">
      <c r="C905" s="3"/>
    </row>
    <row r="906" spans="3:3" x14ac:dyDescent="0.45">
      <c r="C906" s="3"/>
    </row>
    <row r="907" spans="3:3" x14ac:dyDescent="0.45">
      <c r="C907" s="3"/>
    </row>
    <row r="908" spans="3:3" x14ac:dyDescent="0.45">
      <c r="C908" s="3"/>
    </row>
    <row r="909" spans="3:3" x14ac:dyDescent="0.45">
      <c r="C909" s="3"/>
    </row>
    <row r="910" spans="3:3" x14ac:dyDescent="0.45">
      <c r="C910" s="3"/>
    </row>
    <row r="911" spans="3:3" x14ac:dyDescent="0.45">
      <c r="C911" s="3"/>
    </row>
    <row r="912" spans="3:3" x14ac:dyDescent="0.45">
      <c r="C912" s="3"/>
    </row>
    <row r="913" spans="3:3" x14ac:dyDescent="0.45">
      <c r="C913" s="3"/>
    </row>
    <row r="914" spans="3:3" x14ac:dyDescent="0.45">
      <c r="C914" s="3"/>
    </row>
    <row r="915" spans="3:3" x14ac:dyDescent="0.45">
      <c r="C915" s="3"/>
    </row>
    <row r="916" spans="3:3" x14ac:dyDescent="0.45">
      <c r="C916" s="3"/>
    </row>
    <row r="917" spans="3:3" x14ac:dyDescent="0.45">
      <c r="C917" s="3"/>
    </row>
    <row r="918" spans="3:3" x14ac:dyDescent="0.45">
      <c r="C918" s="3"/>
    </row>
    <row r="919" spans="3:3" x14ac:dyDescent="0.45">
      <c r="C919" s="3"/>
    </row>
    <row r="920" spans="3:3" x14ac:dyDescent="0.45">
      <c r="C920" s="3"/>
    </row>
    <row r="921" spans="3:3" x14ac:dyDescent="0.45">
      <c r="C921" s="3"/>
    </row>
    <row r="922" spans="3:3" x14ac:dyDescent="0.45">
      <c r="C922" s="3"/>
    </row>
    <row r="923" spans="3:3" x14ac:dyDescent="0.45">
      <c r="C923" s="3"/>
    </row>
    <row r="924" spans="3:3" x14ac:dyDescent="0.45">
      <c r="C924" s="3"/>
    </row>
    <row r="925" spans="3:3" x14ac:dyDescent="0.45">
      <c r="C925" s="3"/>
    </row>
    <row r="926" spans="3:3" x14ac:dyDescent="0.45">
      <c r="C926" s="3"/>
    </row>
    <row r="927" spans="3:3" x14ac:dyDescent="0.45">
      <c r="C927" s="3"/>
    </row>
    <row r="928" spans="3:3" x14ac:dyDescent="0.45">
      <c r="C928" s="3"/>
    </row>
    <row r="929" spans="3:3" x14ac:dyDescent="0.45">
      <c r="C929" s="3"/>
    </row>
    <row r="930" spans="3:3" x14ac:dyDescent="0.45">
      <c r="C930" s="3"/>
    </row>
    <row r="931" spans="3:3" x14ac:dyDescent="0.45">
      <c r="C931" s="3"/>
    </row>
    <row r="932" spans="3:3" x14ac:dyDescent="0.45">
      <c r="C932" s="3"/>
    </row>
    <row r="933" spans="3:3" x14ac:dyDescent="0.45">
      <c r="C933" s="3"/>
    </row>
    <row r="934" spans="3:3" x14ac:dyDescent="0.45">
      <c r="C934" s="3"/>
    </row>
    <row r="935" spans="3:3" x14ac:dyDescent="0.45">
      <c r="C935" s="3"/>
    </row>
    <row r="936" spans="3:3" x14ac:dyDescent="0.45">
      <c r="C936" s="3"/>
    </row>
    <row r="937" spans="3:3" x14ac:dyDescent="0.45">
      <c r="C937" s="3"/>
    </row>
    <row r="938" spans="3:3" x14ac:dyDescent="0.45">
      <c r="C938" s="3"/>
    </row>
    <row r="939" spans="3:3" x14ac:dyDescent="0.45">
      <c r="C939" s="3"/>
    </row>
    <row r="940" spans="3:3" x14ac:dyDescent="0.45">
      <c r="C940" s="3"/>
    </row>
    <row r="941" spans="3:3" x14ac:dyDescent="0.45">
      <c r="C941" s="3"/>
    </row>
    <row r="942" spans="3:3" x14ac:dyDescent="0.45">
      <c r="C942" s="3"/>
    </row>
    <row r="943" spans="3:3" x14ac:dyDescent="0.45">
      <c r="C943" s="3"/>
    </row>
    <row r="944" spans="3:3" x14ac:dyDescent="0.45">
      <c r="C944" s="3"/>
    </row>
    <row r="945" spans="3:3" x14ac:dyDescent="0.45">
      <c r="C945" s="3"/>
    </row>
    <row r="946" spans="3:3" x14ac:dyDescent="0.45">
      <c r="C946" s="3"/>
    </row>
    <row r="947" spans="3:3" x14ac:dyDescent="0.45">
      <c r="C947" s="3"/>
    </row>
    <row r="948" spans="3:3" x14ac:dyDescent="0.45">
      <c r="C948" s="3"/>
    </row>
    <row r="949" spans="3:3" x14ac:dyDescent="0.45">
      <c r="C949" s="3"/>
    </row>
    <row r="950" spans="3:3" x14ac:dyDescent="0.45">
      <c r="C950" s="3"/>
    </row>
    <row r="951" spans="3:3" x14ac:dyDescent="0.45">
      <c r="C951" s="3"/>
    </row>
    <row r="952" spans="3:3" x14ac:dyDescent="0.45">
      <c r="C952" s="3"/>
    </row>
    <row r="953" spans="3:3" x14ac:dyDescent="0.45">
      <c r="C953" s="3"/>
    </row>
    <row r="954" spans="3:3" x14ac:dyDescent="0.45">
      <c r="C954" s="3"/>
    </row>
    <row r="955" spans="3:3" x14ac:dyDescent="0.45">
      <c r="C955" s="3"/>
    </row>
    <row r="956" spans="3:3" x14ac:dyDescent="0.45">
      <c r="C956" s="3"/>
    </row>
    <row r="957" spans="3:3" x14ac:dyDescent="0.45">
      <c r="C957" s="3"/>
    </row>
    <row r="958" spans="3:3" x14ac:dyDescent="0.45">
      <c r="C958" s="3"/>
    </row>
    <row r="959" spans="3:3" x14ac:dyDescent="0.45">
      <c r="C959" s="3"/>
    </row>
    <row r="960" spans="3:3" x14ac:dyDescent="0.45">
      <c r="C960" s="3"/>
    </row>
    <row r="961" spans="3:3" x14ac:dyDescent="0.45">
      <c r="C961" s="3"/>
    </row>
    <row r="962" spans="3:3" x14ac:dyDescent="0.45">
      <c r="C962" s="3"/>
    </row>
    <row r="963" spans="3:3" x14ac:dyDescent="0.45">
      <c r="C963" s="3"/>
    </row>
    <row r="964" spans="3:3" x14ac:dyDescent="0.45">
      <c r="C964" s="3"/>
    </row>
    <row r="965" spans="3:3" x14ac:dyDescent="0.45">
      <c r="C965" s="3"/>
    </row>
    <row r="966" spans="3:3" x14ac:dyDescent="0.45">
      <c r="C966" s="3"/>
    </row>
    <row r="967" spans="3:3" x14ac:dyDescent="0.45">
      <c r="C967" s="3"/>
    </row>
    <row r="968" spans="3:3" x14ac:dyDescent="0.45">
      <c r="C968" s="3"/>
    </row>
    <row r="969" spans="3:3" x14ac:dyDescent="0.45">
      <c r="C969" s="3"/>
    </row>
    <row r="970" spans="3:3" x14ac:dyDescent="0.45">
      <c r="C970" s="3"/>
    </row>
    <row r="971" spans="3:3" x14ac:dyDescent="0.45">
      <c r="C971" s="3"/>
    </row>
    <row r="972" spans="3:3" x14ac:dyDescent="0.45">
      <c r="C972" s="3"/>
    </row>
    <row r="973" spans="3:3" x14ac:dyDescent="0.45">
      <c r="C973" s="3"/>
    </row>
    <row r="974" spans="3:3" x14ac:dyDescent="0.45">
      <c r="C974" s="3"/>
    </row>
    <row r="975" spans="3:3" x14ac:dyDescent="0.45">
      <c r="C975" s="3"/>
    </row>
    <row r="976" spans="3:3" x14ac:dyDescent="0.45">
      <c r="C976" s="3"/>
    </row>
    <row r="977" spans="3:3" x14ac:dyDescent="0.45">
      <c r="C977" s="3"/>
    </row>
    <row r="978" spans="3:3" x14ac:dyDescent="0.45">
      <c r="C978" s="3"/>
    </row>
    <row r="979" spans="3:3" x14ac:dyDescent="0.45">
      <c r="C979" s="3"/>
    </row>
    <row r="980" spans="3:3" x14ac:dyDescent="0.45">
      <c r="C980" s="3"/>
    </row>
    <row r="981" spans="3:3" x14ac:dyDescent="0.45">
      <c r="C981" s="3"/>
    </row>
    <row r="982" spans="3:3" x14ac:dyDescent="0.45">
      <c r="C982" s="3"/>
    </row>
    <row r="983" spans="3:3" x14ac:dyDescent="0.45">
      <c r="C983" s="3"/>
    </row>
    <row r="984" spans="3:3" x14ac:dyDescent="0.45">
      <c r="C984" s="3"/>
    </row>
    <row r="985" spans="3:3" x14ac:dyDescent="0.45">
      <c r="C985" s="3"/>
    </row>
    <row r="986" spans="3:3" x14ac:dyDescent="0.45">
      <c r="C986" s="3"/>
    </row>
    <row r="987" spans="3:3" x14ac:dyDescent="0.45">
      <c r="C987" s="3"/>
    </row>
    <row r="988" spans="3:3" x14ac:dyDescent="0.45">
      <c r="C988" s="3"/>
    </row>
    <row r="989" spans="3:3" x14ac:dyDescent="0.45">
      <c r="C989" s="3"/>
    </row>
    <row r="990" spans="3:3" x14ac:dyDescent="0.45">
      <c r="C990" s="3"/>
    </row>
    <row r="991" spans="3:3" x14ac:dyDescent="0.45">
      <c r="C991" s="3"/>
    </row>
    <row r="992" spans="3:3" x14ac:dyDescent="0.45">
      <c r="C992" s="3"/>
    </row>
    <row r="993" spans="3:3" x14ac:dyDescent="0.45">
      <c r="C993" s="3"/>
    </row>
    <row r="994" spans="3:3" x14ac:dyDescent="0.45">
      <c r="C994" s="3"/>
    </row>
    <row r="995" spans="3:3" x14ac:dyDescent="0.45">
      <c r="C995" s="3"/>
    </row>
    <row r="996" spans="3:3" x14ac:dyDescent="0.45">
      <c r="C996" s="3"/>
    </row>
    <row r="997" spans="3:3" x14ac:dyDescent="0.45">
      <c r="C997" s="3"/>
    </row>
    <row r="998" spans="3:3" x14ac:dyDescent="0.45">
      <c r="C998" s="3"/>
    </row>
    <row r="999" spans="3:3" x14ac:dyDescent="0.45">
      <c r="C999" s="3"/>
    </row>
    <row r="1000" spans="3:3" x14ac:dyDescent="0.45">
      <c r="C1000" s="3"/>
    </row>
    <row r="1001" spans="3:3" x14ac:dyDescent="0.45">
      <c r="C1001" s="3"/>
    </row>
    <row r="1002" spans="3:3" x14ac:dyDescent="0.45">
      <c r="C1002" s="3"/>
    </row>
    <row r="1003" spans="3:3" x14ac:dyDescent="0.45">
      <c r="C1003" s="3"/>
    </row>
    <row r="1004" spans="3:3" x14ac:dyDescent="0.45">
      <c r="C1004" s="3"/>
    </row>
    <row r="1005" spans="3:3" x14ac:dyDescent="0.45">
      <c r="C1005" s="3"/>
    </row>
    <row r="1006" spans="3:3" x14ac:dyDescent="0.45">
      <c r="C1006" s="3"/>
    </row>
    <row r="1007" spans="3:3" x14ac:dyDescent="0.45">
      <c r="C1007" s="3"/>
    </row>
    <row r="1008" spans="3:3" x14ac:dyDescent="0.45">
      <c r="C1008" s="3"/>
    </row>
    <row r="1009" spans="3:3" x14ac:dyDescent="0.45">
      <c r="C1009" s="3"/>
    </row>
    <row r="1010" spans="3:3" x14ac:dyDescent="0.45">
      <c r="C1010" s="3"/>
    </row>
    <row r="1011" spans="3:3" x14ac:dyDescent="0.45">
      <c r="C1011" s="3"/>
    </row>
    <row r="1012" spans="3:3" x14ac:dyDescent="0.45">
      <c r="C1012" s="3"/>
    </row>
    <row r="1013" spans="3:3" x14ac:dyDescent="0.45">
      <c r="C1013" s="3"/>
    </row>
    <row r="1014" spans="3:3" x14ac:dyDescent="0.45">
      <c r="C1014" s="3"/>
    </row>
    <row r="1015" spans="3:3" x14ac:dyDescent="0.45">
      <c r="C1015" s="3"/>
    </row>
    <row r="1016" spans="3:3" x14ac:dyDescent="0.45">
      <c r="C1016" s="3"/>
    </row>
    <row r="1017" spans="3:3" x14ac:dyDescent="0.45">
      <c r="C1017" s="3"/>
    </row>
    <row r="1018" spans="3:3" x14ac:dyDescent="0.45">
      <c r="C1018" s="3"/>
    </row>
    <row r="1019" spans="3:3" x14ac:dyDescent="0.45">
      <c r="C1019" s="3"/>
    </row>
    <row r="1020" spans="3:3" x14ac:dyDescent="0.45">
      <c r="C1020" s="3"/>
    </row>
    <row r="1021" spans="3:3" x14ac:dyDescent="0.45">
      <c r="C1021" s="3"/>
    </row>
    <row r="1022" spans="3:3" x14ac:dyDescent="0.45">
      <c r="C1022" s="3"/>
    </row>
    <row r="1023" spans="3:3" x14ac:dyDescent="0.45">
      <c r="C1023" s="3"/>
    </row>
    <row r="1024" spans="3:3" x14ac:dyDescent="0.45">
      <c r="C1024" s="3"/>
    </row>
    <row r="1025" spans="3:3" x14ac:dyDescent="0.45">
      <c r="C1025" s="3"/>
    </row>
    <row r="1026" spans="3:3" x14ac:dyDescent="0.45">
      <c r="C1026" s="3"/>
    </row>
    <row r="1027" spans="3:3" x14ac:dyDescent="0.45">
      <c r="C1027" s="3"/>
    </row>
    <row r="1028" spans="3:3" x14ac:dyDescent="0.45">
      <c r="C1028" s="3"/>
    </row>
    <row r="1029" spans="3:3" x14ac:dyDescent="0.45">
      <c r="C1029" s="3"/>
    </row>
    <row r="1030" spans="3:3" x14ac:dyDescent="0.45">
      <c r="C1030" s="3"/>
    </row>
    <row r="1031" spans="3:3" x14ac:dyDescent="0.45">
      <c r="C1031" s="3"/>
    </row>
    <row r="1032" spans="3:3" x14ac:dyDescent="0.45">
      <c r="C1032" s="3"/>
    </row>
    <row r="1033" spans="3:3" x14ac:dyDescent="0.45">
      <c r="C1033" s="3"/>
    </row>
    <row r="1034" spans="3:3" x14ac:dyDescent="0.45">
      <c r="C1034" s="3"/>
    </row>
    <row r="1035" spans="3:3" x14ac:dyDescent="0.45">
      <c r="C1035" s="3"/>
    </row>
    <row r="1036" spans="3:3" x14ac:dyDescent="0.45">
      <c r="C1036" s="3"/>
    </row>
    <row r="1037" spans="3:3" x14ac:dyDescent="0.45">
      <c r="C1037" s="3"/>
    </row>
    <row r="1038" spans="3:3" x14ac:dyDescent="0.45">
      <c r="C1038" s="3"/>
    </row>
    <row r="1039" spans="3:3" x14ac:dyDescent="0.45">
      <c r="C1039" s="3"/>
    </row>
    <row r="1040" spans="3:3" x14ac:dyDescent="0.45">
      <c r="C1040" s="3"/>
    </row>
    <row r="1041" spans="3:3" x14ac:dyDescent="0.45">
      <c r="C1041" s="3"/>
    </row>
    <row r="1042" spans="3:3" x14ac:dyDescent="0.45">
      <c r="C1042" s="3"/>
    </row>
    <row r="1043" spans="3:3" x14ac:dyDescent="0.45">
      <c r="C1043" s="3"/>
    </row>
    <row r="1044" spans="3:3" x14ac:dyDescent="0.45">
      <c r="C1044" s="3"/>
    </row>
    <row r="1045" spans="3:3" x14ac:dyDescent="0.45">
      <c r="C1045" s="3"/>
    </row>
    <row r="1046" spans="3:3" x14ac:dyDescent="0.45">
      <c r="C1046" s="3"/>
    </row>
    <row r="1047" spans="3:3" x14ac:dyDescent="0.45">
      <c r="C1047" s="3"/>
    </row>
    <row r="1048" spans="3:3" x14ac:dyDescent="0.45">
      <c r="C1048" s="3"/>
    </row>
    <row r="1049" spans="3:3" x14ac:dyDescent="0.45">
      <c r="C1049" s="3"/>
    </row>
    <row r="1050" spans="3:3" x14ac:dyDescent="0.45">
      <c r="C1050" s="3"/>
    </row>
    <row r="1051" spans="3:3" x14ac:dyDescent="0.45">
      <c r="C1051" s="3"/>
    </row>
    <row r="1052" spans="3:3" x14ac:dyDescent="0.45">
      <c r="C1052" s="3"/>
    </row>
    <row r="1053" spans="3:3" x14ac:dyDescent="0.45">
      <c r="C1053" s="3"/>
    </row>
    <row r="1054" spans="3:3" x14ac:dyDescent="0.45">
      <c r="C1054" s="3"/>
    </row>
    <row r="1055" spans="3:3" x14ac:dyDescent="0.45">
      <c r="C1055" s="3"/>
    </row>
    <row r="1056" spans="3:3" x14ac:dyDescent="0.45">
      <c r="C1056" s="3"/>
    </row>
    <row r="1057" spans="3:3" x14ac:dyDescent="0.45">
      <c r="C1057" s="3"/>
    </row>
    <row r="1058" spans="3:3" x14ac:dyDescent="0.45">
      <c r="C1058" s="3"/>
    </row>
    <row r="1059" spans="3:3" x14ac:dyDescent="0.45">
      <c r="C1059" s="3"/>
    </row>
    <row r="1060" spans="3:3" x14ac:dyDescent="0.45">
      <c r="C1060" s="3"/>
    </row>
    <row r="1061" spans="3:3" x14ac:dyDescent="0.45">
      <c r="C1061" s="3"/>
    </row>
    <row r="1062" spans="3:3" x14ac:dyDescent="0.45">
      <c r="C1062" s="3"/>
    </row>
    <row r="1063" spans="3:3" x14ac:dyDescent="0.45">
      <c r="C1063" s="3"/>
    </row>
    <row r="1064" spans="3:3" x14ac:dyDescent="0.45">
      <c r="C1064" s="3"/>
    </row>
    <row r="1065" spans="3:3" x14ac:dyDescent="0.45">
      <c r="C1065" s="3"/>
    </row>
    <row r="1066" spans="3:3" x14ac:dyDescent="0.45">
      <c r="C1066" s="3"/>
    </row>
    <row r="1067" spans="3:3" x14ac:dyDescent="0.45">
      <c r="C1067" s="3"/>
    </row>
    <row r="1068" spans="3:3" x14ac:dyDescent="0.45">
      <c r="C1068" s="3"/>
    </row>
    <row r="1069" spans="3:3" x14ac:dyDescent="0.45">
      <c r="C1069" s="3"/>
    </row>
    <row r="1070" spans="3:3" x14ac:dyDescent="0.45">
      <c r="C1070" s="3"/>
    </row>
    <row r="1071" spans="3:3" x14ac:dyDescent="0.45">
      <c r="C1071" s="3"/>
    </row>
    <row r="1072" spans="3:3" x14ac:dyDescent="0.45">
      <c r="C1072" s="3"/>
    </row>
    <row r="1073" spans="3:3" x14ac:dyDescent="0.45">
      <c r="C1073" s="3"/>
    </row>
    <row r="1074" spans="3:3" x14ac:dyDescent="0.45">
      <c r="C1074" s="3"/>
    </row>
    <row r="1075" spans="3:3" x14ac:dyDescent="0.45">
      <c r="C1075" s="3"/>
    </row>
    <row r="1076" spans="3:3" x14ac:dyDescent="0.45">
      <c r="C1076" s="3"/>
    </row>
    <row r="1077" spans="3:3" x14ac:dyDescent="0.45">
      <c r="C1077" s="3"/>
    </row>
    <row r="1078" spans="3:3" x14ac:dyDescent="0.45">
      <c r="C1078" s="3"/>
    </row>
    <row r="1079" spans="3:3" x14ac:dyDescent="0.45">
      <c r="C1079" s="3"/>
    </row>
    <row r="1080" spans="3:3" x14ac:dyDescent="0.45">
      <c r="C1080" s="3"/>
    </row>
    <row r="1081" spans="3:3" x14ac:dyDescent="0.45">
      <c r="C1081" s="3"/>
    </row>
    <row r="1082" spans="3:3" x14ac:dyDescent="0.45">
      <c r="C1082" s="3"/>
    </row>
    <row r="1083" spans="3:3" x14ac:dyDescent="0.45">
      <c r="C1083" s="3"/>
    </row>
    <row r="1084" spans="3:3" x14ac:dyDescent="0.45">
      <c r="C1084" s="3"/>
    </row>
    <row r="1085" spans="3:3" x14ac:dyDescent="0.45">
      <c r="C1085" s="3"/>
    </row>
    <row r="1086" spans="3:3" x14ac:dyDescent="0.45">
      <c r="C1086" s="3"/>
    </row>
    <row r="1087" spans="3:3" x14ac:dyDescent="0.45">
      <c r="C1087" s="3"/>
    </row>
    <row r="1088" spans="3:3" x14ac:dyDescent="0.45">
      <c r="C1088" s="3"/>
    </row>
    <row r="1089" spans="3:3" x14ac:dyDescent="0.45">
      <c r="C1089" s="3"/>
    </row>
    <row r="1090" spans="3:3" x14ac:dyDescent="0.45">
      <c r="C1090" s="3"/>
    </row>
    <row r="1091" spans="3:3" x14ac:dyDescent="0.45">
      <c r="C1091" s="3"/>
    </row>
    <row r="1092" spans="3:3" x14ac:dyDescent="0.45">
      <c r="C1092" s="3"/>
    </row>
    <row r="1093" spans="3:3" x14ac:dyDescent="0.45">
      <c r="C1093" s="3"/>
    </row>
    <row r="1094" spans="3:3" x14ac:dyDescent="0.45">
      <c r="C1094" s="3"/>
    </row>
    <row r="1095" spans="3:3" x14ac:dyDescent="0.45">
      <c r="C1095" s="3"/>
    </row>
    <row r="1096" spans="3:3" x14ac:dyDescent="0.45">
      <c r="C1096" s="3"/>
    </row>
    <row r="1097" spans="3:3" x14ac:dyDescent="0.45">
      <c r="C1097" s="3"/>
    </row>
    <row r="1098" spans="3:3" x14ac:dyDescent="0.45">
      <c r="C1098" s="3"/>
    </row>
    <row r="1099" spans="3:3" x14ac:dyDescent="0.45">
      <c r="C1099" s="3"/>
    </row>
    <row r="1100" spans="3:3" x14ac:dyDescent="0.45">
      <c r="C1100" s="3"/>
    </row>
    <row r="1101" spans="3:3" x14ac:dyDescent="0.45">
      <c r="C1101" s="3"/>
    </row>
    <row r="1102" spans="3:3" x14ac:dyDescent="0.45">
      <c r="C1102" s="3"/>
    </row>
    <row r="1103" spans="3:3" x14ac:dyDescent="0.45">
      <c r="C1103" s="3"/>
    </row>
    <row r="1104" spans="3:3" x14ac:dyDescent="0.45">
      <c r="C1104" s="3"/>
    </row>
    <row r="1105" spans="3:3" x14ac:dyDescent="0.45">
      <c r="C1105" s="3"/>
    </row>
    <row r="1106" spans="3:3" x14ac:dyDescent="0.45">
      <c r="C1106" s="3"/>
    </row>
    <row r="1107" spans="3:3" x14ac:dyDescent="0.45">
      <c r="C1107" s="3"/>
    </row>
    <row r="1108" spans="3:3" x14ac:dyDescent="0.45">
      <c r="C1108" s="3"/>
    </row>
    <row r="1109" spans="3:3" x14ac:dyDescent="0.45">
      <c r="C1109" s="3"/>
    </row>
    <row r="1110" spans="3:3" x14ac:dyDescent="0.45">
      <c r="C1110" s="3"/>
    </row>
    <row r="1111" spans="3:3" x14ac:dyDescent="0.45">
      <c r="C1111" s="3"/>
    </row>
    <row r="1112" spans="3:3" x14ac:dyDescent="0.45">
      <c r="C1112" s="3"/>
    </row>
    <row r="1113" spans="3:3" x14ac:dyDescent="0.45">
      <c r="C1113" s="3"/>
    </row>
    <row r="1114" spans="3:3" x14ac:dyDescent="0.45">
      <c r="C1114" s="3"/>
    </row>
    <row r="1115" spans="3:3" x14ac:dyDescent="0.45">
      <c r="C1115" s="3"/>
    </row>
    <row r="1116" spans="3:3" x14ac:dyDescent="0.45">
      <c r="C1116" s="3"/>
    </row>
    <row r="1117" spans="3:3" x14ac:dyDescent="0.45">
      <c r="C1117" s="3"/>
    </row>
    <row r="1118" spans="3:3" x14ac:dyDescent="0.45">
      <c r="C1118" s="3"/>
    </row>
    <row r="1119" spans="3:3" x14ac:dyDescent="0.45">
      <c r="C1119" s="3"/>
    </row>
    <row r="1120" spans="3:3" x14ac:dyDescent="0.45">
      <c r="C1120" s="3"/>
    </row>
    <row r="1121" spans="3:3" x14ac:dyDescent="0.45">
      <c r="C1121" s="3"/>
    </row>
    <row r="1122" spans="3:3" x14ac:dyDescent="0.45">
      <c r="C1122" s="3"/>
    </row>
    <row r="1123" spans="3:3" x14ac:dyDescent="0.45">
      <c r="C1123" s="3"/>
    </row>
    <row r="1124" spans="3:3" x14ac:dyDescent="0.45">
      <c r="C1124" s="3"/>
    </row>
    <row r="1125" spans="3:3" x14ac:dyDescent="0.45">
      <c r="C1125" s="3"/>
    </row>
    <row r="1126" spans="3:3" x14ac:dyDescent="0.45">
      <c r="C1126" s="3"/>
    </row>
    <row r="1127" spans="3:3" x14ac:dyDescent="0.45">
      <c r="C1127" s="3"/>
    </row>
    <row r="1128" spans="3:3" x14ac:dyDescent="0.45">
      <c r="C1128" s="3"/>
    </row>
    <row r="1129" spans="3:3" x14ac:dyDescent="0.45">
      <c r="C1129" s="3"/>
    </row>
    <row r="1130" spans="3:3" x14ac:dyDescent="0.45">
      <c r="C1130" s="3"/>
    </row>
    <row r="1131" spans="3:3" x14ac:dyDescent="0.45">
      <c r="C1131" s="3"/>
    </row>
    <row r="1132" spans="3:3" x14ac:dyDescent="0.45">
      <c r="C1132" s="3"/>
    </row>
    <row r="1133" spans="3:3" x14ac:dyDescent="0.45">
      <c r="C1133" s="3"/>
    </row>
    <row r="1134" spans="3:3" x14ac:dyDescent="0.45">
      <c r="C1134" s="3"/>
    </row>
    <row r="1135" spans="3:3" x14ac:dyDescent="0.45">
      <c r="C1135" s="3"/>
    </row>
    <row r="1136" spans="3:3" x14ac:dyDescent="0.45">
      <c r="C1136" s="3"/>
    </row>
    <row r="1137" spans="3:3" x14ac:dyDescent="0.45">
      <c r="C1137" s="3"/>
    </row>
    <row r="1138" spans="3:3" x14ac:dyDescent="0.45">
      <c r="C1138" s="3"/>
    </row>
    <row r="1139" spans="3:3" x14ac:dyDescent="0.45">
      <c r="C1139" s="3"/>
    </row>
    <row r="1140" spans="3:3" x14ac:dyDescent="0.45">
      <c r="C1140" s="3"/>
    </row>
    <row r="1141" spans="3:3" x14ac:dyDescent="0.45">
      <c r="C1141" s="3"/>
    </row>
    <row r="1142" spans="3:3" x14ac:dyDescent="0.45">
      <c r="C1142" s="3"/>
    </row>
    <row r="1143" spans="3:3" x14ac:dyDescent="0.45">
      <c r="C1143" s="3"/>
    </row>
    <row r="1144" spans="3:3" x14ac:dyDescent="0.45">
      <c r="C1144" s="3"/>
    </row>
    <row r="1145" spans="3:3" x14ac:dyDescent="0.45">
      <c r="C1145" s="3"/>
    </row>
    <row r="1146" spans="3:3" x14ac:dyDescent="0.45">
      <c r="C1146" s="3"/>
    </row>
    <row r="1147" spans="3:3" x14ac:dyDescent="0.45">
      <c r="C1147" s="3"/>
    </row>
    <row r="1148" spans="3:3" x14ac:dyDescent="0.45">
      <c r="C1148" s="3"/>
    </row>
    <row r="1149" spans="3:3" x14ac:dyDescent="0.45">
      <c r="C1149" s="3"/>
    </row>
    <row r="1150" spans="3:3" x14ac:dyDescent="0.45">
      <c r="C1150" s="3"/>
    </row>
    <row r="1151" spans="3:3" x14ac:dyDescent="0.45">
      <c r="C1151" s="3"/>
    </row>
    <row r="1152" spans="3:3" x14ac:dyDescent="0.45">
      <c r="C1152" s="3"/>
    </row>
    <row r="1153" spans="3:3" x14ac:dyDescent="0.45">
      <c r="C1153" s="3"/>
    </row>
    <row r="1154" spans="3:3" x14ac:dyDescent="0.45">
      <c r="C1154" s="3"/>
    </row>
    <row r="1155" spans="3:3" x14ac:dyDescent="0.45">
      <c r="C1155" s="3"/>
    </row>
    <row r="1156" spans="3:3" x14ac:dyDescent="0.45">
      <c r="C1156" s="3"/>
    </row>
    <row r="1157" spans="3:3" x14ac:dyDescent="0.45">
      <c r="C1157" s="3"/>
    </row>
    <row r="1158" spans="3:3" x14ac:dyDescent="0.45">
      <c r="C1158" s="3"/>
    </row>
    <row r="1159" spans="3:3" x14ac:dyDescent="0.45">
      <c r="C1159" s="3"/>
    </row>
    <row r="1160" spans="3:3" x14ac:dyDescent="0.45">
      <c r="C1160" s="3"/>
    </row>
    <row r="1161" spans="3:3" x14ac:dyDescent="0.45">
      <c r="C1161" s="3"/>
    </row>
    <row r="1162" spans="3:3" x14ac:dyDescent="0.45">
      <c r="C1162" s="3"/>
    </row>
    <row r="1163" spans="3:3" x14ac:dyDescent="0.45">
      <c r="C1163" s="3"/>
    </row>
    <row r="1164" spans="3:3" x14ac:dyDescent="0.45">
      <c r="C1164" s="3"/>
    </row>
    <row r="1165" spans="3:3" x14ac:dyDescent="0.45">
      <c r="C1165" s="3"/>
    </row>
    <row r="1166" spans="3:3" x14ac:dyDescent="0.45">
      <c r="C1166" s="3"/>
    </row>
    <row r="1167" spans="3:3" x14ac:dyDescent="0.45">
      <c r="C1167" s="3"/>
    </row>
    <row r="1168" spans="3:3" x14ac:dyDescent="0.45">
      <c r="C1168" s="3"/>
    </row>
    <row r="1169" spans="3:3" x14ac:dyDescent="0.45">
      <c r="C1169" s="3"/>
    </row>
    <row r="1170" spans="3:3" x14ac:dyDescent="0.45">
      <c r="C1170" s="3"/>
    </row>
    <row r="1171" spans="3:3" x14ac:dyDescent="0.45">
      <c r="C1171" s="3"/>
    </row>
    <row r="1172" spans="3:3" x14ac:dyDescent="0.45">
      <c r="C1172" s="3"/>
    </row>
    <row r="1173" spans="3:3" x14ac:dyDescent="0.45">
      <c r="C1173" s="3"/>
    </row>
    <row r="1174" spans="3:3" x14ac:dyDescent="0.45">
      <c r="C1174" s="3"/>
    </row>
    <row r="1175" spans="3:3" x14ac:dyDescent="0.45">
      <c r="C1175" s="3"/>
    </row>
    <row r="1176" spans="3:3" x14ac:dyDescent="0.45">
      <c r="C1176" s="3"/>
    </row>
    <row r="1177" spans="3:3" x14ac:dyDescent="0.45">
      <c r="C1177" s="3"/>
    </row>
    <row r="1178" spans="3:3" x14ac:dyDescent="0.45">
      <c r="C1178" s="3"/>
    </row>
    <row r="1179" spans="3:3" x14ac:dyDescent="0.45">
      <c r="C1179" s="3"/>
    </row>
    <row r="1180" spans="3:3" x14ac:dyDescent="0.45">
      <c r="C1180" s="3"/>
    </row>
    <row r="1181" spans="3:3" x14ac:dyDescent="0.45">
      <c r="C1181" s="3"/>
    </row>
    <row r="1182" spans="3:3" x14ac:dyDescent="0.45">
      <c r="C1182" s="3"/>
    </row>
    <row r="1183" spans="3:3" x14ac:dyDescent="0.45">
      <c r="C1183" s="3"/>
    </row>
    <row r="1184" spans="3:3" x14ac:dyDescent="0.45">
      <c r="C1184" s="3"/>
    </row>
    <row r="1185" spans="3:3" x14ac:dyDescent="0.45">
      <c r="C1185" s="3"/>
    </row>
    <row r="1186" spans="3:3" x14ac:dyDescent="0.45">
      <c r="C1186" s="3"/>
    </row>
    <row r="1187" spans="3:3" x14ac:dyDescent="0.45">
      <c r="C1187" s="3"/>
    </row>
    <row r="1188" spans="3:3" x14ac:dyDescent="0.45">
      <c r="C1188" s="3"/>
    </row>
    <row r="1189" spans="3:3" x14ac:dyDescent="0.45">
      <c r="C1189" s="3"/>
    </row>
    <row r="1190" spans="3:3" x14ac:dyDescent="0.45">
      <c r="C1190" s="3"/>
    </row>
    <row r="1191" spans="3:3" x14ac:dyDescent="0.45">
      <c r="C1191" s="3"/>
    </row>
    <row r="1192" spans="3:3" x14ac:dyDescent="0.45">
      <c r="C1192" s="3"/>
    </row>
    <row r="1193" spans="3:3" x14ac:dyDescent="0.45">
      <c r="C1193" s="3"/>
    </row>
    <row r="1194" spans="3:3" x14ac:dyDescent="0.45">
      <c r="C1194" s="3"/>
    </row>
    <row r="1195" spans="3:3" x14ac:dyDescent="0.45">
      <c r="C1195" s="3"/>
    </row>
    <row r="1196" spans="3:3" x14ac:dyDescent="0.45">
      <c r="C1196" s="3"/>
    </row>
    <row r="1197" spans="3:3" x14ac:dyDescent="0.45">
      <c r="C1197" s="3"/>
    </row>
    <row r="1198" spans="3:3" x14ac:dyDescent="0.45">
      <c r="C1198" s="3"/>
    </row>
    <row r="1199" spans="3:3" x14ac:dyDescent="0.45">
      <c r="C1199" s="3"/>
    </row>
    <row r="1200" spans="3:3" x14ac:dyDescent="0.45">
      <c r="C1200" s="3"/>
    </row>
    <row r="1201" spans="3:3" x14ac:dyDescent="0.45">
      <c r="C1201" s="3"/>
    </row>
    <row r="1202" spans="3:3" x14ac:dyDescent="0.45">
      <c r="C1202" s="3"/>
    </row>
    <row r="1203" spans="3:3" x14ac:dyDescent="0.45">
      <c r="C1203" s="3"/>
    </row>
    <row r="1204" spans="3:3" x14ac:dyDescent="0.45">
      <c r="C1204" s="3"/>
    </row>
    <row r="1205" spans="3:3" x14ac:dyDescent="0.45">
      <c r="C1205" s="3"/>
    </row>
    <row r="1206" spans="3:3" x14ac:dyDescent="0.45">
      <c r="C1206" s="3"/>
    </row>
    <row r="1207" spans="3:3" x14ac:dyDescent="0.45">
      <c r="C1207" s="3"/>
    </row>
    <row r="1208" spans="3:3" x14ac:dyDescent="0.45">
      <c r="C1208" s="3"/>
    </row>
    <row r="1209" spans="3:3" x14ac:dyDescent="0.45">
      <c r="C1209" s="3"/>
    </row>
    <row r="1210" spans="3:3" x14ac:dyDescent="0.45">
      <c r="C1210" s="3"/>
    </row>
    <row r="1211" spans="3:3" x14ac:dyDescent="0.45">
      <c r="C1211" s="3"/>
    </row>
    <row r="1212" spans="3:3" x14ac:dyDescent="0.45">
      <c r="C1212" s="3"/>
    </row>
    <row r="1213" spans="3:3" x14ac:dyDescent="0.45">
      <c r="C1213" s="3"/>
    </row>
    <row r="1214" spans="3:3" x14ac:dyDescent="0.45">
      <c r="C1214" s="3"/>
    </row>
    <row r="1215" spans="3:3" x14ac:dyDescent="0.45">
      <c r="C1215" s="3"/>
    </row>
    <row r="1216" spans="3:3" x14ac:dyDescent="0.45">
      <c r="C1216" s="3"/>
    </row>
    <row r="1217" spans="3:3" x14ac:dyDescent="0.45">
      <c r="C1217" s="3"/>
    </row>
    <row r="1218" spans="3:3" x14ac:dyDescent="0.45">
      <c r="C1218" s="3"/>
    </row>
    <row r="1219" spans="3:3" x14ac:dyDescent="0.45">
      <c r="C1219" s="3"/>
    </row>
    <row r="1220" spans="3:3" x14ac:dyDescent="0.45">
      <c r="C1220" s="3"/>
    </row>
    <row r="1221" spans="3:3" x14ac:dyDescent="0.45">
      <c r="C1221" s="3"/>
    </row>
    <row r="1222" spans="3:3" x14ac:dyDescent="0.45">
      <c r="C1222" s="3"/>
    </row>
    <row r="1223" spans="3:3" x14ac:dyDescent="0.45">
      <c r="C1223" s="3"/>
    </row>
    <row r="1224" spans="3:3" x14ac:dyDescent="0.45">
      <c r="C1224" s="3"/>
    </row>
    <row r="1225" spans="3:3" x14ac:dyDescent="0.45">
      <c r="C1225" s="3"/>
    </row>
    <row r="1226" spans="3:3" x14ac:dyDescent="0.45">
      <c r="C1226" s="3"/>
    </row>
    <row r="1227" spans="3:3" x14ac:dyDescent="0.45">
      <c r="C1227" s="3"/>
    </row>
    <row r="1228" spans="3:3" x14ac:dyDescent="0.45">
      <c r="C1228" s="3"/>
    </row>
    <row r="1229" spans="3:3" x14ac:dyDescent="0.45">
      <c r="C1229" s="3"/>
    </row>
    <row r="1230" spans="3:3" x14ac:dyDescent="0.45">
      <c r="C1230" s="3"/>
    </row>
    <row r="1231" spans="3:3" x14ac:dyDescent="0.45">
      <c r="C1231" s="3"/>
    </row>
    <row r="1232" spans="3:3" x14ac:dyDescent="0.45">
      <c r="C1232" s="3"/>
    </row>
    <row r="1233" spans="3:3" x14ac:dyDescent="0.45">
      <c r="C1233" s="3"/>
    </row>
    <row r="1234" spans="3:3" x14ac:dyDescent="0.45">
      <c r="C1234" s="3"/>
    </row>
    <row r="1235" spans="3:3" x14ac:dyDescent="0.45">
      <c r="C1235" s="3"/>
    </row>
    <row r="1236" spans="3:3" x14ac:dyDescent="0.45">
      <c r="C1236" s="3"/>
    </row>
    <row r="1237" spans="3:3" x14ac:dyDescent="0.45">
      <c r="C1237" s="3"/>
    </row>
    <row r="1238" spans="3:3" x14ac:dyDescent="0.45">
      <c r="C1238" s="3"/>
    </row>
    <row r="1239" spans="3:3" x14ac:dyDescent="0.45">
      <c r="C1239" s="3"/>
    </row>
    <row r="1240" spans="3:3" x14ac:dyDescent="0.45">
      <c r="C1240" s="3"/>
    </row>
    <row r="1241" spans="3:3" x14ac:dyDescent="0.45">
      <c r="C1241" s="3"/>
    </row>
    <row r="1242" spans="3:3" x14ac:dyDescent="0.45">
      <c r="C1242" s="3"/>
    </row>
    <row r="1243" spans="3:3" x14ac:dyDescent="0.45">
      <c r="C1243" s="3"/>
    </row>
    <row r="1244" spans="3:3" x14ac:dyDescent="0.45">
      <c r="C1244" s="3"/>
    </row>
    <row r="1245" spans="3:3" x14ac:dyDescent="0.45">
      <c r="C1245" s="3"/>
    </row>
    <row r="1246" spans="3:3" x14ac:dyDescent="0.45">
      <c r="C1246" s="3"/>
    </row>
    <row r="1247" spans="3:3" x14ac:dyDescent="0.45">
      <c r="C1247" s="3"/>
    </row>
    <row r="1248" spans="3:3" x14ac:dyDescent="0.45">
      <c r="C1248" s="3"/>
    </row>
    <row r="1249" spans="3:3" x14ac:dyDescent="0.45">
      <c r="C1249" s="3"/>
    </row>
    <row r="1250" spans="3:3" x14ac:dyDescent="0.45">
      <c r="C1250" s="3"/>
    </row>
    <row r="1251" spans="3:3" x14ac:dyDescent="0.45">
      <c r="C1251" s="3"/>
    </row>
    <row r="1252" spans="3:3" x14ac:dyDescent="0.45">
      <c r="C1252" s="3"/>
    </row>
    <row r="1253" spans="3:3" x14ac:dyDescent="0.45">
      <c r="C1253" s="3"/>
    </row>
    <row r="1254" spans="3:3" x14ac:dyDescent="0.45">
      <c r="C1254" s="3"/>
    </row>
    <row r="1255" spans="3:3" x14ac:dyDescent="0.45">
      <c r="C1255" s="3"/>
    </row>
    <row r="1256" spans="3:3" x14ac:dyDescent="0.45">
      <c r="C1256" s="3"/>
    </row>
    <row r="1257" spans="3:3" x14ac:dyDescent="0.45">
      <c r="C1257" s="3"/>
    </row>
    <row r="1258" spans="3:3" x14ac:dyDescent="0.45">
      <c r="C1258" s="3"/>
    </row>
    <row r="1259" spans="3:3" x14ac:dyDescent="0.45">
      <c r="C1259" s="3"/>
    </row>
    <row r="1260" spans="3:3" x14ac:dyDescent="0.45">
      <c r="C1260" s="3"/>
    </row>
    <row r="1261" spans="3:3" x14ac:dyDescent="0.45">
      <c r="C1261" s="3"/>
    </row>
    <row r="1262" spans="3:3" x14ac:dyDescent="0.45">
      <c r="C1262" s="3"/>
    </row>
    <row r="1263" spans="3:3" x14ac:dyDescent="0.45">
      <c r="C1263" s="3"/>
    </row>
    <row r="1264" spans="3:3" x14ac:dyDescent="0.45">
      <c r="C1264" s="3"/>
    </row>
    <row r="1265" spans="3:3" x14ac:dyDescent="0.45">
      <c r="C1265" s="3"/>
    </row>
    <row r="1266" spans="3:3" x14ac:dyDescent="0.45">
      <c r="C1266" s="3"/>
    </row>
    <row r="1267" spans="3:3" x14ac:dyDescent="0.45">
      <c r="C1267" s="3"/>
    </row>
    <row r="1268" spans="3:3" x14ac:dyDescent="0.45">
      <c r="C1268" s="3"/>
    </row>
    <row r="1269" spans="3:3" x14ac:dyDescent="0.45">
      <c r="C1269" s="3"/>
    </row>
    <row r="1270" spans="3:3" x14ac:dyDescent="0.45">
      <c r="C1270" s="3"/>
    </row>
    <row r="1271" spans="3:3" x14ac:dyDescent="0.45">
      <c r="C1271" s="3"/>
    </row>
    <row r="1272" spans="3:3" x14ac:dyDescent="0.45">
      <c r="C1272" s="3"/>
    </row>
    <row r="1273" spans="3:3" x14ac:dyDescent="0.45">
      <c r="C1273" s="3"/>
    </row>
    <row r="1274" spans="3:3" x14ac:dyDescent="0.45">
      <c r="C1274" s="3"/>
    </row>
    <row r="1275" spans="3:3" x14ac:dyDescent="0.45">
      <c r="C1275" s="3"/>
    </row>
    <row r="1276" spans="3:3" x14ac:dyDescent="0.45">
      <c r="C1276" s="3"/>
    </row>
    <row r="1277" spans="3:3" x14ac:dyDescent="0.45">
      <c r="C1277" s="3"/>
    </row>
    <row r="1278" spans="3:3" x14ac:dyDescent="0.45">
      <c r="C1278" s="3"/>
    </row>
    <row r="1279" spans="3:3" x14ac:dyDescent="0.45">
      <c r="C1279" s="3"/>
    </row>
    <row r="1280" spans="3:3" x14ac:dyDescent="0.45">
      <c r="C1280" s="3"/>
    </row>
    <row r="1281" spans="3:3" x14ac:dyDescent="0.45">
      <c r="C1281" s="3"/>
    </row>
    <row r="1282" spans="3:3" x14ac:dyDescent="0.45">
      <c r="C1282" s="3"/>
    </row>
    <row r="1283" spans="3:3" x14ac:dyDescent="0.45">
      <c r="C1283" s="3"/>
    </row>
    <row r="1284" spans="3:3" x14ac:dyDescent="0.45">
      <c r="C1284" s="3"/>
    </row>
    <row r="1285" spans="3:3" x14ac:dyDescent="0.45">
      <c r="C1285" s="3"/>
    </row>
    <row r="1286" spans="3:3" x14ac:dyDescent="0.45">
      <c r="C1286" s="3"/>
    </row>
    <row r="1287" spans="3:3" x14ac:dyDescent="0.45">
      <c r="C1287" s="3"/>
    </row>
    <row r="1288" spans="3:3" x14ac:dyDescent="0.45">
      <c r="C1288" s="3"/>
    </row>
    <row r="1289" spans="3:3" x14ac:dyDescent="0.45">
      <c r="C1289" s="3"/>
    </row>
    <row r="1290" spans="3:3" x14ac:dyDescent="0.45">
      <c r="C1290" s="3"/>
    </row>
    <row r="1291" spans="3:3" x14ac:dyDescent="0.45">
      <c r="C1291" s="3"/>
    </row>
    <row r="1292" spans="3:3" x14ac:dyDescent="0.45">
      <c r="C1292" s="3"/>
    </row>
    <row r="1293" spans="3:3" x14ac:dyDescent="0.45">
      <c r="C1293" s="3"/>
    </row>
    <row r="1294" spans="3:3" x14ac:dyDescent="0.45">
      <c r="C1294" s="3"/>
    </row>
    <row r="1295" spans="3:3" x14ac:dyDescent="0.45">
      <c r="C1295" s="3"/>
    </row>
    <row r="1296" spans="3:3" x14ac:dyDescent="0.45">
      <c r="C1296" s="3"/>
    </row>
    <row r="1297" spans="3:3" x14ac:dyDescent="0.45">
      <c r="C1297" s="3"/>
    </row>
    <row r="1298" spans="3:3" x14ac:dyDescent="0.45">
      <c r="C1298" s="3"/>
    </row>
    <row r="1299" spans="3:3" x14ac:dyDescent="0.45">
      <c r="C1299" s="3"/>
    </row>
    <row r="1300" spans="3:3" x14ac:dyDescent="0.45">
      <c r="C1300" s="3"/>
    </row>
    <row r="1301" spans="3:3" x14ac:dyDescent="0.45">
      <c r="C1301" s="3"/>
    </row>
    <row r="1302" spans="3:3" x14ac:dyDescent="0.45">
      <c r="C1302" s="3"/>
    </row>
    <row r="1303" spans="3:3" x14ac:dyDescent="0.45">
      <c r="C1303" s="3"/>
    </row>
    <row r="1304" spans="3:3" x14ac:dyDescent="0.45">
      <c r="C1304" s="3"/>
    </row>
    <row r="1305" spans="3:3" x14ac:dyDescent="0.45">
      <c r="C1305" s="3"/>
    </row>
    <row r="1306" spans="3:3" x14ac:dyDescent="0.45">
      <c r="C1306" s="3"/>
    </row>
    <row r="1307" spans="3:3" x14ac:dyDescent="0.45">
      <c r="C1307" s="3"/>
    </row>
    <row r="1308" spans="3:3" x14ac:dyDescent="0.45">
      <c r="C1308" s="3"/>
    </row>
    <row r="1309" spans="3:3" x14ac:dyDescent="0.45">
      <c r="C1309" s="3"/>
    </row>
    <row r="1310" spans="3:3" x14ac:dyDescent="0.45">
      <c r="C1310" s="3"/>
    </row>
    <row r="1311" spans="3:3" x14ac:dyDescent="0.45">
      <c r="C1311" s="3"/>
    </row>
    <row r="1312" spans="3:3" x14ac:dyDescent="0.45">
      <c r="C1312" s="3"/>
    </row>
    <row r="1313" spans="3:3" x14ac:dyDescent="0.45">
      <c r="C1313" s="3"/>
    </row>
    <row r="1314" spans="3:3" x14ac:dyDescent="0.45">
      <c r="C1314" s="3"/>
    </row>
    <row r="1315" spans="3:3" x14ac:dyDescent="0.45">
      <c r="C1315" s="3"/>
    </row>
    <row r="1316" spans="3:3" x14ac:dyDescent="0.45">
      <c r="C1316" s="3"/>
    </row>
    <row r="1317" spans="3:3" x14ac:dyDescent="0.45">
      <c r="C1317" s="3"/>
    </row>
    <row r="1318" spans="3:3" x14ac:dyDescent="0.45">
      <c r="C1318" s="3"/>
    </row>
    <row r="1319" spans="3:3" x14ac:dyDescent="0.45">
      <c r="C1319" s="3"/>
    </row>
    <row r="1320" spans="3:3" x14ac:dyDescent="0.45">
      <c r="C1320" s="3"/>
    </row>
    <row r="1321" spans="3:3" x14ac:dyDescent="0.45">
      <c r="C1321" s="3"/>
    </row>
    <row r="1322" spans="3:3" x14ac:dyDescent="0.45">
      <c r="C1322" s="3"/>
    </row>
    <row r="1323" spans="3:3" x14ac:dyDescent="0.45">
      <c r="C1323" s="3"/>
    </row>
    <row r="1324" spans="3:3" x14ac:dyDescent="0.45">
      <c r="C1324" s="3"/>
    </row>
    <row r="1325" spans="3:3" x14ac:dyDescent="0.45">
      <c r="C1325" s="3"/>
    </row>
    <row r="1326" spans="3:3" x14ac:dyDescent="0.45">
      <c r="C1326" s="3"/>
    </row>
    <row r="1327" spans="3:3" x14ac:dyDescent="0.45">
      <c r="C1327" s="3"/>
    </row>
    <row r="1328" spans="3:3" x14ac:dyDescent="0.45">
      <c r="C1328" s="3"/>
    </row>
    <row r="1329" spans="3:3" x14ac:dyDescent="0.45">
      <c r="C1329" s="3"/>
    </row>
    <row r="1330" spans="3:3" x14ac:dyDescent="0.45">
      <c r="C1330" s="3"/>
    </row>
    <row r="1331" spans="3:3" x14ac:dyDescent="0.45">
      <c r="C1331" s="3"/>
    </row>
    <row r="1332" spans="3:3" x14ac:dyDescent="0.45">
      <c r="C1332" s="3"/>
    </row>
    <row r="1333" spans="3:3" x14ac:dyDescent="0.45">
      <c r="C1333" s="3"/>
    </row>
    <row r="1334" spans="3:3" x14ac:dyDescent="0.45">
      <c r="C1334" s="3"/>
    </row>
    <row r="1335" spans="3:3" x14ac:dyDescent="0.45">
      <c r="C1335" s="3"/>
    </row>
    <row r="1336" spans="3:3" x14ac:dyDescent="0.45">
      <c r="C1336" s="3"/>
    </row>
    <row r="1337" spans="3:3" x14ac:dyDescent="0.45">
      <c r="C1337" s="3"/>
    </row>
    <row r="1338" spans="3:3" x14ac:dyDescent="0.45">
      <c r="C1338" s="3"/>
    </row>
    <row r="1339" spans="3:3" x14ac:dyDescent="0.45">
      <c r="C1339" s="3"/>
    </row>
    <row r="1340" spans="3:3" x14ac:dyDescent="0.45">
      <c r="C1340" s="3"/>
    </row>
    <row r="1341" spans="3:3" x14ac:dyDescent="0.45">
      <c r="C1341" s="3"/>
    </row>
    <row r="1342" spans="3:3" x14ac:dyDescent="0.45">
      <c r="C1342" s="3"/>
    </row>
    <row r="1343" spans="3:3" x14ac:dyDescent="0.45">
      <c r="C1343" s="3"/>
    </row>
    <row r="1344" spans="3:3" x14ac:dyDescent="0.45">
      <c r="C1344" s="3"/>
    </row>
    <row r="1345" spans="3:3" x14ac:dyDescent="0.45">
      <c r="C1345" s="3"/>
    </row>
    <row r="1346" spans="3:3" x14ac:dyDescent="0.45">
      <c r="C1346" s="3"/>
    </row>
    <row r="1347" spans="3:3" x14ac:dyDescent="0.45">
      <c r="C1347" s="3"/>
    </row>
    <row r="1348" spans="3:3" x14ac:dyDescent="0.45">
      <c r="C1348" s="3"/>
    </row>
    <row r="1349" spans="3:3" x14ac:dyDescent="0.45">
      <c r="C1349" s="3"/>
    </row>
    <row r="1350" spans="3:3" x14ac:dyDescent="0.45">
      <c r="C1350" s="3"/>
    </row>
    <row r="1351" spans="3:3" x14ac:dyDescent="0.45">
      <c r="C1351" s="3"/>
    </row>
    <row r="1352" spans="3:3" x14ac:dyDescent="0.45">
      <c r="C1352" s="3"/>
    </row>
    <row r="1353" spans="3:3" x14ac:dyDescent="0.45">
      <c r="C1353" s="3"/>
    </row>
    <row r="1354" spans="3:3" x14ac:dyDescent="0.45">
      <c r="C1354" s="3"/>
    </row>
    <row r="1355" spans="3:3" x14ac:dyDescent="0.45">
      <c r="C1355" s="3"/>
    </row>
    <row r="1356" spans="3:3" x14ac:dyDescent="0.45">
      <c r="C1356" s="3"/>
    </row>
    <row r="1357" spans="3:3" x14ac:dyDescent="0.45">
      <c r="C1357" s="3"/>
    </row>
    <row r="1358" spans="3:3" x14ac:dyDescent="0.45">
      <c r="C1358" s="3"/>
    </row>
    <row r="1359" spans="3:3" x14ac:dyDescent="0.45">
      <c r="C1359" s="3"/>
    </row>
    <row r="1360" spans="3:3" x14ac:dyDescent="0.45">
      <c r="C1360" s="3"/>
    </row>
    <row r="1361" spans="3:3" x14ac:dyDescent="0.45">
      <c r="C1361" s="3"/>
    </row>
    <row r="1362" spans="3:3" x14ac:dyDescent="0.45">
      <c r="C1362" s="3"/>
    </row>
    <row r="1363" spans="3:3" x14ac:dyDescent="0.45">
      <c r="C1363" s="3"/>
    </row>
    <row r="1364" spans="3:3" x14ac:dyDescent="0.45">
      <c r="C1364" s="3"/>
    </row>
    <row r="1365" spans="3:3" x14ac:dyDescent="0.45">
      <c r="C1365" s="3"/>
    </row>
    <row r="1366" spans="3:3" x14ac:dyDescent="0.45">
      <c r="C1366" s="3"/>
    </row>
    <row r="1367" spans="3:3" x14ac:dyDescent="0.45">
      <c r="C1367" s="3"/>
    </row>
    <row r="1368" spans="3:3" x14ac:dyDescent="0.45">
      <c r="C1368" s="3"/>
    </row>
    <row r="1369" spans="3:3" x14ac:dyDescent="0.45">
      <c r="C1369" s="3"/>
    </row>
    <row r="1370" spans="3:3" x14ac:dyDescent="0.45">
      <c r="C1370" s="3"/>
    </row>
    <row r="1371" spans="3:3" x14ac:dyDescent="0.45">
      <c r="C1371" s="3"/>
    </row>
    <row r="1372" spans="3:3" x14ac:dyDescent="0.45">
      <c r="C1372" s="3"/>
    </row>
    <row r="1373" spans="3:3" x14ac:dyDescent="0.45">
      <c r="C1373" s="3"/>
    </row>
    <row r="1374" spans="3:3" x14ac:dyDescent="0.45">
      <c r="C1374" s="3"/>
    </row>
    <row r="1375" spans="3:3" x14ac:dyDescent="0.45">
      <c r="C1375" s="3"/>
    </row>
    <row r="1376" spans="3:3" x14ac:dyDescent="0.45">
      <c r="C1376" s="3"/>
    </row>
    <row r="1377" spans="3:3" x14ac:dyDescent="0.45">
      <c r="C1377" s="3"/>
    </row>
    <row r="1378" spans="3:3" x14ac:dyDescent="0.45">
      <c r="C1378" s="3"/>
    </row>
    <row r="1379" spans="3:3" x14ac:dyDescent="0.45">
      <c r="C1379" s="3"/>
    </row>
    <row r="1380" spans="3:3" x14ac:dyDescent="0.45">
      <c r="C1380" s="3"/>
    </row>
    <row r="1381" spans="3:3" x14ac:dyDescent="0.45">
      <c r="C1381" s="3"/>
    </row>
    <row r="1382" spans="3:3" x14ac:dyDescent="0.45">
      <c r="C1382" s="3"/>
    </row>
    <row r="1383" spans="3:3" x14ac:dyDescent="0.45">
      <c r="C1383" s="3"/>
    </row>
    <row r="1384" spans="3:3" x14ac:dyDescent="0.45">
      <c r="C1384" s="3"/>
    </row>
    <row r="1385" spans="3:3" x14ac:dyDescent="0.45">
      <c r="C1385" s="3"/>
    </row>
    <row r="1386" spans="3:3" x14ac:dyDescent="0.45">
      <c r="C1386" s="3"/>
    </row>
    <row r="1387" spans="3:3" x14ac:dyDescent="0.45">
      <c r="C1387" s="3"/>
    </row>
    <row r="1388" spans="3:3" x14ac:dyDescent="0.45">
      <c r="C1388" s="3"/>
    </row>
    <row r="1389" spans="3:3" x14ac:dyDescent="0.45">
      <c r="C1389" s="3"/>
    </row>
    <row r="1390" spans="3:3" x14ac:dyDescent="0.45">
      <c r="C1390" s="3"/>
    </row>
    <row r="1391" spans="3:3" x14ac:dyDescent="0.45">
      <c r="C1391" s="3"/>
    </row>
    <row r="1392" spans="3:3" x14ac:dyDescent="0.45">
      <c r="C1392" s="3"/>
    </row>
    <row r="1393" spans="3:3" x14ac:dyDescent="0.45">
      <c r="C1393" s="3"/>
    </row>
    <row r="1394" spans="3:3" x14ac:dyDescent="0.45">
      <c r="C1394" s="3"/>
    </row>
    <row r="1395" spans="3:3" x14ac:dyDescent="0.45">
      <c r="C1395" s="3"/>
    </row>
    <row r="1396" spans="3:3" x14ac:dyDescent="0.45">
      <c r="C1396" s="3"/>
    </row>
    <row r="1397" spans="3:3" x14ac:dyDescent="0.45">
      <c r="C1397" s="3"/>
    </row>
    <row r="1398" spans="3:3" x14ac:dyDescent="0.45">
      <c r="C1398" s="3"/>
    </row>
    <row r="1399" spans="3:3" x14ac:dyDescent="0.45">
      <c r="C1399" s="3"/>
    </row>
    <row r="1400" spans="3:3" x14ac:dyDescent="0.45">
      <c r="C1400" s="3"/>
    </row>
    <row r="1401" spans="3:3" x14ac:dyDescent="0.45">
      <c r="C1401" s="3"/>
    </row>
    <row r="1402" spans="3:3" x14ac:dyDescent="0.45">
      <c r="C1402" s="3"/>
    </row>
    <row r="1403" spans="3:3" x14ac:dyDescent="0.45">
      <c r="C1403" s="3"/>
    </row>
    <row r="1404" spans="3:3" x14ac:dyDescent="0.45">
      <c r="C1404" s="3"/>
    </row>
    <row r="1405" spans="3:3" x14ac:dyDescent="0.45">
      <c r="C1405" s="3"/>
    </row>
    <row r="1406" spans="3:3" x14ac:dyDescent="0.45">
      <c r="C1406" s="3"/>
    </row>
    <row r="1407" spans="3:3" x14ac:dyDescent="0.45">
      <c r="C1407" s="3"/>
    </row>
    <row r="1408" spans="3:3" x14ac:dyDescent="0.45">
      <c r="C1408" s="3"/>
    </row>
    <row r="1409" spans="3:3" x14ac:dyDescent="0.45">
      <c r="C1409" s="3"/>
    </row>
    <row r="1410" spans="3:3" x14ac:dyDescent="0.45">
      <c r="C1410" s="3"/>
    </row>
    <row r="1411" spans="3:3" x14ac:dyDescent="0.45">
      <c r="C1411" s="3"/>
    </row>
    <row r="1412" spans="3:3" x14ac:dyDescent="0.45">
      <c r="C1412" s="3"/>
    </row>
    <row r="1413" spans="3:3" x14ac:dyDescent="0.45">
      <c r="C1413" s="3"/>
    </row>
    <row r="1414" spans="3:3" x14ac:dyDescent="0.45">
      <c r="C1414" s="3"/>
    </row>
    <row r="1415" spans="3:3" x14ac:dyDescent="0.45">
      <c r="C1415" s="3"/>
    </row>
    <row r="1416" spans="3:3" x14ac:dyDescent="0.45">
      <c r="C1416" s="3"/>
    </row>
    <row r="1417" spans="3:3" x14ac:dyDescent="0.45">
      <c r="C1417" s="3"/>
    </row>
    <row r="1418" spans="3:3" x14ac:dyDescent="0.45">
      <c r="C1418" s="3"/>
    </row>
    <row r="1419" spans="3:3" x14ac:dyDescent="0.45">
      <c r="C1419" s="3"/>
    </row>
    <row r="1420" spans="3:3" x14ac:dyDescent="0.45">
      <c r="C1420" s="3"/>
    </row>
    <row r="1421" spans="3:3" x14ac:dyDescent="0.45">
      <c r="C1421" s="3"/>
    </row>
    <row r="1422" spans="3:3" x14ac:dyDescent="0.45">
      <c r="C1422" s="3"/>
    </row>
    <row r="1423" spans="3:3" x14ac:dyDescent="0.45">
      <c r="C1423" s="3"/>
    </row>
    <row r="1424" spans="3:3" x14ac:dyDescent="0.45">
      <c r="C1424" s="3"/>
    </row>
    <row r="1425" spans="3:3" x14ac:dyDescent="0.45">
      <c r="C1425" s="3"/>
    </row>
    <row r="1426" spans="3:3" x14ac:dyDescent="0.45">
      <c r="C1426" s="3"/>
    </row>
    <row r="1427" spans="3:3" x14ac:dyDescent="0.45">
      <c r="C1427" s="3"/>
    </row>
    <row r="1428" spans="3:3" x14ac:dyDescent="0.45">
      <c r="C1428" s="3"/>
    </row>
    <row r="1429" spans="3:3" x14ac:dyDescent="0.45">
      <c r="C1429" s="3"/>
    </row>
    <row r="1430" spans="3:3" x14ac:dyDescent="0.45">
      <c r="C1430" s="3"/>
    </row>
    <row r="1431" spans="3:3" x14ac:dyDescent="0.45">
      <c r="C1431" s="3"/>
    </row>
    <row r="1432" spans="3:3" x14ac:dyDescent="0.45">
      <c r="C1432" s="3"/>
    </row>
    <row r="1433" spans="3:3" x14ac:dyDescent="0.45">
      <c r="C1433" s="3"/>
    </row>
    <row r="1434" spans="3:3" x14ac:dyDescent="0.45">
      <c r="C1434" s="3"/>
    </row>
    <row r="1435" spans="3:3" x14ac:dyDescent="0.45">
      <c r="C1435" s="3"/>
    </row>
    <row r="1436" spans="3:3" x14ac:dyDescent="0.45">
      <c r="C1436" s="3"/>
    </row>
    <row r="1437" spans="3:3" x14ac:dyDescent="0.45">
      <c r="C1437" s="3"/>
    </row>
    <row r="1438" spans="3:3" x14ac:dyDescent="0.45">
      <c r="C1438" s="3"/>
    </row>
    <row r="1439" spans="3:3" x14ac:dyDescent="0.45">
      <c r="C1439" s="3"/>
    </row>
    <row r="1440" spans="3:3" x14ac:dyDescent="0.45">
      <c r="C1440" s="3"/>
    </row>
    <row r="1441" spans="3:3" x14ac:dyDescent="0.45">
      <c r="C1441" s="3"/>
    </row>
    <row r="1442" spans="3:3" x14ac:dyDescent="0.45">
      <c r="C1442" s="3"/>
    </row>
    <row r="1443" spans="3:3" x14ac:dyDescent="0.45">
      <c r="C1443" s="3"/>
    </row>
    <row r="1444" spans="3:3" x14ac:dyDescent="0.45">
      <c r="C1444" s="3"/>
    </row>
    <row r="1445" spans="3:3" x14ac:dyDescent="0.45">
      <c r="C1445" s="3"/>
    </row>
    <row r="1446" spans="3:3" x14ac:dyDescent="0.45">
      <c r="C1446" s="3"/>
    </row>
    <row r="1447" spans="3:3" x14ac:dyDescent="0.45">
      <c r="C1447" s="3"/>
    </row>
    <row r="1448" spans="3:3" x14ac:dyDescent="0.45">
      <c r="C1448" s="3"/>
    </row>
    <row r="1449" spans="3:3" x14ac:dyDescent="0.45">
      <c r="C1449" s="3"/>
    </row>
    <row r="1450" spans="3:3" x14ac:dyDescent="0.45">
      <c r="C1450" s="3"/>
    </row>
    <row r="1451" spans="3:3" x14ac:dyDescent="0.45">
      <c r="C1451" s="3"/>
    </row>
    <row r="1452" spans="3:3" x14ac:dyDescent="0.45">
      <c r="C1452" s="3"/>
    </row>
    <row r="1453" spans="3:3" x14ac:dyDescent="0.45">
      <c r="C1453" s="3"/>
    </row>
    <row r="1454" spans="3:3" x14ac:dyDescent="0.45">
      <c r="C1454" s="3"/>
    </row>
    <row r="1455" spans="3:3" x14ac:dyDescent="0.45">
      <c r="C1455" s="3"/>
    </row>
    <row r="1456" spans="3:3" x14ac:dyDescent="0.45">
      <c r="C1456" s="3"/>
    </row>
    <row r="1457" spans="3:3" x14ac:dyDescent="0.45">
      <c r="C1457" s="3"/>
    </row>
    <row r="1458" spans="3:3" x14ac:dyDescent="0.45">
      <c r="C1458" s="3"/>
    </row>
    <row r="1459" spans="3:3" x14ac:dyDescent="0.45">
      <c r="C1459" s="3"/>
    </row>
    <row r="1460" spans="3:3" x14ac:dyDescent="0.45">
      <c r="C1460" s="3"/>
    </row>
    <row r="1461" spans="3:3" x14ac:dyDescent="0.45">
      <c r="C1461" s="3"/>
    </row>
    <row r="1462" spans="3:3" x14ac:dyDescent="0.45">
      <c r="C1462" s="3"/>
    </row>
    <row r="1463" spans="3:3" x14ac:dyDescent="0.45">
      <c r="C1463" s="3"/>
    </row>
    <row r="1464" spans="3:3" x14ac:dyDescent="0.45">
      <c r="C1464" s="3"/>
    </row>
    <row r="1465" spans="3:3" x14ac:dyDescent="0.45">
      <c r="C1465" s="3"/>
    </row>
    <row r="1466" spans="3:3" x14ac:dyDescent="0.45">
      <c r="C1466" s="3"/>
    </row>
    <row r="1467" spans="3:3" x14ac:dyDescent="0.45">
      <c r="C1467" s="3"/>
    </row>
    <row r="1468" spans="3:3" x14ac:dyDescent="0.45">
      <c r="C1468" s="3"/>
    </row>
    <row r="1469" spans="3:3" x14ac:dyDescent="0.45">
      <c r="C1469" s="3"/>
    </row>
    <row r="1470" spans="3:3" x14ac:dyDescent="0.45">
      <c r="C1470" s="3"/>
    </row>
    <row r="1471" spans="3:3" x14ac:dyDescent="0.45">
      <c r="C1471" s="3"/>
    </row>
    <row r="1472" spans="3:3" x14ac:dyDescent="0.45">
      <c r="C1472" s="3"/>
    </row>
    <row r="1473" spans="3:3" x14ac:dyDescent="0.45">
      <c r="C1473" s="3"/>
    </row>
    <row r="1474" spans="3:3" x14ac:dyDescent="0.45">
      <c r="C1474" s="3"/>
    </row>
    <row r="1475" spans="3:3" x14ac:dyDescent="0.45">
      <c r="C1475" s="3"/>
    </row>
    <row r="1476" spans="3:3" x14ac:dyDescent="0.45">
      <c r="C1476" s="3"/>
    </row>
    <row r="1477" spans="3:3" x14ac:dyDescent="0.45">
      <c r="C1477" s="3"/>
    </row>
    <row r="1478" spans="3:3" x14ac:dyDescent="0.45">
      <c r="C1478" s="3"/>
    </row>
    <row r="1479" spans="3:3" x14ac:dyDescent="0.45">
      <c r="C1479" s="3"/>
    </row>
    <row r="1480" spans="3:3" x14ac:dyDescent="0.45">
      <c r="C1480" s="3"/>
    </row>
    <row r="1481" spans="3:3" x14ac:dyDescent="0.45">
      <c r="C1481" s="3"/>
    </row>
    <row r="1482" spans="3:3" x14ac:dyDescent="0.45">
      <c r="C1482" s="3"/>
    </row>
    <row r="1483" spans="3:3" x14ac:dyDescent="0.45">
      <c r="C1483" s="3"/>
    </row>
    <row r="1484" spans="3:3" x14ac:dyDescent="0.45">
      <c r="C1484" s="3"/>
    </row>
    <row r="1485" spans="3:3" x14ac:dyDescent="0.45">
      <c r="C1485" s="3"/>
    </row>
    <row r="1486" spans="3:3" x14ac:dyDescent="0.45">
      <c r="C1486" s="3"/>
    </row>
    <row r="1487" spans="3:3" x14ac:dyDescent="0.45">
      <c r="C1487" s="3"/>
    </row>
    <row r="1488" spans="3:3" x14ac:dyDescent="0.45">
      <c r="C1488" s="3"/>
    </row>
    <row r="1489" spans="3:3" x14ac:dyDescent="0.45">
      <c r="C1489" s="3"/>
    </row>
    <row r="1490" spans="3:3" x14ac:dyDescent="0.45">
      <c r="C1490" s="3"/>
    </row>
    <row r="1491" spans="3:3" x14ac:dyDescent="0.45">
      <c r="C1491" s="3"/>
    </row>
    <row r="1492" spans="3:3" x14ac:dyDescent="0.45">
      <c r="C1492" s="3"/>
    </row>
    <row r="1493" spans="3:3" x14ac:dyDescent="0.45">
      <c r="C1493" s="3"/>
    </row>
    <row r="1494" spans="3:3" x14ac:dyDescent="0.45">
      <c r="C1494" s="3"/>
    </row>
    <row r="1495" spans="3:3" x14ac:dyDescent="0.45">
      <c r="C1495" s="3"/>
    </row>
    <row r="1496" spans="3:3" x14ac:dyDescent="0.45">
      <c r="C1496" s="3"/>
    </row>
    <row r="1497" spans="3:3" x14ac:dyDescent="0.45">
      <c r="C1497" s="3"/>
    </row>
    <row r="1498" spans="3:3" x14ac:dyDescent="0.45">
      <c r="C1498" s="3"/>
    </row>
    <row r="1499" spans="3:3" x14ac:dyDescent="0.45">
      <c r="C1499" s="3"/>
    </row>
    <row r="1500" spans="3:3" x14ac:dyDescent="0.45">
      <c r="C1500" s="3"/>
    </row>
    <row r="1501" spans="3:3" x14ac:dyDescent="0.45">
      <c r="C1501" s="3"/>
    </row>
    <row r="1502" spans="3:3" x14ac:dyDescent="0.45">
      <c r="C1502" s="3"/>
    </row>
    <row r="1503" spans="3:3" x14ac:dyDescent="0.45">
      <c r="C1503" s="3"/>
    </row>
    <row r="1504" spans="3:3" x14ac:dyDescent="0.45">
      <c r="C1504" s="3"/>
    </row>
    <row r="1505" spans="3:3" x14ac:dyDescent="0.45">
      <c r="C1505" s="3"/>
    </row>
    <row r="1506" spans="3:3" x14ac:dyDescent="0.45">
      <c r="C1506" s="3"/>
    </row>
    <row r="1507" spans="3:3" x14ac:dyDescent="0.45">
      <c r="C1507" s="3"/>
    </row>
    <row r="1508" spans="3:3" x14ac:dyDescent="0.45">
      <c r="C1508" s="3"/>
    </row>
    <row r="1509" spans="3:3" x14ac:dyDescent="0.45">
      <c r="C1509" s="3"/>
    </row>
    <row r="1510" spans="3:3" x14ac:dyDescent="0.45">
      <c r="C1510" s="3"/>
    </row>
    <row r="1511" spans="3:3" x14ac:dyDescent="0.45">
      <c r="C1511" s="3"/>
    </row>
    <row r="1512" spans="3:3" x14ac:dyDescent="0.45">
      <c r="C1512" s="3"/>
    </row>
    <row r="1513" spans="3:3" x14ac:dyDescent="0.45">
      <c r="C1513" s="3"/>
    </row>
    <row r="1514" spans="3:3" x14ac:dyDescent="0.45">
      <c r="C1514" s="3"/>
    </row>
    <row r="1515" spans="3:3" x14ac:dyDescent="0.45">
      <c r="C1515" s="3"/>
    </row>
    <row r="1516" spans="3:3" x14ac:dyDescent="0.45">
      <c r="C1516" s="3"/>
    </row>
    <row r="1517" spans="3:3" x14ac:dyDescent="0.45">
      <c r="C1517" s="3"/>
    </row>
    <row r="1518" spans="3:3" x14ac:dyDescent="0.45">
      <c r="C1518" s="3"/>
    </row>
    <row r="1519" spans="3:3" x14ac:dyDescent="0.45">
      <c r="C1519" s="3"/>
    </row>
    <row r="1520" spans="3:3" x14ac:dyDescent="0.45">
      <c r="C1520" s="3"/>
    </row>
    <row r="1521" spans="3:3" x14ac:dyDescent="0.45">
      <c r="C1521" s="3"/>
    </row>
    <row r="1522" spans="3:3" x14ac:dyDescent="0.45">
      <c r="C1522" s="3"/>
    </row>
    <row r="1523" spans="3:3" x14ac:dyDescent="0.45">
      <c r="C1523" s="3"/>
    </row>
    <row r="1524" spans="3:3" x14ac:dyDescent="0.45">
      <c r="C1524" s="3"/>
    </row>
    <row r="1525" spans="3:3" x14ac:dyDescent="0.45">
      <c r="C1525" s="3"/>
    </row>
    <row r="1526" spans="3:3" x14ac:dyDescent="0.45">
      <c r="C1526" s="3"/>
    </row>
    <row r="1527" spans="3:3" x14ac:dyDescent="0.45">
      <c r="C1527" s="3"/>
    </row>
    <row r="1528" spans="3:3" x14ac:dyDescent="0.45">
      <c r="C1528" s="3"/>
    </row>
    <row r="1529" spans="3:3" x14ac:dyDescent="0.45">
      <c r="C1529" s="3"/>
    </row>
    <row r="1530" spans="3:3" x14ac:dyDescent="0.45">
      <c r="C1530" s="3"/>
    </row>
    <row r="1531" spans="3:3" x14ac:dyDescent="0.45">
      <c r="C1531" s="3"/>
    </row>
    <row r="1532" spans="3:3" x14ac:dyDescent="0.45">
      <c r="C1532" s="3"/>
    </row>
    <row r="1533" spans="3:3" x14ac:dyDescent="0.45">
      <c r="C1533" s="3"/>
    </row>
    <row r="1534" spans="3:3" x14ac:dyDescent="0.45">
      <c r="C1534" s="3"/>
    </row>
    <row r="1535" spans="3:3" x14ac:dyDescent="0.45">
      <c r="C1535" s="3"/>
    </row>
    <row r="1536" spans="3:3" x14ac:dyDescent="0.45">
      <c r="C1536" s="3"/>
    </row>
    <row r="1537" spans="3:3" x14ac:dyDescent="0.45">
      <c r="C1537" s="3"/>
    </row>
    <row r="1538" spans="3:3" x14ac:dyDescent="0.45">
      <c r="C1538" s="3"/>
    </row>
    <row r="1539" spans="3:3" x14ac:dyDescent="0.45">
      <c r="C1539" s="3"/>
    </row>
    <row r="1540" spans="3:3" x14ac:dyDescent="0.45">
      <c r="C1540" s="3"/>
    </row>
    <row r="1541" spans="3:3" x14ac:dyDescent="0.45">
      <c r="C1541" s="3"/>
    </row>
    <row r="1542" spans="3:3" x14ac:dyDescent="0.45">
      <c r="C1542" s="3"/>
    </row>
    <row r="1543" spans="3:3" x14ac:dyDescent="0.45">
      <c r="C1543" s="3"/>
    </row>
    <row r="1544" spans="3:3" x14ac:dyDescent="0.45">
      <c r="C1544" s="3"/>
    </row>
    <row r="1545" spans="3:3" x14ac:dyDescent="0.45">
      <c r="C1545" s="3"/>
    </row>
    <row r="1546" spans="3:3" x14ac:dyDescent="0.45">
      <c r="C1546" s="3"/>
    </row>
    <row r="1547" spans="3:3" x14ac:dyDescent="0.45">
      <c r="C1547" s="3"/>
    </row>
    <row r="1548" spans="3:3" x14ac:dyDescent="0.45">
      <c r="C1548" s="3"/>
    </row>
    <row r="1549" spans="3:3" x14ac:dyDescent="0.45">
      <c r="C1549" s="3"/>
    </row>
    <row r="1550" spans="3:3" x14ac:dyDescent="0.45">
      <c r="C1550" s="3"/>
    </row>
    <row r="1551" spans="3:3" x14ac:dyDescent="0.45">
      <c r="C1551" s="3"/>
    </row>
    <row r="1552" spans="3:3" x14ac:dyDescent="0.45">
      <c r="C1552" s="3"/>
    </row>
    <row r="1553" spans="3:3" x14ac:dyDescent="0.45">
      <c r="C1553" s="3"/>
    </row>
    <row r="1554" spans="3:3" x14ac:dyDescent="0.45">
      <c r="C1554" s="3"/>
    </row>
    <row r="1555" spans="3:3" x14ac:dyDescent="0.45">
      <c r="C1555" s="3"/>
    </row>
    <row r="1556" spans="3:3" x14ac:dyDescent="0.45">
      <c r="C1556" s="3"/>
    </row>
    <row r="1557" spans="3:3" x14ac:dyDescent="0.45">
      <c r="C1557" s="3"/>
    </row>
    <row r="1558" spans="3:3" x14ac:dyDescent="0.45">
      <c r="C1558" s="3"/>
    </row>
    <row r="1559" spans="3:3" x14ac:dyDescent="0.45">
      <c r="C1559" s="3"/>
    </row>
    <row r="1560" spans="3:3" x14ac:dyDescent="0.45">
      <c r="C1560" s="3"/>
    </row>
    <row r="1561" spans="3:3" x14ac:dyDescent="0.45">
      <c r="C1561" s="3"/>
    </row>
    <row r="1562" spans="3:3" x14ac:dyDescent="0.45">
      <c r="C1562" s="3"/>
    </row>
    <row r="1563" spans="3:3" x14ac:dyDescent="0.45">
      <c r="C1563" s="3"/>
    </row>
    <row r="1564" spans="3:3" x14ac:dyDescent="0.45">
      <c r="C1564" s="3"/>
    </row>
    <row r="1565" spans="3:3" x14ac:dyDescent="0.45">
      <c r="C1565" s="3"/>
    </row>
    <row r="1566" spans="3:3" x14ac:dyDescent="0.45">
      <c r="C1566" s="3"/>
    </row>
    <row r="1567" spans="3:3" x14ac:dyDescent="0.45">
      <c r="C1567" s="3"/>
    </row>
    <row r="1568" spans="3:3" x14ac:dyDescent="0.45">
      <c r="C1568" s="3"/>
    </row>
    <row r="1569" spans="3:3" x14ac:dyDescent="0.45">
      <c r="C1569" s="3"/>
    </row>
    <row r="1570" spans="3:3" x14ac:dyDescent="0.45">
      <c r="C1570" s="3"/>
    </row>
    <row r="1571" spans="3:3" x14ac:dyDescent="0.45">
      <c r="C1571" s="3"/>
    </row>
    <row r="1572" spans="3:3" x14ac:dyDescent="0.45">
      <c r="C1572" s="3"/>
    </row>
    <row r="1573" spans="3:3" x14ac:dyDescent="0.45">
      <c r="C1573" s="3"/>
    </row>
    <row r="1574" spans="3:3" x14ac:dyDescent="0.45">
      <c r="C1574" s="3"/>
    </row>
    <row r="1575" spans="3:3" x14ac:dyDescent="0.45">
      <c r="C1575" s="3"/>
    </row>
    <row r="1576" spans="3:3" x14ac:dyDescent="0.45">
      <c r="C1576" s="3"/>
    </row>
    <row r="1577" spans="3:3" x14ac:dyDescent="0.45">
      <c r="C1577" s="3"/>
    </row>
    <row r="1578" spans="3:3" x14ac:dyDescent="0.45">
      <c r="C1578" s="3"/>
    </row>
    <row r="1579" spans="3:3" x14ac:dyDescent="0.45">
      <c r="C1579" s="3"/>
    </row>
    <row r="1580" spans="3:3" x14ac:dyDescent="0.45">
      <c r="C1580" s="3"/>
    </row>
    <row r="1581" spans="3:3" x14ac:dyDescent="0.45">
      <c r="C1581" s="3"/>
    </row>
    <row r="1582" spans="3:3" x14ac:dyDescent="0.45">
      <c r="C1582" s="3"/>
    </row>
    <row r="1583" spans="3:3" x14ac:dyDescent="0.45">
      <c r="C1583" s="3"/>
    </row>
    <row r="1584" spans="3:3" x14ac:dyDescent="0.45">
      <c r="C1584" s="3"/>
    </row>
    <row r="1585" spans="3:3" x14ac:dyDescent="0.45">
      <c r="C1585" s="3"/>
    </row>
    <row r="1586" spans="3:3" x14ac:dyDescent="0.45">
      <c r="C1586" s="3"/>
    </row>
    <row r="1587" spans="3:3" x14ac:dyDescent="0.45">
      <c r="C1587" s="3"/>
    </row>
    <row r="1588" spans="3:3" x14ac:dyDescent="0.45">
      <c r="C1588" s="3"/>
    </row>
    <row r="1589" spans="3:3" x14ac:dyDescent="0.45">
      <c r="C1589" s="3"/>
    </row>
    <row r="1590" spans="3:3" x14ac:dyDescent="0.45">
      <c r="C1590" s="3"/>
    </row>
    <row r="1591" spans="3:3" x14ac:dyDescent="0.45">
      <c r="C1591" s="3"/>
    </row>
    <row r="1592" spans="3:3" x14ac:dyDescent="0.45">
      <c r="C1592" s="3"/>
    </row>
    <row r="1593" spans="3:3" x14ac:dyDescent="0.45">
      <c r="C1593" s="3"/>
    </row>
    <row r="1594" spans="3:3" x14ac:dyDescent="0.45">
      <c r="C1594" s="3"/>
    </row>
    <row r="1595" spans="3:3" x14ac:dyDescent="0.45">
      <c r="C1595" s="3"/>
    </row>
    <row r="1596" spans="3:3" x14ac:dyDescent="0.45">
      <c r="C1596" s="3"/>
    </row>
    <row r="1597" spans="3:3" x14ac:dyDescent="0.45">
      <c r="C1597" s="3"/>
    </row>
    <row r="1598" spans="3:3" x14ac:dyDescent="0.45">
      <c r="C1598" s="3"/>
    </row>
    <row r="1599" spans="3:3" x14ac:dyDescent="0.45">
      <c r="C1599" s="3"/>
    </row>
    <row r="1600" spans="3:3" x14ac:dyDescent="0.45">
      <c r="C1600" s="3"/>
    </row>
    <row r="1601" spans="3:3" x14ac:dyDescent="0.45">
      <c r="C1601" s="3"/>
    </row>
    <row r="1602" spans="3:3" x14ac:dyDescent="0.45">
      <c r="C1602" s="3"/>
    </row>
    <row r="1603" spans="3:3" x14ac:dyDescent="0.45">
      <c r="C1603" s="3"/>
    </row>
    <row r="1604" spans="3:3" x14ac:dyDescent="0.45">
      <c r="C1604" s="3"/>
    </row>
    <row r="1605" spans="3:3" x14ac:dyDescent="0.45">
      <c r="C1605" s="3"/>
    </row>
    <row r="1606" spans="3:3" x14ac:dyDescent="0.45">
      <c r="C1606" s="3"/>
    </row>
    <row r="1607" spans="3:3" x14ac:dyDescent="0.45">
      <c r="C1607" s="3"/>
    </row>
    <row r="1608" spans="3:3" x14ac:dyDescent="0.45">
      <c r="C1608" s="3"/>
    </row>
    <row r="1609" spans="3:3" x14ac:dyDescent="0.45">
      <c r="C1609" s="3"/>
    </row>
    <row r="1610" spans="3:3" x14ac:dyDescent="0.45">
      <c r="C1610" s="3"/>
    </row>
    <row r="1611" spans="3:3" x14ac:dyDescent="0.45">
      <c r="C1611" s="3"/>
    </row>
    <row r="1612" spans="3:3" x14ac:dyDescent="0.45">
      <c r="C1612" s="3"/>
    </row>
    <row r="1613" spans="3:3" x14ac:dyDescent="0.45">
      <c r="C1613" s="3"/>
    </row>
    <row r="1614" spans="3:3" x14ac:dyDescent="0.45">
      <c r="C1614" s="3"/>
    </row>
    <row r="1615" spans="3:3" x14ac:dyDescent="0.45">
      <c r="C1615" s="3"/>
    </row>
    <row r="1616" spans="3:3" x14ac:dyDescent="0.45">
      <c r="C1616" s="3"/>
    </row>
    <row r="1617" spans="3:3" x14ac:dyDescent="0.45">
      <c r="C1617" s="3"/>
    </row>
    <row r="1618" spans="3:3" x14ac:dyDescent="0.45">
      <c r="C1618" s="3"/>
    </row>
    <row r="1619" spans="3:3" x14ac:dyDescent="0.45">
      <c r="C1619" s="3"/>
    </row>
    <row r="1620" spans="3:3" x14ac:dyDescent="0.45">
      <c r="C1620" s="3"/>
    </row>
    <row r="1621" spans="3:3" x14ac:dyDescent="0.45">
      <c r="C1621" s="3"/>
    </row>
    <row r="1622" spans="3:3" x14ac:dyDescent="0.45">
      <c r="C1622" s="3"/>
    </row>
    <row r="1623" spans="3:3" x14ac:dyDescent="0.45">
      <c r="C1623" s="3"/>
    </row>
    <row r="1624" spans="3:3" x14ac:dyDescent="0.45">
      <c r="C1624" s="3"/>
    </row>
    <row r="1625" spans="3:3" x14ac:dyDescent="0.45">
      <c r="C1625" s="3"/>
    </row>
    <row r="1626" spans="3:3" x14ac:dyDescent="0.45">
      <c r="C1626" s="3"/>
    </row>
    <row r="1627" spans="3:3" x14ac:dyDescent="0.45">
      <c r="C1627" s="3"/>
    </row>
    <row r="1628" spans="3:3" x14ac:dyDescent="0.45">
      <c r="C1628" s="3"/>
    </row>
    <row r="1629" spans="3:3" x14ac:dyDescent="0.45">
      <c r="C1629" s="3"/>
    </row>
    <row r="1630" spans="3:3" x14ac:dyDescent="0.45">
      <c r="C1630" s="3"/>
    </row>
    <row r="1631" spans="3:3" x14ac:dyDescent="0.45">
      <c r="C1631" s="3"/>
    </row>
    <row r="1632" spans="3:3" x14ac:dyDescent="0.45">
      <c r="C1632" s="3"/>
    </row>
    <row r="1633" spans="3:3" x14ac:dyDescent="0.45">
      <c r="C1633" s="3"/>
    </row>
    <row r="1634" spans="3:3" x14ac:dyDescent="0.45">
      <c r="C1634" s="3"/>
    </row>
    <row r="1635" spans="3:3" x14ac:dyDescent="0.45">
      <c r="C1635" s="3"/>
    </row>
    <row r="1636" spans="3:3" x14ac:dyDescent="0.45">
      <c r="C1636" s="3"/>
    </row>
    <row r="1637" spans="3:3" x14ac:dyDescent="0.45">
      <c r="C1637" s="3"/>
    </row>
    <row r="1638" spans="3:3" x14ac:dyDescent="0.45">
      <c r="C1638" s="3"/>
    </row>
    <row r="1639" spans="3:3" x14ac:dyDescent="0.45">
      <c r="C1639" s="3"/>
    </row>
    <row r="1640" spans="3:3" x14ac:dyDescent="0.45">
      <c r="C1640" s="3"/>
    </row>
    <row r="1641" spans="3:3" x14ac:dyDescent="0.45">
      <c r="C1641" s="3"/>
    </row>
    <row r="1642" spans="3:3" x14ac:dyDescent="0.45">
      <c r="C1642" s="3"/>
    </row>
    <row r="1643" spans="3:3" x14ac:dyDescent="0.45">
      <c r="C1643" s="3"/>
    </row>
    <row r="1644" spans="3:3" x14ac:dyDescent="0.45">
      <c r="C1644" s="3"/>
    </row>
    <row r="1645" spans="3:3" x14ac:dyDescent="0.45">
      <c r="C1645" s="3"/>
    </row>
    <row r="1646" spans="3:3" x14ac:dyDescent="0.45">
      <c r="C1646" s="3"/>
    </row>
    <row r="1647" spans="3:3" x14ac:dyDescent="0.45">
      <c r="C1647" s="3"/>
    </row>
    <row r="1648" spans="3:3" x14ac:dyDescent="0.45">
      <c r="C1648" s="3"/>
    </row>
    <row r="1649" spans="3:3" x14ac:dyDescent="0.45">
      <c r="C1649" s="3"/>
    </row>
    <row r="1650" spans="3:3" x14ac:dyDescent="0.45">
      <c r="C1650" s="3"/>
    </row>
    <row r="1651" spans="3:3" x14ac:dyDescent="0.45">
      <c r="C1651" s="3"/>
    </row>
    <row r="1652" spans="3:3" x14ac:dyDescent="0.45">
      <c r="C1652" s="3"/>
    </row>
    <row r="1653" spans="3:3" x14ac:dyDescent="0.45">
      <c r="C1653" s="3"/>
    </row>
    <row r="1654" spans="3:3" x14ac:dyDescent="0.45">
      <c r="C1654" s="3"/>
    </row>
    <row r="1655" spans="3:3" x14ac:dyDescent="0.45">
      <c r="C1655" s="3"/>
    </row>
    <row r="1656" spans="3:3" x14ac:dyDescent="0.45">
      <c r="C1656" s="3"/>
    </row>
    <row r="1657" spans="3:3" x14ac:dyDescent="0.45">
      <c r="C1657" s="3"/>
    </row>
    <row r="1658" spans="3:3" x14ac:dyDescent="0.45">
      <c r="C1658" s="3"/>
    </row>
    <row r="1659" spans="3:3" x14ac:dyDescent="0.45">
      <c r="C1659" s="3"/>
    </row>
    <row r="1660" spans="3:3" x14ac:dyDescent="0.45">
      <c r="C1660" s="3"/>
    </row>
    <row r="1661" spans="3:3" x14ac:dyDescent="0.45">
      <c r="C1661" s="3"/>
    </row>
    <row r="1662" spans="3:3" x14ac:dyDescent="0.45">
      <c r="C1662" s="3"/>
    </row>
    <row r="1663" spans="3:3" x14ac:dyDescent="0.45">
      <c r="C1663" s="3"/>
    </row>
    <row r="1664" spans="3:3" x14ac:dyDescent="0.45">
      <c r="C1664" s="3"/>
    </row>
    <row r="1665" spans="3:3" x14ac:dyDescent="0.45">
      <c r="C1665" s="3"/>
    </row>
    <row r="1666" spans="3:3" x14ac:dyDescent="0.45">
      <c r="C1666" s="3"/>
    </row>
    <row r="1667" spans="3:3" x14ac:dyDescent="0.45">
      <c r="C1667" s="3"/>
    </row>
    <row r="1668" spans="3:3" x14ac:dyDescent="0.45">
      <c r="C1668" s="3"/>
    </row>
    <row r="1669" spans="3:3" x14ac:dyDescent="0.45">
      <c r="C1669" s="3"/>
    </row>
    <row r="1670" spans="3:3" x14ac:dyDescent="0.45">
      <c r="C1670" s="3"/>
    </row>
    <row r="1671" spans="3:3" x14ac:dyDescent="0.45">
      <c r="C1671" s="3"/>
    </row>
    <row r="1672" spans="3:3" x14ac:dyDescent="0.45">
      <c r="C1672" s="3"/>
    </row>
    <row r="1673" spans="3:3" x14ac:dyDescent="0.45">
      <c r="C1673" s="3"/>
    </row>
    <row r="1674" spans="3:3" x14ac:dyDescent="0.45">
      <c r="C1674" s="3"/>
    </row>
    <row r="1675" spans="3:3" x14ac:dyDescent="0.45">
      <c r="C1675" s="3"/>
    </row>
    <row r="1676" spans="3:3" x14ac:dyDescent="0.45">
      <c r="C1676" s="3"/>
    </row>
    <row r="1677" spans="3:3" x14ac:dyDescent="0.45">
      <c r="C1677" s="3"/>
    </row>
    <row r="1678" spans="3:3" x14ac:dyDescent="0.45">
      <c r="C1678" s="3"/>
    </row>
    <row r="1679" spans="3:3" x14ac:dyDescent="0.45">
      <c r="C1679" s="3"/>
    </row>
    <row r="1680" spans="3:3" x14ac:dyDescent="0.45">
      <c r="C1680" s="3"/>
    </row>
    <row r="1681" spans="3:3" x14ac:dyDescent="0.45">
      <c r="C1681" s="3"/>
    </row>
    <row r="1682" spans="3:3" x14ac:dyDescent="0.45">
      <c r="C1682" s="3"/>
    </row>
    <row r="1683" spans="3:3" x14ac:dyDescent="0.45">
      <c r="C1683" s="3"/>
    </row>
    <row r="1684" spans="3:3" x14ac:dyDescent="0.45">
      <c r="C1684" s="3"/>
    </row>
    <row r="1685" spans="3:3" x14ac:dyDescent="0.45">
      <c r="C1685" s="3"/>
    </row>
    <row r="1686" spans="3:3" x14ac:dyDescent="0.45">
      <c r="C1686" s="3"/>
    </row>
    <row r="1687" spans="3:3" x14ac:dyDescent="0.45">
      <c r="C1687" s="3"/>
    </row>
    <row r="1688" spans="3:3" x14ac:dyDescent="0.45">
      <c r="C1688" s="3"/>
    </row>
    <row r="1689" spans="3:3" x14ac:dyDescent="0.45">
      <c r="C1689" s="3"/>
    </row>
    <row r="1690" spans="3:3" x14ac:dyDescent="0.45">
      <c r="C1690" s="3"/>
    </row>
    <row r="1691" spans="3:3" x14ac:dyDescent="0.45">
      <c r="C1691" s="3"/>
    </row>
    <row r="1692" spans="3:3" x14ac:dyDescent="0.45">
      <c r="C1692" s="3"/>
    </row>
    <row r="1693" spans="3:3" x14ac:dyDescent="0.45">
      <c r="C1693" s="3"/>
    </row>
    <row r="1694" spans="3:3" x14ac:dyDescent="0.45">
      <c r="C1694" s="3"/>
    </row>
    <row r="1695" spans="3:3" x14ac:dyDescent="0.45">
      <c r="C1695" s="3"/>
    </row>
    <row r="1696" spans="3:3" x14ac:dyDescent="0.45">
      <c r="C1696" s="3"/>
    </row>
    <row r="1697" spans="3:3" x14ac:dyDescent="0.45">
      <c r="C1697" s="3"/>
    </row>
    <row r="1698" spans="3:3" x14ac:dyDescent="0.45">
      <c r="C1698" s="3"/>
    </row>
    <row r="1699" spans="3:3" x14ac:dyDescent="0.45">
      <c r="C1699" s="3"/>
    </row>
    <row r="1700" spans="3:3" x14ac:dyDescent="0.45">
      <c r="C1700" s="3"/>
    </row>
    <row r="1701" spans="3:3" x14ac:dyDescent="0.45">
      <c r="C1701" s="3"/>
    </row>
    <row r="1702" spans="3:3" x14ac:dyDescent="0.45">
      <c r="C1702" s="3"/>
    </row>
    <row r="1703" spans="3:3" x14ac:dyDescent="0.45">
      <c r="C1703" s="3"/>
    </row>
    <row r="1704" spans="3:3" x14ac:dyDescent="0.45">
      <c r="C1704" s="3"/>
    </row>
    <row r="1705" spans="3:3" x14ac:dyDescent="0.45">
      <c r="C1705" s="3"/>
    </row>
    <row r="1706" spans="3:3" x14ac:dyDescent="0.45">
      <c r="C1706" s="3"/>
    </row>
    <row r="1707" spans="3:3" x14ac:dyDescent="0.45">
      <c r="C1707" s="3"/>
    </row>
    <row r="1708" spans="3:3" x14ac:dyDescent="0.45">
      <c r="C1708" s="3"/>
    </row>
    <row r="1709" spans="3:3" x14ac:dyDescent="0.45">
      <c r="C1709" s="3"/>
    </row>
    <row r="1710" spans="3:3" x14ac:dyDescent="0.45">
      <c r="C1710" s="3"/>
    </row>
    <row r="1711" spans="3:3" x14ac:dyDescent="0.45">
      <c r="C1711" s="3"/>
    </row>
    <row r="1712" spans="3:3" x14ac:dyDescent="0.45">
      <c r="C1712" s="3"/>
    </row>
    <row r="1713" spans="3:3" x14ac:dyDescent="0.45">
      <c r="C1713" s="3"/>
    </row>
    <row r="1714" spans="3:3" x14ac:dyDescent="0.45">
      <c r="C1714" s="3"/>
    </row>
    <row r="1715" spans="3:3" x14ac:dyDescent="0.45">
      <c r="C1715" s="3"/>
    </row>
    <row r="1716" spans="3:3" x14ac:dyDescent="0.45">
      <c r="C1716" s="3"/>
    </row>
    <row r="1717" spans="3:3" x14ac:dyDescent="0.45">
      <c r="C1717" s="3"/>
    </row>
    <row r="1718" spans="3:3" x14ac:dyDescent="0.45">
      <c r="C1718" s="3"/>
    </row>
    <row r="1719" spans="3:3" x14ac:dyDescent="0.45">
      <c r="C1719" s="3"/>
    </row>
    <row r="1720" spans="3:3" x14ac:dyDescent="0.45">
      <c r="C1720" s="3"/>
    </row>
    <row r="1721" spans="3:3" x14ac:dyDescent="0.45">
      <c r="C1721" s="3"/>
    </row>
    <row r="1722" spans="3:3" x14ac:dyDescent="0.45">
      <c r="C1722" s="3"/>
    </row>
    <row r="1723" spans="3:3" x14ac:dyDescent="0.45">
      <c r="C1723" s="3"/>
    </row>
    <row r="1724" spans="3:3" x14ac:dyDescent="0.45">
      <c r="C1724" s="3"/>
    </row>
    <row r="1725" spans="3:3" x14ac:dyDescent="0.45">
      <c r="C1725" s="3"/>
    </row>
    <row r="1726" spans="3:3" x14ac:dyDescent="0.45">
      <c r="C1726" s="3"/>
    </row>
    <row r="1727" spans="3:3" x14ac:dyDescent="0.45">
      <c r="C1727" s="3"/>
    </row>
    <row r="1728" spans="3:3" x14ac:dyDescent="0.45">
      <c r="C1728" s="3"/>
    </row>
    <row r="1729" spans="3:3" x14ac:dyDescent="0.45">
      <c r="C1729" s="3"/>
    </row>
    <row r="1730" spans="3:3" x14ac:dyDescent="0.45">
      <c r="C1730" s="3"/>
    </row>
    <row r="1731" spans="3:3" x14ac:dyDescent="0.45">
      <c r="C1731" s="3"/>
    </row>
    <row r="1732" spans="3:3" x14ac:dyDescent="0.45">
      <c r="C1732" s="3"/>
    </row>
    <row r="1733" spans="3:3" x14ac:dyDescent="0.45">
      <c r="C1733" s="3"/>
    </row>
    <row r="1734" spans="3:3" x14ac:dyDescent="0.45">
      <c r="C1734" s="3"/>
    </row>
    <row r="1735" spans="3:3" x14ac:dyDescent="0.45">
      <c r="C1735" s="3"/>
    </row>
    <row r="1736" spans="3:3" x14ac:dyDescent="0.45">
      <c r="C1736" s="3"/>
    </row>
    <row r="1737" spans="3:3" x14ac:dyDescent="0.45">
      <c r="C1737" s="3"/>
    </row>
    <row r="1738" spans="3:3" x14ac:dyDescent="0.45">
      <c r="C1738" s="3"/>
    </row>
    <row r="1739" spans="3:3" x14ac:dyDescent="0.45">
      <c r="C1739" s="3"/>
    </row>
    <row r="1740" spans="3:3" x14ac:dyDescent="0.45">
      <c r="C1740" s="3"/>
    </row>
    <row r="1741" spans="3:3" x14ac:dyDescent="0.45">
      <c r="C1741" s="3"/>
    </row>
    <row r="1742" spans="3:3" x14ac:dyDescent="0.45">
      <c r="C1742" s="3"/>
    </row>
    <row r="1743" spans="3:3" x14ac:dyDescent="0.45">
      <c r="C1743" s="3"/>
    </row>
    <row r="1744" spans="3:3" x14ac:dyDescent="0.45">
      <c r="C1744" s="3"/>
    </row>
    <row r="1745" spans="3:3" x14ac:dyDescent="0.45">
      <c r="C1745" s="3"/>
    </row>
    <row r="1746" spans="3:3" x14ac:dyDescent="0.45">
      <c r="C1746" s="3"/>
    </row>
    <row r="1747" spans="3:3" x14ac:dyDescent="0.45">
      <c r="C1747" s="3"/>
    </row>
    <row r="1748" spans="3:3" x14ac:dyDescent="0.45">
      <c r="C1748" s="3"/>
    </row>
    <row r="1749" spans="3:3" x14ac:dyDescent="0.45">
      <c r="C1749" s="3"/>
    </row>
    <row r="1750" spans="3:3" x14ac:dyDescent="0.45">
      <c r="C1750" s="3"/>
    </row>
    <row r="1751" spans="3:3" x14ac:dyDescent="0.45">
      <c r="C1751" s="3"/>
    </row>
    <row r="1752" spans="3:3" x14ac:dyDescent="0.45">
      <c r="C1752" s="3"/>
    </row>
    <row r="1753" spans="3:3" x14ac:dyDescent="0.45">
      <c r="C1753" s="3"/>
    </row>
    <row r="1754" spans="3:3" x14ac:dyDescent="0.45">
      <c r="C1754" s="3"/>
    </row>
    <row r="1755" spans="3:3" x14ac:dyDescent="0.45">
      <c r="C1755" s="3"/>
    </row>
    <row r="1756" spans="3:3" x14ac:dyDescent="0.45">
      <c r="C1756" s="3"/>
    </row>
    <row r="1757" spans="3:3" x14ac:dyDescent="0.45">
      <c r="C1757" s="3"/>
    </row>
    <row r="1758" spans="3:3" x14ac:dyDescent="0.45">
      <c r="C1758" s="3"/>
    </row>
    <row r="1759" spans="3:3" x14ac:dyDescent="0.45">
      <c r="C1759" s="3"/>
    </row>
    <row r="1760" spans="3:3" x14ac:dyDescent="0.45">
      <c r="C1760" s="3"/>
    </row>
    <row r="1761" spans="3:3" x14ac:dyDescent="0.45">
      <c r="C1761" s="3"/>
    </row>
    <row r="1762" spans="3:3" x14ac:dyDescent="0.45">
      <c r="C1762" s="3"/>
    </row>
    <row r="1763" spans="3:3" x14ac:dyDescent="0.45">
      <c r="C1763" s="3"/>
    </row>
    <row r="1764" spans="3:3" x14ac:dyDescent="0.45">
      <c r="C1764" s="3"/>
    </row>
    <row r="1765" spans="3:3" x14ac:dyDescent="0.45">
      <c r="C1765" s="3"/>
    </row>
    <row r="1766" spans="3:3" x14ac:dyDescent="0.45">
      <c r="C1766" s="3"/>
    </row>
    <row r="1767" spans="3:3" x14ac:dyDescent="0.45">
      <c r="C1767" s="3"/>
    </row>
    <row r="1768" spans="3:3" x14ac:dyDescent="0.45">
      <c r="C1768" s="3"/>
    </row>
    <row r="1769" spans="3:3" x14ac:dyDescent="0.45">
      <c r="C1769" s="3"/>
    </row>
    <row r="1770" spans="3:3" x14ac:dyDescent="0.45">
      <c r="C1770" s="3"/>
    </row>
    <row r="1771" spans="3:3" x14ac:dyDescent="0.45">
      <c r="C1771" s="3"/>
    </row>
    <row r="1772" spans="3:3" x14ac:dyDescent="0.45">
      <c r="C1772" s="3"/>
    </row>
    <row r="1773" spans="3:3" x14ac:dyDescent="0.45">
      <c r="C1773" s="3"/>
    </row>
    <row r="1774" spans="3:3" x14ac:dyDescent="0.45">
      <c r="C1774" s="3"/>
    </row>
    <row r="1775" spans="3:3" x14ac:dyDescent="0.45">
      <c r="C1775" s="3"/>
    </row>
    <row r="1776" spans="3:3" x14ac:dyDescent="0.45">
      <c r="C1776" s="3"/>
    </row>
    <row r="1777" spans="3:3" x14ac:dyDescent="0.45">
      <c r="C1777" s="3"/>
    </row>
    <row r="1778" spans="3:3" x14ac:dyDescent="0.45">
      <c r="C1778" s="3"/>
    </row>
    <row r="1779" spans="3:3" x14ac:dyDescent="0.45">
      <c r="C1779" s="3"/>
    </row>
    <row r="1780" spans="3:3" x14ac:dyDescent="0.45">
      <c r="C1780" s="3"/>
    </row>
    <row r="1781" spans="3:3" x14ac:dyDescent="0.45">
      <c r="C1781" s="3"/>
    </row>
    <row r="1782" spans="3:3" x14ac:dyDescent="0.45">
      <c r="C1782" s="3"/>
    </row>
    <row r="1783" spans="3:3" x14ac:dyDescent="0.45">
      <c r="C1783" s="3"/>
    </row>
    <row r="1784" spans="3:3" x14ac:dyDescent="0.45">
      <c r="C1784" s="3"/>
    </row>
    <row r="1785" spans="3:3" x14ac:dyDescent="0.45">
      <c r="C1785" s="3"/>
    </row>
    <row r="1786" spans="3:3" x14ac:dyDescent="0.45">
      <c r="C1786" s="3"/>
    </row>
    <row r="1787" spans="3:3" x14ac:dyDescent="0.45">
      <c r="C1787" s="3"/>
    </row>
    <row r="1788" spans="3:3" x14ac:dyDescent="0.45">
      <c r="C1788" s="3"/>
    </row>
    <row r="1789" spans="3:3" x14ac:dyDescent="0.45">
      <c r="C1789" s="3"/>
    </row>
    <row r="1790" spans="3:3" x14ac:dyDescent="0.45">
      <c r="C1790" s="3"/>
    </row>
    <row r="1791" spans="3:3" x14ac:dyDescent="0.45">
      <c r="C1791" s="3"/>
    </row>
    <row r="1792" spans="3:3" x14ac:dyDescent="0.45">
      <c r="C1792" s="3"/>
    </row>
    <row r="1793" spans="3:3" x14ac:dyDescent="0.45">
      <c r="C1793" s="3"/>
    </row>
    <row r="1794" spans="3:3" x14ac:dyDescent="0.45">
      <c r="C1794" s="3"/>
    </row>
    <row r="1795" spans="3:3" x14ac:dyDescent="0.45">
      <c r="C1795" s="3"/>
    </row>
    <row r="1796" spans="3:3" x14ac:dyDescent="0.45">
      <c r="C1796" s="3"/>
    </row>
    <row r="1797" spans="3:3" x14ac:dyDescent="0.45">
      <c r="C1797" s="3"/>
    </row>
    <row r="1798" spans="3:3" x14ac:dyDescent="0.45">
      <c r="C1798" s="3"/>
    </row>
    <row r="1799" spans="3:3" x14ac:dyDescent="0.45">
      <c r="C1799" s="3"/>
    </row>
    <row r="1800" spans="3:3" x14ac:dyDescent="0.45">
      <c r="C1800" s="3"/>
    </row>
    <row r="1801" spans="3:3" x14ac:dyDescent="0.45">
      <c r="C1801" s="3"/>
    </row>
    <row r="1802" spans="3:3" x14ac:dyDescent="0.45">
      <c r="C1802" s="3"/>
    </row>
    <row r="1803" spans="3:3" x14ac:dyDescent="0.45">
      <c r="C1803" s="3"/>
    </row>
    <row r="1804" spans="3:3" x14ac:dyDescent="0.45">
      <c r="C1804" s="3"/>
    </row>
    <row r="1805" spans="3:3" x14ac:dyDescent="0.45">
      <c r="C1805" s="3"/>
    </row>
    <row r="1806" spans="3:3" x14ac:dyDescent="0.45">
      <c r="C1806" s="3"/>
    </row>
    <row r="1807" spans="3:3" x14ac:dyDescent="0.45">
      <c r="C1807" s="3"/>
    </row>
    <row r="1808" spans="3:3" x14ac:dyDescent="0.45">
      <c r="C1808" s="3"/>
    </row>
    <row r="1809" spans="3:3" x14ac:dyDescent="0.45">
      <c r="C1809" s="3"/>
    </row>
    <row r="1810" spans="3:3" x14ac:dyDescent="0.45">
      <c r="C1810" s="3"/>
    </row>
    <row r="1811" spans="3:3" x14ac:dyDescent="0.45">
      <c r="C1811" s="3"/>
    </row>
    <row r="1812" spans="3:3" x14ac:dyDescent="0.45">
      <c r="C1812" s="3"/>
    </row>
    <row r="1813" spans="3:3" x14ac:dyDescent="0.45">
      <c r="C1813" s="3"/>
    </row>
    <row r="1814" spans="3:3" x14ac:dyDescent="0.45">
      <c r="C1814" s="3"/>
    </row>
    <row r="1815" spans="3:3" x14ac:dyDescent="0.45">
      <c r="C1815" s="3"/>
    </row>
    <row r="1816" spans="3:3" x14ac:dyDescent="0.45">
      <c r="C1816" s="3"/>
    </row>
    <row r="1817" spans="3:3" x14ac:dyDescent="0.45">
      <c r="C1817" s="3"/>
    </row>
    <row r="1818" spans="3:3" x14ac:dyDescent="0.45">
      <c r="C1818" s="3"/>
    </row>
    <row r="1819" spans="3:3" x14ac:dyDescent="0.45">
      <c r="C1819" s="3"/>
    </row>
    <row r="1820" spans="3:3" x14ac:dyDescent="0.45">
      <c r="C1820" s="3"/>
    </row>
    <row r="1821" spans="3:3" x14ac:dyDescent="0.45">
      <c r="C1821" s="3"/>
    </row>
    <row r="1822" spans="3:3" x14ac:dyDescent="0.45">
      <c r="C1822" s="3"/>
    </row>
    <row r="1823" spans="3:3" x14ac:dyDescent="0.45">
      <c r="C1823" s="3"/>
    </row>
    <row r="1824" spans="3:3" x14ac:dyDescent="0.45">
      <c r="C1824" s="3"/>
    </row>
    <row r="1825" spans="3:3" x14ac:dyDescent="0.45">
      <c r="C1825" s="3"/>
    </row>
    <row r="1826" spans="3:3" x14ac:dyDescent="0.45">
      <c r="C1826" s="3"/>
    </row>
    <row r="1827" spans="3:3" x14ac:dyDescent="0.45">
      <c r="C1827" s="3"/>
    </row>
    <row r="1828" spans="3:3" x14ac:dyDescent="0.45">
      <c r="C1828" s="3"/>
    </row>
    <row r="1829" spans="3:3" x14ac:dyDescent="0.45">
      <c r="C1829" s="3"/>
    </row>
    <row r="1830" spans="3:3" x14ac:dyDescent="0.45">
      <c r="C1830" s="3"/>
    </row>
    <row r="1831" spans="3:3" x14ac:dyDescent="0.45">
      <c r="C1831" s="3"/>
    </row>
    <row r="1832" spans="3:3" x14ac:dyDescent="0.45">
      <c r="C1832" s="3"/>
    </row>
    <row r="1833" spans="3:3" x14ac:dyDescent="0.45">
      <c r="C1833" s="3"/>
    </row>
    <row r="1834" spans="3:3" x14ac:dyDescent="0.45">
      <c r="C1834" s="3"/>
    </row>
    <row r="1835" spans="3:3" x14ac:dyDescent="0.45">
      <c r="C1835" s="3"/>
    </row>
    <row r="1836" spans="3:3" x14ac:dyDescent="0.45">
      <c r="C1836" s="3"/>
    </row>
    <row r="1837" spans="3:3" x14ac:dyDescent="0.45">
      <c r="C1837" s="3"/>
    </row>
    <row r="1838" spans="3:3" x14ac:dyDescent="0.45">
      <c r="C1838" s="3"/>
    </row>
    <row r="1839" spans="3:3" x14ac:dyDescent="0.45">
      <c r="C1839" s="3"/>
    </row>
    <row r="1840" spans="3:3" x14ac:dyDescent="0.45">
      <c r="C1840" s="3"/>
    </row>
    <row r="1841" spans="3:3" x14ac:dyDescent="0.45">
      <c r="C1841" s="3"/>
    </row>
    <row r="1842" spans="3:3" x14ac:dyDescent="0.45">
      <c r="C1842" s="3"/>
    </row>
    <row r="1843" spans="3:3" x14ac:dyDescent="0.45">
      <c r="C1843" s="3"/>
    </row>
    <row r="1844" spans="3:3" x14ac:dyDescent="0.45">
      <c r="C1844" s="3"/>
    </row>
    <row r="1845" spans="3:3" x14ac:dyDescent="0.45">
      <c r="C1845" s="3"/>
    </row>
    <row r="1846" spans="3:3" x14ac:dyDescent="0.45">
      <c r="C1846" s="3"/>
    </row>
    <row r="1847" spans="3:3" x14ac:dyDescent="0.45">
      <c r="C1847" s="3"/>
    </row>
    <row r="1848" spans="3:3" x14ac:dyDescent="0.45">
      <c r="C1848" s="3"/>
    </row>
    <row r="1849" spans="3:3" x14ac:dyDescent="0.45">
      <c r="C1849" s="3"/>
    </row>
    <row r="1850" spans="3:3" x14ac:dyDescent="0.45">
      <c r="C1850" s="3"/>
    </row>
    <row r="1851" spans="3:3" x14ac:dyDescent="0.45">
      <c r="C1851" s="3"/>
    </row>
    <row r="1852" spans="3:3" x14ac:dyDescent="0.45">
      <c r="C1852" s="3"/>
    </row>
    <row r="1853" spans="3:3" x14ac:dyDescent="0.45">
      <c r="C1853" s="3"/>
    </row>
    <row r="1854" spans="3:3" x14ac:dyDescent="0.45">
      <c r="C1854" s="3"/>
    </row>
    <row r="1855" spans="3:3" x14ac:dyDescent="0.45">
      <c r="C1855" s="3"/>
    </row>
    <row r="1856" spans="3:3" x14ac:dyDescent="0.45">
      <c r="C1856" s="3"/>
    </row>
    <row r="1857" spans="3:3" x14ac:dyDescent="0.45">
      <c r="C1857" s="3"/>
    </row>
    <row r="1858" spans="3:3" x14ac:dyDescent="0.45">
      <c r="C1858" s="3"/>
    </row>
    <row r="1859" spans="3:3" x14ac:dyDescent="0.45">
      <c r="C1859" s="3"/>
    </row>
    <row r="1860" spans="3:3" x14ac:dyDescent="0.45">
      <c r="C1860" s="3"/>
    </row>
    <row r="1861" spans="3:3" x14ac:dyDescent="0.45">
      <c r="C1861" s="3"/>
    </row>
    <row r="1862" spans="3:3" x14ac:dyDescent="0.45">
      <c r="C1862" s="3"/>
    </row>
    <row r="1863" spans="3:3" x14ac:dyDescent="0.45">
      <c r="C1863" s="3"/>
    </row>
    <row r="1864" spans="3:3" x14ac:dyDescent="0.45">
      <c r="C1864" s="3"/>
    </row>
    <row r="1865" spans="3:3" x14ac:dyDescent="0.45">
      <c r="C1865" s="3"/>
    </row>
    <row r="1866" spans="3:3" x14ac:dyDescent="0.45">
      <c r="C1866" s="3"/>
    </row>
    <row r="1867" spans="3:3" x14ac:dyDescent="0.45">
      <c r="C1867" s="3"/>
    </row>
    <row r="1868" spans="3:3" x14ac:dyDescent="0.45">
      <c r="C1868" s="3"/>
    </row>
    <row r="1869" spans="3:3" x14ac:dyDescent="0.45">
      <c r="C1869" s="3"/>
    </row>
    <row r="1870" spans="3:3" x14ac:dyDescent="0.45">
      <c r="C1870" s="3"/>
    </row>
    <row r="1871" spans="3:3" x14ac:dyDescent="0.45">
      <c r="C1871" s="3"/>
    </row>
    <row r="1872" spans="3:3" x14ac:dyDescent="0.45">
      <c r="C1872" s="3"/>
    </row>
    <row r="1873" spans="3:3" x14ac:dyDescent="0.45">
      <c r="C1873" s="3"/>
    </row>
    <row r="1874" spans="3:3" x14ac:dyDescent="0.45">
      <c r="C1874" s="3"/>
    </row>
    <row r="1875" spans="3:3" x14ac:dyDescent="0.45">
      <c r="C1875" s="3"/>
    </row>
    <row r="1876" spans="3:3" x14ac:dyDescent="0.45">
      <c r="C1876" s="3"/>
    </row>
    <row r="1877" spans="3:3" x14ac:dyDescent="0.45">
      <c r="C1877" s="3"/>
    </row>
    <row r="1878" spans="3:3" x14ac:dyDescent="0.45">
      <c r="C1878" s="3"/>
    </row>
    <row r="1879" spans="3:3" x14ac:dyDescent="0.45">
      <c r="C1879" s="3"/>
    </row>
    <row r="1880" spans="3:3" x14ac:dyDescent="0.45">
      <c r="C1880" s="3"/>
    </row>
    <row r="1881" spans="3:3" x14ac:dyDescent="0.45">
      <c r="C1881" s="3"/>
    </row>
    <row r="1882" spans="3:3" x14ac:dyDescent="0.45">
      <c r="C1882" s="3"/>
    </row>
    <row r="1883" spans="3:3" x14ac:dyDescent="0.45">
      <c r="C1883" s="3"/>
    </row>
    <row r="1884" spans="3:3" x14ac:dyDescent="0.45">
      <c r="C1884" s="3"/>
    </row>
    <row r="1885" spans="3:3" x14ac:dyDescent="0.45">
      <c r="C1885" s="3"/>
    </row>
    <row r="1886" spans="3:3" x14ac:dyDescent="0.45">
      <c r="C1886" s="3"/>
    </row>
    <row r="1887" spans="3:3" x14ac:dyDescent="0.45">
      <c r="C1887" s="3"/>
    </row>
    <row r="1888" spans="3:3" x14ac:dyDescent="0.45">
      <c r="C1888" s="3"/>
    </row>
    <row r="1889" spans="3:3" x14ac:dyDescent="0.45">
      <c r="C1889" s="3"/>
    </row>
    <row r="1890" spans="3:3" x14ac:dyDescent="0.45">
      <c r="C1890" s="3"/>
    </row>
    <row r="1891" spans="3:3" x14ac:dyDescent="0.45">
      <c r="C1891" s="3"/>
    </row>
    <row r="1892" spans="3:3" x14ac:dyDescent="0.45">
      <c r="C1892" s="3"/>
    </row>
    <row r="1893" spans="3:3" x14ac:dyDescent="0.45">
      <c r="C1893" s="3"/>
    </row>
    <row r="1894" spans="3:3" x14ac:dyDescent="0.45">
      <c r="C1894" s="3"/>
    </row>
    <row r="1895" spans="3:3" x14ac:dyDescent="0.45">
      <c r="C1895" s="3"/>
    </row>
    <row r="1896" spans="3:3" x14ac:dyDescent="0.45">
      <c r="C1896" s="3"/>
    </row>
    <row r="1897" spans="3:3" x14ac:dyDescent="0.45">
      <c r="C1897" s="3"/>
    </row>
    <row r="1898" spans="3:3" x14ac:dyDescent="0.45">
      <c r="C1898" s="3"/>
    </row>
    <row r="1899" spans="3:3" x14ac:dyDescent="0.45">
      <c r="C1899" s="3"/>
    </row>
    <row r="1900" spans="3:3" x14ac:dyDescent="0.45">
      <c r="C1900" s="3"/>
    </row>
    <row r="1901" spans="3:3" x14ac:dyDescent="0.45">
      <c r="C1901" s="3"/>
    </row>
    <row r="1902" spans="3:3" x14ac:dyDescent="0.45">
      <c r="C1902" s="3"/>
    </row>
    <row r="1903" spans="3:3" x14ac:dyDescent="0.45">
      <c r="C1903" s="3"/>
    </row>
    <row r="1904" spans="3:3" x14ac:dyDescent="0.45">
      <c r="C1904" s="3"/>
    </row>
    <row r="1905" spans="3:3" x14ac:dyDescent="0.45">
      <c r="C1905" s="3"/>
    </row>
    <row r="1906" spans="3:3" x14ac:dyDescent="0.45">
      <c r="C1906" s="3"/>
    </row>
    <row r="1907" spans="3:3" x14ac:dyDescent="0.45">
      <c r="C1907" s="3"/>
    </row>
    <row r="1908" spans="3:3" x14ac:dyDescent="0.45">
      <c r="C1908" s="3"/>
    </row>
    <row r="1909" spans="3:3" x14ac:dyDescent="0.45">
      <c r="C1909" s="3"/>
    </row>
    <row r="1910" spans="3:3" x14ac:dyDescent="0.45">
      <c r="C1910" s="3"/>
    </row>
    <row r="1911" spans="3:3" x14ac:dyDescent="0.45">
      <c r="C1911" s="3"/>
    </row>
    <row r="1912" spans="3:3" x14ac:dyDescent="0.45">
      <c r="C1912" s="3"/>
    </row>
    <row r="1913" spans="3:3" x14ac:dyDescent="0.45">
      <c r="C1913" s="3"/>
    </row>
    <row r="1914" spans="3:3" x14ac:dyDescent="0.45">
      <c r="C1914" s="3"/>
    </row>
    <row r="1915" spans="3:3" x14ac:dyDescent="0.45">
      <c r="C1915" s="3"/>
    </row>
    <row r="1916" spans="3:3" x14ac:dyDescent="0.45">
      <c r="C1916" s="3"/>
    </row>
    <row r="1917" spans="3:3" x14ac:dyDescent="0.45">
      <c r="C1917" s="3"/>
    </row>
    <row r="1918" spans="3:3" x14ac:dyDescent="0.45">
      <c r="C1918" s="3"/>
    </row>
    <row r="1919" spans="3:3" x14ac:dyDescent="0.45">
      <c r="C1919" s="3"/>
    </row>
    <row r="1920" spans="3:3" x14ac:dyDescent="0.45">
      <c r="C1920" s="3"/>
    </row>
    <row r="1921" spans="3:3" x14ac:dyDescent="0.45">
      <c r="C1921" s="3"/>
    </row>
    <row r="1922" spans="3:3" x14ac:dyDescent="0.45">
      <c r="C1922" s="3"/>
    </row>
    <row r="1923" spans="3:3" x14ac:dyDescent="0.45">
      <c r="C1923" s="3"/>
    </row>
    <row r="1924" spans="3:3" x14ac:dyDescent="0.45">
      <c r="C1924" s="3"/>
    </row>
    <row r="1925" spans="3:3" x14ac:dyDescent="0.45">
      <c r="C1925" s="3"/>
    </row>
    <row r="1926" spans="3:3" x14ac:dyDescent="0.45">
      <c r="C1926" s="3"/>
    </row>
    <row r="1927" spans="3:3" x14ac:dyDescent="0.45">
      <c r="C1927" s="3"/>
    </row>
    <row r="1928" spans="3:3" x14ac:dyDescent="0.45">
      <c r="C1928" s="3"/>
    </row>
    <row r="1929" spans="3:3" x14ac:dyDescent="0.45">
      <c r="C1929" s="3"/>
    </row>
    <row r="1930" spans="3:3" x14ac:dyDescent="0.45">
      <c r="C1930" s="3"/>
    </row>
    <row r="1931" spans="3:3" x14ac:dyDescent="0.45">
      <c r="C1931" s="3"/>
    </row>
    <row r="1932" spans="3:3" x14ac:dyDescent="0.45">
      <c r="C1932" s="3"/>
    </row>
    <row r="1933" spans="3:3" x14ac:dyDescent="0.45">
      <c r="C1933" s="3"/>
    </row>
    <row r="1934" spans="3:3" x14ac:dyDescent="0.45">
      <c r="C1934" s="3"/>
    </row>
    <row r="1935" spans="3:3" x14ac:dyDescent="0.45">
      <c r="C1935" s="3"/>
    </row>
    <row r="1936" spans="3:3" x14ac:dyDescent="0.45">
      <c r="C1936" s="3"/>
    </row>
    <row r="1937" spans="3:3" x14ac:dyDescent="0.45">
      <c r="C1937" s="3"/>
    </row>
    <row r="1938" spans="3:3" x14ac:dyDescent="0.45">
      <c r="C1938" s="3"/>
    </row>
    <row r="1939" spans="3:3" x14ac:dyDescent="0.45">
      <c r="C1939" s="3"/>
    </row>
    <row r="1940" spans="3:3" x14ac:dyDescent="0.45">
      <c r="C1940" s="3"/>
    </row>
    <row r="1941" spans="3:3" x14ac:dyDescent="0.45">
      <c r="C1941" s="3"/>
    </row>
    <row r="1942" spans="3:3" x14ac:dyDescent="0.45">
      <c r="C1942" s="3"/>
    </row>
    <row r="1943" spans="3:3" x14ac:dyDescent="0.45">
      <c r="C1943" s="3"/>
    </row>
    <row r="1944" spans="3:3" x14ac:dyDescent="0.45">
      <c r="C1944" s="3"/>
    </row>
    <row r="1945" spans="3:3" x14ac:dyDescent="0.45">
      <c r="C1945" s="3"/>
    </row>
    <row r="1946" spans="3:3" x14ac:dyDescent="0.45">
      <c r="C1946" s="3"/>
    </row>
    <row r="1947" spans="3:3" x14ac:dyDescent="0.45">
      <c r="C1947" s="3"/>
    </row>
    <row r="1948" spans="3:3" x14ac:dyDescent="0.45">
      <c r="C1948" s="3"/>
    </row>
    <row r="1949" spans="3:3" x14ac:dyDescent="0.45">
      <c r="C1949" s="3"/>
    </row>
    <row r="1950" spans="3:3" x14ac:dyDescent="0.45">
      <c r="C1950" s="3"/>
    </row>
    <row r="1951" spans="3:3" x14ac:dyDescent="0.45">
      <c r="C1951" s="3"/>
    </row>
    <row r="1952" spans="3:3" x14ac:dyDescent="0.45">
      <c r="C1952" s="3"/>
    </row>
    <row r="1953" spans="3:3" x14ac:dyDescent="0.45">
      <c r="C1953" s="3"/>
    </row>
    <row r="1954" spans="3:3" x14ac:dyDescent="0.45">
      <c r="C1954" s="3"/>
    </row>
    <row r="1955" spans="3:3" x14ac:dyDescent="0.45">
      <c r="C1955" s="3"/>
    </row>
    <row r="1956" spans="3:3" x14ac:dyDescent="0.45">
      <c r="C1956" s="3"/>
    </row>
    <row r="1957" spans="3:3" x14ac:dyDescent="0.45">
      <c r="C1957" s="3"/>
    </row>
    <row r="1958" spans="3:3" x14ac:dyDescent="0.45">
      <c r="C1958" s="3"/>
    </row>
    <row r="1959" spans="3:3" x14ac:dyDescent="0.45">
      <c r="C1959" s="3"/>
    </row>
    <row r="1960" spans="3:3" x14ac:dyDescent="0.45">
      <c r="C1960" s="3"/>
    </row>
    <row r="1961" spans="3:3" x14ac:dyDescent="0.45">
      <c r="C1961" s="3"/>
    </row>
    <row r="1962" spans="3:3" x14ac:dyDescent="0.45">
      <c r="C1962" s="3"/>
    </row>
    <row r="1963" spans="3:3" x14ac:dyDescent="0.45">
      <c r="C1963" s="3"/>
    </row>
    <row r="1964" spans="3:3" x14ac:dyDescent="0.45">
      <c r="C1964" s="3"/>
    </row>
    <row r="1965" spans="3:3" x14ac:dyDescent="0.45">
      <c r="C1965" s="3"/>
    </row>
    <row r="1966" spans="3:3" x14ac:dyDescent="0.45">
      <c r="C1966" s="3"/>
    </row>
    <row r="1967" spans="3:3" x14ac:dyDescent="0.45">
      <c r="C1967" s="3"/>
    </row>
    <row r="1968" spans="3:3" x14ac:dyDescent="0.45">
      <c r="C1968" s="3"/>
    </row>
    <row r="1969" spans="3:3" x14ac:dyDescent="0.45">
      <c r="C1969" s="3"/>
    </row>
    <row r="1970" spans="3:3" x14ac:dyDescent="0.45">
      <c r="C1970" s="3"/>
    </row>
    <row r="1971" spans="3:3" x14ac:dyDescent="0.45">
      <c r="C1971" s="3"/>
    </row>
    <row r="1972" spans="3:3" x14ac:dyDescent="0.45">
      <c r="C1972" s="3"/>
    </row>
    <row r="1973" spans="3:3" x14ac:dyDescent="0.45">
      <c r="C1973" s="3"/>
    </row>
    <row r="1974" spans="3:3" x14ac:dyDescent="0.45">
      <c r="C1974" s="3"/>
    </row>
    <row r="1975" spans="3:3" x14ac:dyDescent="0.45">
      <c r="C1975" s="3"/>
    </row>
    <row r="1976" spans="3:3" x14ac:dyDescent="0.45">
      <c r="C1976" s="3"/>
    </row>
    <row r="1977" spans="3:3" x14ac:dyDescent="0.45">
      <c r="C1977" s="3"/>
    </row>
    <row r="1978" spans="3:3" x14ac:dyDescent="0.45">
      <c r="C1978" s="3"/>
    </row>
    <row r="1979" spans="3:3" x14ac:dyDescent="0.45">
      <c r="C1979" s="3"/>
    </row>
    <row r="1980" spans="3:3" x14ac:dyDescent="0.45">
      <c r="C1980" s="3"/>
    </row>
    <row r="1981" spans="3:3" x14ac:dyDescent="0.45">
      <c r="C1981" s="3"/>
    </row>
    <row r="1982" spans="3:3" x14ac:dyDescent="0.45">
      <c r="C1982" s="3"/>
    </row>
    <row r="1983" spans="3:3" x14ac:dyDescent="0.45">
      <c r="C1983" s="3"/>
    </row>
    <row r="1984" spans="3:3" x14ac:dyDescent="0.45">
      <c r="C1984" s="3"/>
    </row>
    <row r="1985" spans="3:3" x14ac:dyDescent="0.45">
      <c r="C1985" s="3"/>
    </row>
    <row r="1986" spans="3:3" x14ac:dyDescent="0.45">
      <c r="C1986" s="3"/>
    </row>
    <row r="1987" spans="3:3" x14ac:dyDescent="0.45">
      <c r="C1987" s="3"/>
    </row>
    <row r="1988" spans="3:3" x14ac:dyDescent="0.45">
      <c r="C1988" s="3"/>
    </row>
    <row r="1989" spans="3:3" x14ac:dyDescent="0.45">
      <c r="C1989" s="3"/>
    </row>
    <row r="1990" spans="3:3" x14ac:dyDescent="0.45">
      <c r="C1990" s="3"/>
    </row>
    <row r="1991" spans="3:3" x14ac:dyDescent="0.45">
      <c r="C1991" s="3"/>
    </row>
    <row r="1992" spans="3:3" x14ac:dyDescent="0.45">
      <c r="C1992" s="3"/>
    </row>
    <row r="1993" spans="3:3" x14ac:dyDescent="0.45">
      <c r="C1993" s="3"/>
    </row>
    <row r="1994" spans="3:3" x14ac:dyDescent="0.45">
      <c r="C1994" s="3"/>
    </row>
    <row r="1995" spans="3:3" x14ac:dyDescent="0.45">
      <c r="C1995" s="3"/>
    </row>
    <row r="1996" spans="3:3" x14ac:dyDescent="0.45">
      <c r="C1996" s="3"/>
    </row>
    <row r="1997" spans="3:3" x14ac:dyDescent="0.45">
      <c r="C1997" s="3"/>
    </row>
    <row r="1998" spans="3:3" x14ac:dyDescent="0.45">
      <c r="C1998" s="3"/>
    </row>
    <row r="1999" spans="3:3" x14ac:dyDescent="0.45">
      <c r="C1999" s="3"/>
    </row>
    <row r="2000" spans="3:3" x14ac:dyDescent="0.45">
      <c r="C2000" s="3"/>
    </row>
    <row r="2001" spans="3:3" x14ac:dyDescent="0.45">
      <c r="C2001" s="3"/>
    </row>
    <row r="2002" spans="3:3" x14ac:dyDescent="0.45">
      <c r="C2002" s="3"/>
    </row>
    <row r="2003" spans="3:3" x14ac:dyDescent="0.45">
      <c r="C2003" s="3"/>
    </row>
    <row r="2004" spans="3:3" x14ac:dyDescent="0.45">
      <c r="C2004" s="3"/>
    </row>
    <row r="2005" spans="3:3" x14ac:dyDescent="0.45">
      <c r="C2005" s="3"/>
    </row>
    <row r="2006" spans="3:3" x14ac:dyDescent="0.45">
      <c r="C2006" s="3"/>
    </row>
    <row r="2007" spans="3:3" x14ac:dyDescent="0.45">
      <c r="C2007" s="3"/>
    </row>
    <row r="2008" spans="3:3" x14ac:dyDescent="0.45">
      <c r="C2008" s="3"/>
    </row>
    <row r="2009" spans="3:3" x14ac:dyDescent="0.45">
      <c r="C2009" s="3"/>
    </row>
    <row r="2010" spans="3:3" x14ac:dyDescent="0.45">
      <c r="C2010" s="3"/>
    </row>
    <row r="2011" spans="3:3" x14ac:dyDescent="0.45">
      <c r="C2011" s="3"/>
    </row>
    <row r="2012" spans="3:3" x14ac:dyDescent="0.45">
      <c r="C2012" s="3"/>
    </row>
    <row r="2013" spans="3:3" x14ac:dyDescent="0.45">
      <c r="C2013" s="3"/>
    </row>
    <row r="2014" spans="3:3" x14ac:dyDescent="0.45">
      <c r="C2014" s="3"/>
    </row>
    <row r="2015" spans="3:3" x14ac:dyDescent="0.45">
      <c r="C2015" s="3"/>
    </row>
    <row r="2016" spans="3:3" x14ac:dyDescent="0.45">
      <c r="C2016" s="3"/>
    </row>
    <row r="2017" spans="3:3" x14ac:dyDescent="0.45">
      <c r="C2017" s="3"/>
    </row>
    <row r="2018" spans="3:3" x14ac:dyDescent="0.45">
      <c r="C2018" s="3"/>
    </row>
    <row r="2019" spans="3:3" x14ac:dyDescent="0.45">
      <c r="C2019" s="3"/>
    </row>
    <row r="2020" spans="3:3" x14ac:dyDescent="0.45">
      <c r="C2020" s="3"/>
    </row>
    <row r="2021" spans="3:3" x14ac:dyDescent="0.45">
      <c r="C2021" s="3"/>
    </row>
    <row r="2022" spans="3:3" x14ac:dyDescent="0.45">
      <c r="C2022" s="3"/>
    </row>
    <row r="2023" spans="3:3" x14ac:dyDescent="0.45">
      <c r="C2023" s="3"/>
    </row>
    <row r="2024" spans="3:3" x14ac:dyDescent="0.45">
      <c r="C2024" s="3"/>
    </row>
    <row r="2025" spans="3:3" x14ac:dyDescent="0.45">
      <c r="C2025" s="3"/>
    </row>
    <row r="2026" spans="3:3" x14ac:dyDescent="0.45">
      <c r="C2026" s="3"/>
    </row>
    <row r="2027" spans="3:3" x14ac:dyDescent="0.45">
      <c r="C2027" s="3"/>
    </row>
    <row r="2028" spans="3:3" x14ac:dyDescent="0.45">
      <c r="C2028" s="3"/>
    </row>
    <row r="2029" spans="3:3" x14ac:dyDescent="0.45">
      <c r="C2029" s="3"/>
    </row>
    <row r="2030" spans="3:3" x14ac:dyDescent="0.45">
      <c r="C2030" s="3"/>
    </row>
    <row r="2031" spans="3:3" x14ac:dyDescent="0.45">
      <c r="C2031" s="3"/>
    </row>
    <row r="2032" spans="3:3" x14ac:dyDescent="0.45">
      <c r="C2032" s="3"/>
    </row>
    <row r="2033" spans="3:3" x14ac:dyDescent="0.45">
      <c r="C2033" s="3"/>
    </row>
    <row r="2034" spans="3:3" x14ac:dyDescent="0.45">
      <c r="C2034" s="3"/>
    </row>
    <row r="2035" spans="3:3" x14ac:dyDescent="0.45">
      <c r="C2035" s="3"/>
    </row>
    <row r="2036" spans="3:3" x14ac:dyDescent="0.45">
      <c r="C2036" s="3"/>
    </row>
    <row r="2037" spans="3:3" x14ac:dyDescent="0.45">
      <c r="C2037" s="3"/>
    </row>
    <row r="2038" spans="3:3" x14ac:dyDescent="0.45">
      <c r="C2038" s="3"/>
    </row>
    <row r="2039" spans="3:3" x14ac:dyDescent="0.45">
      <c r="C2039" s="3"/>
    </row>
    <row r="2040" spans="3:3" x14ac:dyDescent="0.45">
      <c r="C2040" s="3"/>
    </row>
    <row r="2041" spans="3:3" x14ac:dyDescent="0.45">
      <c r="C2041" s="3"/>
    </row>
    <row r="2042" spans="3:3" x14ac:dyDescent="0.45">
      <c r="C2042" s="3"/>
    </row>
    <row r="2043" spans="3:3" x14ac:dyDescent="0.45">
      <c r="C2043" s="3"/>
    </row>
    <row r="2044" spans="3:3" x14ac:dyDescent="0.45">
      <c r="C2044" s="3"/>
    </row>
    <row r="2045" spans="3:3" x14ac:dyDescent="0.45">
      <c r="C2045" s="3"/>
    </row>
    <row r="2046" spans="3:3" x14ac:dyDescent="0.45">
      <c r="C2046" s="3"/>
    </row>
    <row r="2047" spans="3:3" x14ac:dyDescent="0.45">
      <c r="C2047" s="3"/>
    </row>
    <row r="2048" spans="3:3" x14ac:dyDescent="0.45">
      <c r="C2048" s="3"/>
    </row>
    <row r="2049" spans="3:3" x14ac:dyDescent="0.45">
      <c r="C2049" s="3"/>
    </row>
    <row r="2050" spans="3:3" x14ac:dyDescent="0.45">
      <c r="C2050" s="3"/>
    </row>
    <row r="2051" spans="3:3" x14ac:dyDescent="0.45">
      <c r="C2051" s="3"/>
    </row>
    <row r="2052" spans="3:3" x14ac:dyDescent="0.45">
      <c r="C2052" s="3"/>
    </row>
    <row r="2053" spans="3:3" x14ac:dyDescent="0.45">
      <c r="C2053" s="3"/>
    </row>
    <row r="2054" spans="3:3" x14ac:dyDescent="0.45">
      <c r="C2054" s="3"/>
    </row>
    <row r="2055" spans="3:3" x14ac:dyDescent="0.45">
      <c r="C2055" s="3"/>
    </row>
    <row r="2056" spans="3:3" x14ac:dyDescent="0.45">
      <c r="C2056" s="3"/>
    </row>
    <row r="2057" spans="3:3" x14ac:dyDescent="0.45">
      <c r="C2057" s="3"/>
    </row>
    <row r="2058" spans="3:3" x14ac:dyDescent="0.45">
      <c r="C2058" s="3"/>
    </row>
    <row r="2059" spans="3:3" x14ac:dyDescent="0.45">
      <c r="C2059" s="3"/>
    </row>
    <row r="2060" spans="3:3" x14ac:dyDescent="0.45">
      <c r="C2060" s="3"/>
    </row>
    <row r="2061" spans="3:3" x14ac:dyDescent="0.45">
      <c r="C2061" s="3"/>
    </row>
    <row r="2062" spans="3:3" x14ac:dyDescent="0.45">
      <c r="C2062" s="3"/>
    </row>
    <row r="2063" spans="3:3" x14ac:dyDescent="0.45">
      <c r="C2063" s="3"/>
    </row>
    <row r="2064" spans="3:3" x14ac:dyDescent="0.45">
      <c r="C2064" s="3"/>
    </row>
    <row r="2065" spans="3:3" x14ac:dyDescent="0.45">
      <c r="C2065" s="3"/>
    </row>
    <row r="2066" spans="3:3" x14ac:dyDescent="0.45">
      <c r="C2066" s="3"/>
    </row>
    <row r="2067" spans="3:3" x14ac:dyDescent="0.45">
      <c r="C2067" s="3"/>
    </row>
    <row r="2068" spans="3:3" x14ac:dyDescent="0.45">
      <c r="C2068" s="3"/>
    </row>
    <row r="2069" spans="3:3" x14ac:dyDescent="0.45">
      <c r="C2069" s="3"/>
    </row>
    <row r="2070" spans="3:3" x14ac:dyDescent="0.45">
      <c r="C2070" s="3"/>
    </row>
    <row r="2071" spans="3:3" x14ac:dyDescent="0.45">
      <c r="C2071" s="3"/>
    </row>
    <row r="2072" spans="3:3" x14ac:dyDescent="0.45">
      <c r="C2072" s="3"/>
    </row>
    <row r="2073" spans="3:3" x14ac:dyDescent="0.45">
      <c r="C2073" s="3"/>
    </row>
    <row r="2074" spans="3:3" x14ac:dyDescent="0.45">
      <c r="C2074" s="3"/>
    </row>
    <row r="2075" spans="3:3" x14ac:dyDescent="0.45">
      <c r="C2075" s="3"/>
    </row>
    <row r="2076" spans="3:3" x14ac:dyDescent="0.45">
      <c r="C2076" s="3"/>
    </row>
    <row r="2077" spans="3:3" x14ac:dyDescent="0.45">
      <c r="C2077" s="3"/>
    </row>
    <row r="2078" spans="3:3" x14ac:dyDescent="0.45">
      <c r="C2078" s="3"/>
    </row>
    <row r="2079" spans="3:3" x14ac:dyDescent="0.45">
      <c r="C2079" s="3"/>
    </row>
    <row r="2080" spans="3:3" x14ac:dyDescent="0.45">
      <c r="C2080" s="3"/>
    </row>
    <row r="2081" spans="3:3" x14ac:dyDescent="0.45">
      <c r="C2081" s="3"/>
    </row>
    <row r="2082" spans="3:3" x14ac:dyDescent="0.45">
      <c r="C2082" s="3"/>
    </row>
    <row r="2083" spans="3:3" x14ac:dyDescent="0.45">
      <c r="C2083" s="3"/>
    </row>
    <row r="2084" spans="3:3" x14ac:dyDescent="0.45">
      <c r="C2084" s="3"/>
    </row>
    <row r="2085" spans="3:3" x14ac:dyDescent="0.45">
      <c r="C2085" s="3"/>
    </row>
    <row r="2086" spans="3:3" x14ac:dyDescent="0.45">
      <c r="C2086" s="3"/>
    </row>
    <row r="2087" spans="3:3" x14ac:dyDescent="0.45">
      <c r="C2087" s="3"/>
    </row>
    <row r="2088" spans="3:3" x14ac:dyDescent="0.45">
      <c r="C2088" s="3"/>
    </row>
    <row r="2089" spans="3:3" x14ac:dyDescent="0.45">
      <c r="C2089" s="3"/>
    </row>
    <row r="2090" spans="3:3" x14ac:dyDescent="0.45">
      <c r="C2090" s="3"/>
    </row>
    <row r="2091" spans="3:3" x14ac:dyDescent="0.45">
      <c r="C2091" s="3"/>
    </row>
    <row r="2092" spans="3:3" x14ac:dyDescent="0.45">
      <c r="C2092" s="3"/>
    </row>
    <row r="2093" spans="3:3" x14ac:dyDescent="0.45">
      <c r="C2093" s="3"/>
    </row>
    <row r="2094" spans="3:3" x14ac:dyDescent="0.45">
      <c r="C2094" s="3"/>
    </row>
    <row r="2095" spans="3:3" x14ac:dyDescent="0.45">
      <c r="C2095" s="3"/>
    </row>
    <row r="2096" spans="3:3" x14ac:dyDescent="0.45">
      <c r="C2096" s="3"/>
    </row>
    <row r="2097" spans="3:3" x14ac:dyDescent="0.45">
      <c r="C2097" s="3"/>
    </row>
    <row r="2098" spans="3:3" x14ac:dyDescent="0.45">
      <c r="C2098" s="3"/>
    </row>
    <row r="2099" spans="3:3" x14ac:dyDescent="0.45">
      <c r="C2099" s="3"/>
    </row>
    <row r="2100" spans="3:3" x14ac:dyDescent="0.45">
      <c r="C2100" s="3"/>
    </row>
    <row r="2101" spans="3:3" x14ac:dyDescent="0.45">
      <c r="C2101" s="3"/>
    </row>
    <row r="2102" spans="3:3" x14ac:dyDescent="0.45">
      <c r="C2102" s="3"/>
    </row>
    <row r="2103" spans="3:3" x14ac:dyDescent="0.45">
      <c r="C2103" s="3"/>
    </row>
    <row r="2104" spans="3:3" x14ac:dyDescent="0.45">
      <c r="C2104" s="3"/>
    </row>
    <row r="2105" spans="3:3" x14ac:dyDescent="0.45">
      <c r="C2105" s="3"/>
    </row>
    <row r="2106" spans="3:3" x14ac:dyDescent="0.45">
      <c r="C2106" s="3"/>
    </row>
    <row r="2107" spans="3:3" x14ac:dyDescent="0.45">
      <c r="C2107" s="3"/>
    </row>
    <row r="2108" spans="3:3" x14ac:dyDescent="0.45">
      <c r="C2108" s="3"/>
    </row>
    <row r="2109" spans="3:3" x14ac:dyDescent="0.45">
      <c r="C2109" s="3"/>
    </row>
    <row r="2110" spans="3:3" x14ac:dyDescent="0.45">
      <c r="C2110" s="3"/>
    </row>
    <row r="2111" spans="3:3" x14ac:dyDescent="0.45">
      <c r="C2111" s="3"/>
    </row>
    <row r="2112" spans="3:3" x14ac:dyDescent="0.45">
      <c r="C2112" s="3"/>
    </row>
    <row r="2113" spans="3:3" x14ac:dyDescent="0.45">
      <c r="C2113" s="3"/>
    </row>
    <row r="2114" spans="3:3" x14ac:dyDescent="0.45">
      <c r="C2114" s="3"/>
    </row>
    <row r="2115" spans="3:3" x14ac:dyDescent="0.45">
      <c r="C2115" s="3"/>
    </row>
    <row r="2116" spans="3:3" x14ac:dyDescent="0.45">
      <c r="C2116" s="3"/>
    </row>
    <row r="2117" spans="3:3" x14ac:dyDescent="0.45">
      <c r="C2117" s="3"/>
    </row>
    <row r="2118" spans="3:3" x14ac:dyDescent="0.45">
      <c r="C2118" s="3"/>
    </row>
    <row r="2119" spans="3:3" x14ac:dyDescent="0.45">
      <c r="C2119" s="3"/>
    </row>
    <row r="2120" spans="3:3" x14ac:dyDescent="0.45">
      <c r="C2120" s="3"/>
    </row>
    <row r="2121" spans="3:3" x14ac:dyDescent="0.45">
      <c r="C2121" s="3"/>
    </row>
    <row r="2122" spans="3:3" x14ac:dyDescent="0.45">
      <c r="C2122" s="3"/>
    </row>
    <row r="2123" spans="3:3" x14ac:dyDescent="0.45">
      <c r="C2123" s="3"/>
    </row>
    <row r="2124" spans="3:3" x14ac:dyDescent="0.45">
      <c r="C2124" s="3"/>
    </row>
    <row r="2125" spans="3:3" x14ac:dyDescent="0.45">
      <c r="C2125" s="3"/>
    </row>
    <row r="2126" spans="3:3" x14ac:dyDescent="0.45">
      <c r="C2126" s="3"/>
    </row>
    <row r="2127" spans="3:3" x14ac:dyDescent="0.45">
      <c r="C2127" s="3"/>
    </row>
    <row r="2128" spans="3:3" x14ac:dyDescent="0.45">
      <c r="C2128" s="3"/>
    </row>
    <row r="2129" spans="3:3" x14ac:dyDescent="0.45">
      <c r="C2129" s="3"/>
    </row>
    <row r="2130" spans="3:3" x14ac:dyDescent="0.45">
      <c r="C2130" s="3"/>
    </row>
    <row r="2131" spans="3:3" x14ac:dyDescent="0.45">
      <c r="C2131" s="3"/>
    </row>
    <row r="2132" spans="3:3" x14ac:dyDescent="0.45">
      <c r="C2132" s="3"/>
    </row>
    <row r="2133" spans="3:3" x14ac:dyDescent="0.45">
      <c r="C2133" s="3"/>
    </row>
    <row r="2134" spans="3:3" x14ac:dyDescent="0.45">
      <c r="C2134" s="3"/>
    </row>
    <row r="2135" spans="3:3" x14ac:dyDescent="0.45">
      <c r="C2135" s="3"/>
    </row>
    <row r="2136" spans="3:3" x14ac:dyDescent="0.45">
      <c r="C2136" s="3"/>
    </row>
    <row r="2137" spans="3:3" x14ac:dyDescent="0.45">
      <c r="C2137" s="3"/>
    </row>
    <row r="2138" spans="3:3" x14ac:dyDescent="0.45">
      <c r="C2138" s="3"/>
    </row>
    <row r="2139" spans="3:3" x14ac:dyDescent="0.45">
      <c r="C2139" s="3"/>
    </row>
    <row r="2140" spans="3:3" x14ac:dyDescent="0.45">
      <c r="C2140" s="3"/>
    </row>
    <row r="2141" spans="3:3" x14ac:dyDescent="0.45">
      <c r="C2141" s="3"/>
    </row>
    <row r="2142" spans="3:3" x14ac:dyDescent="0.45">
      <c r="C2142" s="3"/>
    </row>
    <row r="2143" spans="3:3" x14ac:dyDescent="0.45">
      <c r="C2143" s="3"/>
    </row>
    <row r="2144" spans="3:3" x14ac:dyDescent="0.45">
      <c r="C2144" s="3"/>
    </row>
    <row r="2145" spans="3:3" x14ac:dyDescent="0.45">
      <c r="C2145" s="3"/>
    </row>
    <row r="2146" spans="3:3" x14ac:dyDescent="0.45">
      <c r="C2146" s="3"/>
    </row>
    <row r="2147" spans="3:3" x14ac:dyDescent="0.45">
      <c r="C2147" s="3"/>
    </row>
    <row r="2148" spans="3:3" x14ac:dyDescent="0.45">
      <c r="C2148" s="3"/>
    </row>
    <row r="2149" spans="3:3" x14ac:dyDescent="0.45">
      <c r="C2149" s="3"/>
    </row>
    <row r="2150" spans="3:3" x14ac:dyDescent="0.45">
      <c r="C2150" s="3"/>
    </row>
    <row r="2151" spans="3:3" x14ac:dyDescent="0.45">
      <c r="C2151" s="3"/>
    </row>
    <row r="2152" spans="3:3" x14ac:dyDescent="0.45">
      <c r="C2152" s="3"/>
    </row>
    <row r="2153" spans="3:3" x14ac:dyDescent="0.45">
      <c r="C2153" s="3"/>
    </row>
    <row r="2154" spans="3:3" x14ac:dyDescent="0.45">
      <c r="C2154" s="3"/>
    </row>
    <row r="2155" spans="3:3" x14ac:dyDescent="0.45">
      <c r="C2155" s="3"/>
    </row>
    <row r="2156" spans="3:3" x14ac:dyDescent="0.45">
      <c r="C2156" s="3"/>
    </row>
    <row r="2157" spans="3:3" x14ac:dyDescent="0.45">
      <c r="C2157" s="3"/>
    </row>
    <row r="2158" spans="3:3" x14ac:dyDescent="0.45">
      <c r="C2158" s="3"/>
    </row>
    <row r="2159" spans="3:3" x14ac:dyDescent="0.45">
      <c r="C2159" s="3"/>
    </row>
    <row r="2160" spans="3:3" x14ac:dyDescent="0.45">
      <c r="C2160" s="3"/>
    </row>
    <row r="2161" spans="3:3" x14ac:dyDescent="0.45">
      <c r="C2161" s="3"/>
    </row>
    <row r="2162" spans="3:3" x14ac:dyDescent="0.45">
      <c r="C2162" s="3"/>
    </row>
    <row r="2163" spans="3:3" x14ac:dyDescent="0.45">
      <c r="C2163" s="3"/>
    </row>
    <row r="2164" spans="3:3" x14ac:dyDescent="0.45">
      <c r="C2164" s="3"/>
    </row>
    <row r="2165" spans="3:3" x14ac:dyDescent="0.45">
      <c r="C2165" s="3"/>
    </row>
    <row r="2166" spans="3:3" x14ac:dyDescent="0.45">
      <c r="C2166" s="3"/>
    </row>
    <row r="2167" spans="3:3" x14ac:dyDescent="0.45">
      <c r="C2167" s="3"/>
    </row>
    <row r="2168" spans="3:3" x14ac:dyDescent="0.45">
      <c r="C2168" s="3"/>
    </row>
    <row r="2169" spans="3:3" x14ac:dyDescent="0.45">
      <c r="C2169" s="3"/>
    </row>
    <row r="2170" spans="3:3" x14ac:dyDescent="0.45">
      <c r="C2170" s="3"/>
    </row>
    <row r="2171" spans="3:3" x14ac:dyDescent="0.45">
      <c r="C2171" s="3"/>
    </row>
    <row r="2172" spans="3:3" x14ac:dyDescent="0.45">
      <c r="C2172" s="3"/>
    </row>
    <row r="2173" spans="3:3" x14ac:dyDescent="0.45">
      <c r="C2173" s="3"/>
    </row>
    <row r="2174" spans="3:3" x14ac:dyDescent="0.45">
      <c r="C2174" s="3"/>
    </row>
    <row r="2175" spans="3:3" x14ac:dyDescent="0.45">
      <c r="C2175" s="3"/>
    </row>
    <row r="2176" spans="3:3" x14ac:dyDescent="0.45">
      <c r="C2176" s="3"/>
    </row>
    <row r="2177" spans="3:3" x14ac:dyDescent="0.45">
      <c r="C2177" s="3"/>
    </row>
    <row r="2178" spans="3:3" x14ac:dyDescent="0.45">
      <c r="C2178" s="3"/>
    </row>
    <row r="2179" spans="3:3" x14ac:dyDescent="0.45">
      <c r="C2179" s="3"/>
    </row>
    <row r="2180" spans="3:3" x14ac:dyDescent="0.45">
      <c r="C2180" s="3"/>
    </row>
    <row r="2181" spans="3:3" x14ac:dyDescent="0.45">
      <c r="C2181" s="3"/>
    </row>
    <row r="2182" spans="3:3" x14ac:dyDescent="0.45">
      <c r="C2182" s="3"/>
    </row>
    <row r="2183" spans="3:3" x14ac:dyDescent="0.45">
      <c r="C2183" s="3"/>
    </row>
    <row r="2184" spans="3:3" x14ac:dyDescent="0.45">
      <c r="C2184" s="3"/>
    </row>
    <row r="2185" spans="3:3" x14ac:dyDescent="0.45">
      <c r="C2185" s="3"/>
    </row>
    <row r="2186" spans="3:3" x14ac:dyDescent="0.45">
      <c r="C2186" s="3"/>
    </row>
    <row r="2187" spans="3:3" x14ac:dyDescent="0.45">
      <c r="C2187" s="3"/>
    </row>
    <row r="2188" spans="3:3" x14ac:dyDescent="0.45">
      <c r="C2188" s="3"/>
    </row>
    <row r="2189" spans="3:3" x14ac:dyDescent="0.45">
      <c r="C2189" s="3"/>
    </row>
    <row r="2190" spans="3:3" x14ac:dyDescent="0.45">
      <c r="C2190" s="3"/>
    </row>
    <row r="2191" spans="3:3" x14ac:dyDescent="0.45">
      <c r="C2191" s="3"/>
    </row>
    <row r="2192" spans="3:3" x14ac:dyDescent="0.45">
      <c r="C2192" s="3"/>
    </row>
    <row r="2193" spans="3:3" x14ac:dyDescent="0.45">
      <c r="C2193" s="3"/>
    </row>
    <row r="2194" spans="3:3" x14ac:dyDescent="0.45">
      <c r="C2194" s="3"/>
    </row>
    <row r="2195" spans="3:3" x14ac:dyDescent="0.45">
      <c r="C2195" s="3"/>
    </row>
    <row r="2196" spans="3:3" x14ac:dyDescent="0.45">
      <c r="C2196" s="3"/>
    </row>
    <row r="2197" spans="3:3" x14ac:dyDescent="0.45">
      <c r="C2197" s="3"/>
    </row>
    <row r="2198" spans="3:3" x14ac:dyDescent="0.45">
      <c r="C2198" s="3"/>
    </row>
    <row r="2199" spans="3:3" x14ac:dyDescent="0.45">
      <c r="C2199" s="3"/>
    </row>
    <row r="2200" spans="3:3" x14ac:dyDescent="0.45">
      <c r="C2200" s="3"/>
    </row>
    <row r="2201" spans="3:3" x14ac:dyDescent="0.45">
      <c r="C2201" s="3"/>
    </row>
    <row r="2202" spans="3:3" x14ac:dyDescent="0.45">
      <c r="C2202" s="3"/>
    </row>
    <row r="2203" spans="3:3" x14ac:dyDescent="0.45">
      <c r="C2203" s="3"/>
    </row>
    <row r="2204" spans="3:3" x14ac:dyDescent="0.45">
      <c r="C2204" s="3"/>
    </row>
    <row r="2205" spans="3:3" x14ac:dyDescent="0.45">
      <c r="C2205" s="3"/>
    </row>
    <row r="2206" spans="3:3" x14ac:dyDescent="0.45">
      <c r="C2206" s="3"/>
    </row>
    <row r="2207" spans="3:3" x14ac:dyDescent="0.45">
      <c r="C2207" s="3"/>
    </row>
    <row r="2208" spans="3:3" x14ac:dyDescent="0.45">
      <c r="C2208" s="3"/>
    </row>
    <row r="2209" spans="3:3" x14ac:dyDescent="0.45">
      <c r="C2209" s="3"/>
    </row>
    <row r="2210" spans="3:3" x14ac:dyDescent="0.45">
      <c r="C2210" s="3"/>
    </row>
    <row r="2211" spans="3:3" x14ac:dyDescent="0.45">
      <c r="C2211" s="3"/>
    </row>
    <row r="2212" spans="3:3" x14ac:dyDescent="0.45">
      <c r="C2212" s="3"/>
    </row>
    <row r="2213" spans="3:3" x14ac:dyDescent="0.45">
      <c r="C2213" s="3"/>
    </row>
    <row r="2214" spans="3:3" x14ac:dyDescent="0.45">
      <c r="C2214" s="3"/>
    </row>
    <row r="2215" spans="3:3" x14ac:dyDescent="0.45">
      <c r="C2215" s="3"/>
    </row>
    <row r="2216" spans="3:3" x14ac:dyDescent="0.45">
      <c r="C2216" s="3"/>
    </row>
    <row r="2217" spans="3:3" x14ac:dyDescent="0.45">
      <c r="C2217" s="3"/>
    </row>
    <row r="2218" spans="3:3" x14ac:dyDescent="0.45">
      <c r="C2218" s="3"/>
    </row>
    <row r="2219" spans="3:3" x14ac:dyDescent="0.45">
      <c r="C2219" s="3"/>
    </row>
    <row r="2220" spans="3:3" x14ac:dyDescent="0.45">
      <c r="C2220" s="3"/>
    </row>
    <row r="2221" spans="3:3" x14ac:dyDescent="0.45">
      <c r="C2221" s="3"/>
    </row>
    <row r="2222" spans="3:3" x14ac:dyDescent="0.45">
      <c r="C2222" s="3"/>
    </row>
    <row r="2223" spans="3:3" x14ac:dyDescent="0.45">
      <c r="C2223" s="3"/>
    </row>
    <row r="2224" spans="3:3" x14ac:dyDescent="0.45">
      <c r="C2224" s="3"/>
    </row>
    <row r="2225" spans="3:3" x14ac:dyDescent="0.45">
      <c r="C2225" s="3"/>
    </row>
    <row r="2226" spans="3:3" x14ac:dyDescent="0.45">
      <c r="C2226" s="3"/>
    </row>
    <row r="2227" spans="3:3" x14ac:dyDescent="0.45">
      <c r="C2227" s="3"/>
    </row>
    <row r="2228" spans="3:3" x14ac:dyDescent="0.45">
      <c r="C2228" s="3"/>
    </row>
    <row r="2229" spans="3:3" x14ac:dyDescent="0.45">
      <c r="C2229" s="3"/>
    </row>
    <row r="2230" spans="3:3" x14ac:dyDescent="0.45">
      <c r="C2230" s="3"/>
    </row>
    <row r="2231" spans="3:3" x14ac:dyDescent="0.45">
      <c r="C2231" s="3"/>
    </row>
    <row r="2232" spans="3:3" x14ac:dyDescent="0.45">
      <c r="C2232" s="3"/>
    </row>
    <row r="2233" spans="3:3" x14ac:dyDescent="0.45">
      <c r="C2233" s="3"/>
    </row>
    <row r="2234" spans="3:3" x14ac:dyDescent="0.45">
      <c r="C2234" s="3"/>
    </row>
    <row r="2235" spans="3:3" x14ac:dyDescent="0.45">
      <c r="C2235" s="3"/>
    </row>
    <row r="2236" spans="3:3" x14ac:dyDescent="0.45">
      <c r="C2236" s="3"/>
    </row>
    <row r="2237" spans="3:3" x14ac:dyDescent="0.45">
      <c r="C2237" s="3"/>
    </row>
    <row r="2238" spans="3:3" x14ac:dyDescent="0.45">
      <c r="C2238" s="3"/>
    </row>
    <row r="2239" spans="3:3" x14ac:dyDescent="0.45">
      <c r="C2239" s="3"/>
    </row>
    <row r="2240" spans="3:3" x14ac:dyDescent="0.45">
      <c r="C2240" s="3"/>
    </row>
    <row r="2241" spans="3:3" x14ac:dyDescent="0.45">
      <c r="C2241" s="3"/>
    </row>
    <row r="2242" spans="3:3" x14ac:dyDescent="0.45">
      <c r="C2242" s="3"/>
    </row>
    <row r="2243" spans="3:3" x14ac:dyDescent="0.45">
      <c r="C2243" s="3"/>
    </row>
    <row r="2244" spans="3:3" x14ac:dyDescent="0.45">
      <c r="C2244" s="3"/>
    </row>
    <row r="2245" spans="3:3" x14ac:dyDescent="0.45">
      <c r="C2245" s="3"/>
    </row>
    <row r="2246" spans="3:3" x14ac:dyDescent="0.45">
      <c r="C2246" s="3"/>
    </row>
    <row r="2247" spans="3:3" x14ac:dyDescent="0.45">
      <c r="C2247" s="3"/>
    </row>
    <row r="2248" spans="3:3" x14ac:dyDescent="0.45">
      <c r="C2248" s="3"/>
    </row>
    <row r="2249" spans="3:3" x14ac:dyDescent="0.45">
      <c r="C2249" s="3"/>
    </row>
    <row r="2250" spans="3:3" x14ac:dyDescent="0.45">
      <c r="C2250" s="3"/>
    </row>
    <row r="2251" spans="3:3" x14ac:dyDescent="0.45">
      <c r="C2251" s="3"/>
    </row>
    <row r="2252" spans="3:3" x14ac:dyDescent="0.45">
      <c r="C2252" s="3"/>
    </row>
    <row r="2253" spans="3:3" x14ac:dyDescent="0.45">
      <c r="C2253" s="3"/>
    </row>
    <row r="2254" spans="3:3" x14ac:dyDescent="0.45">
      <c r="C2254" s="3"/>
    </row>
    <row r="2255" spans="3:3" x14ac:dyDescent="0.45">
      <c r="C2255" s="3"/>
    </row>
    <row r="2256" spans="3:3" x14ac:dyDescent="0.45">
      <c r="C2256" s="3"/>
    </row>
    <row r="2257" spans="3:3" x14ac:dyDescent="0.45">
      <c r="C2257" s="3"/>
    </row>
    <row r="2258" spans="3:3" x14ac:dyDescent="0.45">
      <c r="C2258" s="3"/>
    </row>
    <row r="2259" spans="3:3" x14ac:dyDescent="0.45">
      <c r="C2259" s="3"/>
    </row>
    <row r="2260" spans="3:3" x14ac:dyDescent="0.45">
      <c r="C2260" s="3"/>
    </row>
  </sheetData>
  <dataValidations count="1">
    <dataValidation type="list" allowBlank="1" showInputMessage="1" showErrorMessage="1" sqref="P5" xr:uid="{00000000-0002-0000-0400-000000000000}">
      <formula1>"backpropagation,momentum,learning"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Learn_bis">
                <anchor moveWithCells="1">
                  <from>
                    <xdr:col>14</xdr:col>
                    <xdr:colOff>600075</xdr:colOff>
                    <xdr:row>13</xdr:row>
                    <xdr:rowOff>152400</xdr:rowOff>
                  </from>
                  <to>
                    <xdr:col>16</xdr:col>
                    <xdr:colOff>19050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B2:G10"/>
  <sheetViews>
    <sheetView tabSelected="1" workbookViewId="0">
      <selection activeCell="F14" sqref="F14"/>
    </sheetView>
  </sheetViews>
  <sheetFormatPr defaultColWidth="10.6640625" defaultRowHeight="14.25" x14ac:dyDescent="0.45"/>
  <sheetData>
    <row r="2" spans="2:7" x14ac:dyDescent="0.45">
      <c r="B2" t="s">
        <v>44</v>
      </c>
      <c r="C2" s="3">
        <v>43101</v>
      </c>
    </row>
    <row r="3" spans="2:7" x14ac:dyDescent="0.45">
      <c r="B3" t="s">
        <v>46</v>
      </c>
      <c r="C3" s="3">
        <f>MAX('MultiLayer bis'!A2:A735)</f>
        <v>43432</v>
      </c>
    </row>
    <row r="4" spans="2:7" x14ac:dyDescent="0.45">
      <c r="C4" s="3"/>
    </row>
    <row r="6" spans="2:7" x14ac:dyDescent="0.45">
      <c r="B6" t="s">
        <v>33</v>
      </c>
      <c r="C6" t="s">
        <v>12</v>
      </c>
      <c r="D6" t="s">
        <v>39</v>
      </c>
      <c r="E6" t="s">
        <v>41</v>
      </c>
      <c r="F6" t="s">
        <v>45</v>
      </c>
      <c r="G6" t="s">
        <v>51</v>
      </c>
    </row>
    <row r="7" spans="2:7" x14ac:dyDescent="0.45">
      <c r="B7" t="s">
        <v>34</v>
      </c>
      <c r="C7" t="s">
        <v>38</v>
      </c>
      <c r="D7" t="s">
        <v>40</v>
      </c>
      <c r="E7" t="s">
        <v>42</v>
      </c>
      <c r="F7">
        <v>108.32807501862575</v>
      </c>
      <c r="G7">
        <v>0.5307017543859649</v>
      </c>
    </row>
    <row r="8" spans="2:7" x14ac:dyDescent="0.45">
      <c r="B8" t="s">
        <v>35</v>
      </c>
      <c r="C8" t="s">
        <v>38</v>
      </c>
      <c r="D8" t="s">
        <v>40</v>
      </c>
      <c r="E8" t="s">
        <v>42</v>
      </c>
      <c r="F8">
        <v>116.3375222970146</v>
      </c>
      <c r="G8">
        <v>0.55263157894736847</v>
      </c>
    </row>
    <row r="9" spans="2:7" x14ac:dyDescent="0.45">
      <c r="B9" t="s">
        <v>36</v>
      </c>
      <c r="C9" t="s">
        <v>38</v>
      </c>
      <c r="D9" t="s">
        <v>40</v>
      </c>
      <c r="E9" t="s">
        <v>43</v>
      </c>
      <c r="F9">
        <v>108.32807501862575</v>
      </c>
      <c r="G9">
        <v>0.5307017543859649</v>
      </c>
    </row>
    <row r="10" spans="2:7" x14ac:dyDescent="0.45">
      <c r="B10" t="s">
        <v>37</v>
      </c>
      <c r="C10" t="s">
        <v>38</v>
      </c>
      <c r="D10" t="s">
        <v>40</v>
      </c>
      <c r="E10" t="s">
        <v>43</v>
      </c>
      <c r="F10">
        <v>118.39495468290242</v>
      </c>
      <c r="G10">
        <v>0.57017543859649122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ompoundResultats">
                <anchor moveWithCells="1">
                  <from>
                    <xdr:col>8</xdr:col>
                    <xdr:colOff>257175</xdr:colOff>
                    <xdr:row>5</xdr:row>
                    <xdr:rowOff>28575</xdr:rowOff>
                  </from>
                  <to>
                    <xdr:col>10</xdr:col>
                    <xdr:colOff>114300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20</vt:i4>
      </vt:variant>
    </vt:vector>
  </HeadingPairs>
  <TitlesOfParts>
    <vt:vector size="26" baseType="lpstr">
      <vt:lpstr>AR(2)-GARCH(1,1)</vt:lpstr>
      <vt:lpstr>Monkey</vt:lpstr>
      <vt:lpstr>SP</vt:lpstr>
      <vt:lpstr>MultiLayer</vt:lpstr>
      <vt:lpstr>MultiLayer bis</vt:lpstr>
      <vt:lpstr>Calculs</vt:lpstr>
      <vt:lpstr>'AR(2)-GARCH(1,1)'!Alpha0</vt:lpstr>
      <vt:lpstr>'AR(2)-GARCH(1,1)'!Alpha1</vt:lpstr>
      <vt:lpstr>'AR(2)-GARCH(1,1)'!Beta1</vt:lpstr>
      <vt:lpstr>EndCalculationDt</vt:lpstr>
      <vt:lpstr>'AR(2)-GARCH(1,1)'!Eta_1</vt:lpstr>
      <vt:lpstr>'AR(2)-GARCH(1,1)'!Eta_2</vt:lpstr>
      <vt:lpstr>'MultiLayer bis'!factor</vt:lpstr>
      <vt:lpstr>SP!Learning_Rate</vt:lpstr>
      <vt:lpstr>MultiLayer!LearningRate</vt:lpstr>
      <vt:lpstr>MultiLayer!method</vt:lpstr>
      <vt:lpstr>'MultiLayer bis'!method</vt:lpstr>
      <vt:lpstr>'MultiLayer bis'!N</vt:lpstr>
      <vt:lpstr>MultiLayer!N_Layer</vt:lpstr>
      <vt:lpstr>'MultiLayer bis'!P</vt:lpstr>
      <vt:lpstr>MultiLayer!P_Layer</vt:lpstr>
      <vt:lpstr>'MultiLayer bis'!rate</vt:lpstr>
      <vt:lpstr>Calculs!refParams</vt:lpstr>
      <vt:lpstr>'AR(2)-GARCH(1,1)'!Sigma0</vt:lpstr>
      <vt:lpstr>Calculs!StartCalculationDt</vt:lpstr>
      <vt:lpstr>'MultiLayer bis'!weight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 REGUARDATI Luca</dc:creator>
  <cp:lastModifiedBy>Leo</cp:lastModifiedBy>
  <cp:lastPrinted>2018-11-29T12:00:21Z</cp:lastPrinted>
  <dcterms:created xsi:type="dcterms:W3CDTF">2018-10-23T14:40:59Z</dcterms:created>
  <dcterms:modified xsi:type="dcterms:W3CDTF">2020-09-10T23:51:26Z</dcterms:modified>
</cp:coreProperties>
</file>